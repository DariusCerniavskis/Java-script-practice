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6380" windowHeight="8196" tabRatio="887" firstSheet="1" activeTab="1"/>
  </bookViews>
  <sheets>
    <sheet name="0" sheetId="10" state="hidden" r:id="rId1"/>
    <sheet name="Bendras metų" sheetId="1" r:id="rId2"/>
    <sheet name="Sausis" sheetId="37" r:id="rId3"/>
    <sheet name="Vasaris" sheetId="38" r:id="rId4"/>
    <sheet name="Kovas" sheetId="39" r:id="rId5"/>
    <sheet name="Balandis" sheetId="40" r:id="rId6"/>
    <sheet name="Gegužė" sheetId="41" r:id="rId7"/>
    <sheet name="Birželis" sheetId="42" r:id="rId8"/>
    <sheet name="Liepa" sheetId="43" r:id="rId9"/>
    <sheet name="Rugpjūtis" sheetId="44" r:id="rId10"/>
    <sheet name="Rugsėjis" sheetId="45" r:id="rId11"/>
    <sheet name="Spalis" sheetId="46" r:id="rId12"/>
    <sheet name="Lapkritis" sheetId="47" r:id="rId13"/>
    <sheet name="Gruodis" sheetId="48" r:id="rId14"/>
    <sheet name="Sablonas" sheetId="19" r:id="rId15"/>
    <sheet name="Dinamika (registruotų)" sheetId="9" state="hidden" r:id="rId16"/>
    <sheet name="Sheet1" sheetId="28" state="hidden" r:id="rId17"/>
    <sheet name="Dinamika" sheetId="30" r:id="rId18"/>
    <sheet name="Metine_suvestine" sheetId="31" r:id="rId19"/>
    <sheet name="Kita" sheetId="32" r:id="rId20"/>
    <sheet name="Tobulinimas" sheetId="33" r:id="rId21"/>
  </sheets>
  <calcPr calcId="124519"/>
  <fileRecoveryPr repairLoad="1"/>
</workbook>
</file>

<file path=xl/calcChain.xml><?xml version="1.0" encoding="utf-8"?>
<calcChain xmlns="http://schemas.openxmlformats.org/spreadsheetml/2006/main">
  <c r="V16" i="48"/>
  <c r="L251" i="39"/>
  <c r="L250"/>
  <c r="L253" s="1"/>
  <c r="L254" s="1"/>
  <c r="L243"/>
  <c r="L242"/>
  <c r="L235"/>
  <c r="L234"/>
  <c r="L227"/>
  <c r="L226"/>
  <c r="L219"/>
  <c r="L218"/>
  <c r="L211"/>
  <c r="L210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L251" i="40"/>
  <c r="L250"/>
  <c r="L243"/>
  <c r="L242"/>
  <c r="L253" s="1"/>
  <c r="L254" s="1"/>
  <c r="L235"/>
  <c r="L234"/>
  <c r="L227"/>
  <c r="L226"/>
  <c r="L219"/>
  <c r="L218"/>
  <c r="L211"/>
  <c r="L210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L251" i="41"/>
  <c r="L250"/>
  <c r="L243"/>
  <c r="L242"/>
  <c r="L235"/>
  <c r="L234"/>
  <c r="L227"/>
  <c r="L226"/>
  <c r="L219"/>
  <c r="L218"/>
  <c r="L211"/>
  <c r="L210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L251" i="42"/>
  <c r="L250"/>
  <c r="L243"/>
  <c r="L242"/>
  <c r="L235"/>
  <c r="L234"/>
  <c r="L227"/>
  <c r="L226"/>
  <c r="L253" s="1"/>
  <c r="L254" s="1"/>
  <c r="L219"/>
  <c r="L218"/>
  <c r="L211"/>
  <c r="L210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L251" i="43"/>
  <c r="L250"/>
  <c r="L243"/>
  <c r="L242"/>
  <c r="L235"/>
  <c r="L234"/>
  <c r="L227"/>
  <c r="L226"/>
  <c r="L219"/>
  <c r="L218"/>
  <c r="L211"/>
  <c r="L210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L251" i="44"/>
  <c r="L250"/>
  <c r="L243"/>
  <c r="L242"/>
  <c r="L235"/>
  <c r="L234"/>
  <c r="L227"/>
  <c r="L226"/>
  <c r="L219"/>
  <c r="L218"/>
  <c r="L211"/>
  <c r="L210"/>
  <c r="L253" s="1"/>
  <c r="L254" s="1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L251" i="45"/>
  <c r="L250"/>
  <c r="L253" s="1"/>
  <c r="L254" s="1"/>
  <c r="L243"/>
  <c r="L242"/>
  <c r="L235"/>
  <c r="L234"/>
  <c r="L227"/>
  <c r="L226"/>
  <c r="L219"/>
  <c r="L218"/>
  <c r="L211"/>
  <c r="L210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L251" i="46"/>
  <c r="L250"/>
  <c r="L243"/>
  <c r="L242"/>
  <c r="L235"/>
  <c r="L234"/>
  <c r="L227"/>
  <c r="L226"/>
  <c r="L219"/>
  <c r="L218"/>
  <c r="L211"/>
  <c r="L210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L251" i="47"/>
  <c r="L250"/>
  <c r="L253" s="1"/>
  <c r="L254" s="1"/>
  <c r="L243"/>
  <c r="L242"/>
  <c r="L235"/>
  <c r="L234"/>
  <c r="L227"/>
  <c r="L226"/>
  <c r="L219"/>
  <c r="L218"/>
  <c r="L211"/>
  <c r="L210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L251" i="48"/>
  <c r="L250"/>
  <c r="L243"/>
  <c r="L242"/>
  <c r="L253" s="1"/>
  <c r="L254" s="1"/>
  <c r="L235"/>
  <c r="L234"/>
  <c r="L227"/>
  <c r="L226"/>
  <c r="L219"/>
  <c r="L218"/>
  <c r="L211"/>
  <c r="L210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L251" i="38"/>
  <c r="L250"/>
  <c r="L243"/>
  <c r="L242"/>
  <c r="L235"/>
  <c r="L234"/>
  <c r="L253" s="1"/>
  <c r="L254" s="1"/>
  <c r="L227"/>
  <c r="L226"/>
  <c r="L219"/>
  <c r="L218"/>
  <c r="L211"/>
  <c r="L210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L251" i="37"/>
  <c r="L250"/>
  <c r="L243"/>
  <c r="L242"/>
  <c r="L235"/>
  <c r="L234"/>
  <c r="L227"/>
  <c r="L226"/>
  <c r="L219"/>
  <c r="L218"/>
  <c r="L211"/>
  <c r="L210"/>
  <c r="L203"/>
  <c r="L202"/>
  <c r="L195"/>
  <c r="L194"/>
  <c r="L187"/>
  <c r="L186"/>
  <c r="L179"/>
  <c r="L178"/>
  <c r="L171"/>
  <c r="L170"/>
  <c r="L163"/>
  <c r="L162"/>
  <c r="L155"/>
  <c r="L154"/>
  <c r="L147"/>
  <c r="L146"/>
  <c r="L139"/>
  <c r="L138"/>
  <c r="L131"/>
  <c r="L130"/>
  <c r="L123"/>
  <c r="L122"/>
  <c r="L115"/>
  <c r="L114"/>
  <c r="L107"/>
  <c r="L106"/>
  <c r="L99"/>
  <c r="L98"/>
  <c r="L91"/>
  <c r="L90"/>
  <c r="L83"/>
  <c r="L82"/>
  <c r="L75"/>
  <c r="L74"/>
  <c r="L67"/>
  <c r="L66"/>
  <c r="L59"/>
  <c r="L58"/>
  <c r="L51"/>
  <c r="L50"/>
  <c r="L43"/>
  <c r="L42"/>
  <c r="L35"/>
  <c r="L34"/>
  <c r="L27"/>
  <c r="L26"/>
  <c r="L19"/>
  <c r="L18"/>
  <c r="L11"/>
  <c r="L10"/>
  <c r="P251" i="48"/>
  <c r="O251"/>
  <c r="F251"/>
  <c r="E251"/>
  <c r="D251"/>
  <c r="K250"/>
  <c r="J250"/>
  <c r="I250"/>
  <c r="H250"/>
  <c r="G250"/>
  <c r="G253" s="1"/>
  <c r="F250"/>
  <c r="F253" s="1"/>
  <c r="E250"/>
  <c r="E253" s="1"/>
  <c r="E254" s="1"/>
  <c r="D250"/>
  <c r="N249"/>
  <c r="M249"/>
  <c r="M248"/>
  <c r="N248" s="1"/>
  <c r="N251" s="1"/>
  <c r="N247"/>
  <c r="M247"/>
  <c r="M251" s="1"/>
  <c r="N246"/>
  <c r="M246"/>
  <c r="M250" s="1"/>
  <c r="N245"/>
  <c r="M245"/>
  <c r="N244"/>
  <c r="M244"/>
  <c r="P243"/>
  <c r="O243"/>
  <c r="O253" s="1"/>
  <c r="F243"/>
  <c r="E243"/>
  <c r="D243"/>
  <c r="K242"/>
  <c r="J242"/>
  <c r="I242"/>
  <c r="H242"/>
  <c r="H253" s="1"/>
  <c r="G242"/>
  <c r="F242"/>
  <c r="E242"/>
  <c r="D242"/>
  <c r="D253" s="1"/>
  <c r="D254" s="1"/>
  <c r="N241"/>
  <c r="M241"/>
  <c r="N240"/>
  <c r="M240"/>
  <c r="N239"/>
  <c r="M239"/>
  <c r="N238"/>
  <c r="M238"/>
  <c r="N237"/>
  <c r="M237"/>
  <c r="M236"/>
  <c r="N236" s="1"/>
  <c r="P235"/>
  <c r="P253" s="1"/>
  <c r="O235"/>
  <c r="E235"/>
  <c r="D235"/>
  <c r="K234"/>
  <c r="J234"/>
  <c r="I234"/>
  <c r="F235" s="1"/>
  <c r="H234"/>
  <c r="G234"/>
  <c r="F234"/>
  <c r="E234"/>
  <c r="D234"/>
  <c r="M233"/>
  <c r="M235" s="1"/>
  <c r="N232"/>
  <c r="M232"/>
  <c r="N231"/>
  <c r="M231"/>
  <c r="N230"/>
  <c r="M230"/>
  <c r="N229"/>
  <c r="M229"/>
  <c r="N228"/>
  <c r="M228"/>
  <c r="M234" s="1"/>
  <c r="P227"/>
  <c r="O227"/>
  <c r="E227"/>
  <c r="D227"/>
  <c r="K226"/>
  <c r="J226"/>
  <c r="J253" s="1"/>
  <c r="I226"/>
  <c r="H226"/>
  <c r="G226"/>
  <c r="F226"/>
  <c r="F227" s="1"/>
  <c r="E226"/>
  <c r="D226"/>
  <c r="N225"/>
  <c r="M225"/>
  <c r="M227" s="1"/>
  <c r="N224"/>
  <c r="M224"/>
  <c r="N223"/>
  <c r="M223"/>
  <c r="N222"/>
  <c r="M222"/>
  <c r="M221"/>
  <c r="N221" s="1"/>
  <c r="N227" s="1"/>
  <c r="N220"/>
  <c r="N226" s="1"/>
  <c r="M220"/>
  <c r="M226" s="1"/>
  <c r="B220"/>
  <c r="P219"/>
  <c r="O219"/>
  <c r="E219"/>
  <c r="D219"/>
  <c r="K218"/>
  <c r="K253" s="1"/>
  <c r="J218"/>
  <c r="I218"/>
  <c r="H218"/>
  <c r="G218"/>
  <c r="F218"/>
  <c r="F219" s="1"/>
  <c r="E218"/>
  <c r="D218"/>
  <c r="N217"/>
  <c r="N219" s="1"/>
  <c r="M217"/>
  <c r="M219" s="1"/>
  <c r="N216"/>
  <c r="M216"/>
  <c r="N215"/>
  <c r="M215"/>
  <c r="N214"/>
  <c r="M214"/>
  <c r="N213"/>
  <c r="M213"/>
  <c r="N212"/>
  <c r="N218" s="1"/>
  <c r="M212"/>
  <c r="M218" s="1"/>
  <c r="B212"/>
  <c r="P211"/>
  <c r="O211"/>
  <c r="E211"/>
  <c r="D211"/>
  <c r="K210"/>
  <c r="J210"/>
  <c r="I210"/>
  <c r="H210"/>
  <c r="G210"/>
  <c r="F210"/>
  <c r="F211" s="1"/>
  <c r="E210"/>
  <c r="D210"/>
  <c r="N209"/>
  <c r="M209"/>
  <c r="N208"/>
  <c r="M208"/>
  <c r="M207"/>
  <c r="N207" s="1"/>
  <c r="M206"/>
  <c r="N206" s="1"/>
  <c r="N205"/>
  <c r="M205"/>
  <c r="M204"/>
  <c r="M211" s="1"/>
  <c r="B204"/>
  <c r="P203"/>
  <c r="O203"/>
  <c r="E203"/>
  <c r="D203"/>
  <c r="K202"/>
  <c r="J202"/>
  <c r="I202"/>
  <c r="H202"/>
  <c r="G202"/>
  <c r="F202"/>
  <c r="F203" s="1"/>
  <c r="E202"/>
  <c r="D202"/>
  <c r="N201"/>
  <c r="M201"/>
  <c r="N200"/>
  <c r="M200"/>
  <c r="N199"/>
  <c r="M199"/>
  <c r="N198"/>
  <c r="M198"/>
  <c r="N197"/>
  <c r="M197"/>
  <c r="N196"/>
  <c r="N203" s="1"/>
  <c r="M196"/>
  <c r="M203" s="1"/>
  <c r="B196"/>
  <c r="P195"/>
  <c r="O195"/>
  <c r="E195"/>
  <c r="D195"/>
  <c r="K194"/>
  <c r="J194"/>
  <c r="I194"/>
  <c r="H194"/>
  <c r="G194"/>
  <c r="F194"/>
  <c r="F195" s="1"/>
  <c r="E194"/>
  <c r="D194"/>
  <c r="N193"/>
  <c r="M193"/>
  <c r="M192"/>
  <c r="N192" s="1"/>
  <c r="M191"/>
  <c r="N191" s="1"/>
  <c r="N190"/>
  <c r="M190"/>
  <c r="M189"/>
  <c r="N189" s="1"/>
  <c r="N188"/>
  <c r="M188"/>
  <c r="M195" s="1"/>
  <c r="B188"/>
  <c r="P187"/>
  <c r="O187"/>
  <c r="E187"/>
  <c r="D187"/>
  <c r="K186"/>
  <c r="J186"/>
  <c r="I186"/>
  <c r="H186"/>
  <c r="G186"/>
  <c r="F186"/>
  <c r="F187" s="1"/>
  <c r="E186"/>
  <c r="D186"/>
  <c r="N185"/>
  <c r="M185"/>
  <c r="N184"/>
  <c r="M184"/>
  <c r="N183"/>
  <c r="M183"/>
  <c r="N182"/>
  <c r="M182"/>
  <c r="N181"/>
  <c r="M181"/>
  <c r="M180"/>
  <c r="M187" s="1"/>
  <c r="B180"/>
  <c r="P179"/>
  <c r="O179"/>
  <c r="E179"/>
  <c r="D179"/>
  <c r="K178"/>
  <c r="J178"/>
  <c r="I178"/>
  <c r="H178"/>
  <c r="F179" s="1"/>
  <c r="G178"/>
  <c r="F178"/>
  <c r="E178"/>
  <c r="D178"/>
  <c r="M177"/>
  <c r="N177" s="1"/>
  <c r="M176"/>
  <c r="N176" s="1"/>
  <c r="N175"/>
  <c r="M175"/>
  <c r="M174"/>
  <c r="M178" s="1"/>
  <c r="N173"/>
  <c r="M173"/>
  <c r="N172"/>
  <c r="M172"/>
  <c r="M179" s="1"/>
  <c r="B172"/>
  <c r="P171"/>
  <c r="O171"/>
  <c r="E171"/>
  <c r="D171"/>
  <c r="K170"/>
  <c r="J170"/>
  <c r="I170"/>
  <c r="H170"/>
  <c r="F171" s="1"/>
  <c r="G170"/>
  <c r="F170"/>
  <c r="E170"/>
  <c r="D170"/>
  <c r="N169"/>
  <c r="M169"/>
  <c r="N168"/>
  <c r="M168"/>
  <c r="M167"/>
  <c r="N167" s="1"/>
  <c r="N166"/>
  <c r="M166"/>
  <c r="M165"/>
  <c r="N165" s="1"/>
  <c r="N164"/>
  <c r="M164"/>
  <c r="M171" s="1"/>
  <c r="B164"/>
  <c r="P163"/>
  <c r="O163"/>
  <c r="E163"/>
  <c r="D163"/>
  <c r="K162"/>
  <c r="J162"/>
  <c r="I162"/>
  <c r="H162"/>
  <c r="F163" s="1"/>
  <c r="G162"/>
  <c r="F162"/>
  <c r="E162"/>
  <c r="D162"/>
  <c r="M161"/>
  <c r="N161" s="1"/>
  <c r="N160"/>
  <c r="M160"/>
  <c r="M159"/>
  <c r="N159" s="1"/>
  <c r="N158"/>
  <c r="M158"/>
  <c r="N157"/>
  <c r="M157"/>
  <c r="M163" s="1"/>
  <c r="N156"/>
  <c r="N163" s="1"/>
  <c r="M156"/>
  <c r="M162" s="1"/>
  <c r="B156"/>
  <c r="P155"/>
  <c r="O155"/>
  <c r="E155"/>
  <c r="D155"/>
  <c r="K154"/>
  <c r="J154"/>
  <c r="I154"/>
  <c r="F155" s="1"/>
  <c r="H154"/>
  <c r="G154"/>
  <c r="F154"/>
  <c r="E154"/>
  <c r="D154"/>
  <c r="N153"/>
  <c r="M153"/>
  <c r="M152"/>
  <c r="N152" s="1"/>
  <c r="N151"/>
  <c r="M151"/>
  <c r="M150"/>
  <c r="M154" s="1"/>
  <c r="N149"/>
  <c r="M149"/>
  <c r="M155" s="1"/>
  <c r="N148"/>
  <c r="M148"/>
  <c r="B148"/>
  <c r="P147"/>
  <c r="O147"/>
  <c r="F147"/>
  <c r="E147"/>
  <c r="D147"/>
  <c r="K146"/>
  <c r="J146"/>
  <c r="I146"/>
  <c r="H146"/>
  <c r="G146"/>
  <c r="F146"/>
  <c r="E146"/>
  <c r="D146"/>
  <c r="N145"/>
  <c r="M145"/>
  <c r="M144"/>
  <c r="N144" s="1"/>
  <c r="N146" s="1"/>
  <c r="N143"/>
  <c r="M143"/>
  <c r="N142"/>
  <c r="M142"/>
  <c r="M146" s="1"/>
  <c r="N141"/>
  <c r="N147" s="1"/>
  <c r="M141"/>
  <c r="M147" s="1"/>
  <c r="N140"/>
  <c r="M140"/>
  <c r="B140"/>
  <c r="P139"/>
  <c r="O139"/>
  <c r="F139"/>
  <c r="E139"/>
  <c r="D139"/>
  <c r="K138"/>
  <c r="J138"/>
  <c r="I138"/>
  <c r="H138"/>
  <c r="G138"/>
  <c r="F138"/>
  <c r="E138"/>
  <c r="D138"/>
  <c r="M137"/>
  <c r="N137" s="1"/>
  <c r="N136"/>
  <c r="M136"/>
  <c r="M135"/>
  <c r="N135" s="1"/>
  <c r="N134"/>
  <c r="M134"/>
  <c r="M138" s="1"/>
  <c r="N133"/>
  <c r="M133"/>
  <c r="N132"/>
  <c r="M132"/>
  <c r="B132"/>
  <c r="P131"/>
  <c r="O131"/>
  <c r="E131"/>
  <c r="D131"/>
  <c r="K130"/>
  <c r="J130"/>
  <c r="I130"/>
  <c r="H130"/>
  <c r="G130"/>
  <c r="F130"/>
  <c r="F131" s="1"/>
  <c r="E130"/>
  <c r="D130"/>
  <c r="M129"/>
  <c r="M131" s="1"/>
  <c r="N128"/>
  <c r="M128"/>
  <c r="N127"/>
  <c r="M127"/>
  <c r="M130" s="1"/>
  <c r="N126"/>
  <c r="M126"/>
  <c r="N125"/>
  <c r="M125"/>
  <c r="N124"/>
  <c r="M124"/>
  <c r="B124"/>
  <c r="P123"/>
  <c r="O123"/>
  <c r="F123"/>
  <c r="E123"/>
  <c r="D123"/>
  <c r="K122"/>
  <c r="J122"/>
  <c r="I122"/>
  <c r="H122"/>
  <c r="G122"/>
  <c r="F122"/>
  <c r="E122"/>
  <c r="D122"/>
  <c r="N121"/>
  <c r="M121"/>
  <c r="M120"/>
  <c r="N120" s="1"/>
  <c r="N123" s="1"/>
  <c r="N119"/>
  <c r="M119"/>
  <c r="M123" s="1"/>
  <c r="N118"/>
  <c r="N122" s="1"/>
  <c r="M118"/>
  <c r="M122" s="1"/>
  <c r="N117"/>
  <c r="M117"/>
  <c r="N116"/>
  <c r="M116"/>
  <c r="B116"/>
  <c r="P115"/>
  <c r="O115"/>
  <c r="F115"/>
  <c r="E115"/>
  <c r="D115"/>
  <c r="K114"/>
  <c r="J114"/>
  <c r="I114"/>
  <c r="H114"/>
  <c r="G114"/>
  <c r="F114"/>
  <c r="E114"/>
  <c r="D114"/>
  <c r="N113"/>
  <c r="M113"/>
  <c r="N112"/>
  <c r="M112"/>
  <c r="N111"/>
  <c r="M111"/>
  <c r="N110"/>
  <c r="M110"/>
  <c r="N109"/>
  <c r="M109"/>
  <c r="M108"/>
  <c r="N108" s="1"/>
  <c r="B108"/>
  <c r="P107"/>
  <c r="O107"/>
  <c r="E107"/>
  <c r="D107"/>
  <c r="K106"/>
  <c r="J106"/>
  <c r="I106"/>
  <c r="F107" s="1"/>
  <c r="H106"/>
  <c r="G106"/>
  <c r="F106"/>
  <c r="E106"/>
  <c r="D106"/>
  <c r="M105"/>
  <c r="N105" s="1"/>
  <c r="N104"/>
  <c r="M104"/>
  <c r="N103"/>
  <c r="M103"/>
  <c r="N102"/>
  <c r="M102"/>
  <c r="N101"/>
  <c r="M101"/>
  <c r="N100"/>
  <c r="N106" s="1"/>
  <c r="M100"/>
  <c r="M106" s="1"/>
  <c r="B100"/>
  <c r="P99"/>
  <c r="O99"/>
  <c r="E99"/>
  <c r="D99"/>
  <c r="K98"/>
  <c r="J98"/>
  <c r="I98"/>
  <c r="H98"/>
  <c r="G98"/>
  <c r="F98"/>
  <c r="F99" s="1"/>
  <c r="E98"/>
  <c r="D98"/>
  <c r="N97"/>
  <c r="M97"/>
  <c r="M99" s="1"/>
  <c r="N96"/>
  <c r="M96"/>
  <c r="N95"/>
  <c r="M95"/>
  <c r="M94"/>
  <c r="N94" s="1"/>
  <c r="M93"/>
  <c r="N93" s="1"/>
  <c r="N92"/>
  <c r="M92"/>
  <c r="M98" s="1"/>
  <c r="B92"/>
  <c r="P91"/>
  <c r="O91"/>
  <c r="E91"/>
  <c r="D91"/>
  <c r="K90"/>
  <c r="J90"/>
  <c r="I90"/>
  <c r="H90"/>
  <c r="G90"/>
  <c r="F90"/>
  <c r="F91" s="1"/>
  <c r="E90"/>
  <c r="D90"/>
  <c r="N89"/>
  <c r="M89"/>
  <c r="M91" s="1"/>
  <c r="N88"/>
  <c r="M88"/>
  <c r="N87"/>
  <c r="M87"/>
  <c r="M86"/>
  <c r="N86" s="1"/>
  <c r="N85"/>
  <c r="M85"/>
  <c r="M84"/>
  <c r="M90" s="1"/>
  <c r="B84"/>
  <c r="P83"/>
  <c r="O83"/>
  <c r="E83"/>
  <c r="D83"/>
  <c r="K82"/>
  <c r="J82"/>
  <c r="I82"/>
  <c r="H82"/>
  <c r="G82"/>
  <c r="F82"/>
  <c r="F83" s="1"/>
  <c r="E82"/>
  <c r="D82"/>
  <c r="N81"/>
  <c r="M81"/>
  <c r="N80"/>
  <c r="M80"/>
  <c r="M79"/>
  <c r="N79" s="1"/>
  <c r="M78"/>
  <c r="N78" s="1"/>
  <c r="N77"/>
  <c r="M77"/>
  <c r="M76"/>
  <c r="M83" s="1"/>
  <c r="B76"/>
  <c r="P75"/>
  <c r="O75"/>
  <c r="E75"/>
  <c r="D75"/>
  <c r="K74"/>
  <c r="J74"/>
  <c r="I74"/>
  <c r="H74"/>
  <c r="G74"/>
  <c r="F74"/>
  <c r="F75" s="1"/>
  <c r="E74"/>
  <c r="D74"/>
  <c r="N73"/>
  <c r="M73"/>
  <c r="M72"/>
  <c r="N72" s="1"/>
  <c r="M71"/>
  <c r="N71" s="1"/>
  <c r="N70"/>
  <c r="M70"/>
  <c r="M69"/>
  <c r="N69" s="1"/>
  <c r="N68"/>
  <c r="M68"/>
  <c r="M75" s="1"/>
  <c r="B68"/>
  <c r="P67"/>
  <c r="O67"/>
  <c r="E67"/>
  <c r="D67"/>
  <c r="K66"/>
  <c r="J66"/>
  <c r="I66"/>
  <c r="H66"/>
  <c r="G66"/>
  <c r="F66"/>
  <c r="F67" s="1"/>
  <c r="E66"/>
  <c r="D66"/>
  <c r="N65"/>
  <c r="M65"/>
  <c r="N64"/>
  <c r="M64"/>
  <c r="M63"/>
  <c r="N63" s="1"/>
  <c r="N62"/>
  <c r="M62"/>
  <c r="M61"/>
  <c r="N61" s="1"/>
  <c r="N60"/>
  <c r="M60"/>
  <c r="M67" s="1"/>
  <c r="B60"/>
  <c r="P59"/>
  <c r="O59"/>
  <c r="E59"/>
  <c r="D59"/>
  <c r="K58"/>
  <c r="J58"/>
  <c r="I58"/>
  <c r="H58"/>
  <c r="G58"/>
  <c r="F58"/>
  <c r="F59" s="1"/>
  <c r="E58"/>
  <c r="D58"/>
  <c r="N57"/>
  <c r="M57"/>
  <c r="M56"/>
  <c r="N56" s="1"/>
  <c r="N55"/>
  <c r="M55"/>
  <c r="M54"/>
  <c r="N54" s="1"/>
  <c r="N53"/>
  <c r="M53"/>
  <c r="M52"/>
  <c r="M59" s="1"/>
  <c r="B52"/>
  <c r="P51"/>
  <c r="O51"/>
  <c r="E51"/>
  <c r="D51"/>
  <c r="K50"/>
  <c r="J50"/>
  <c r="I50"/>
  <c r="H50"/>
  <c r="F51" s="1"/>
  <c r="G50"/>
  <c r="F50"/>
  <c r="E50"/>
  <c r="D50"/>
  <c r="M49"/>
  <c r="N49" s="1"/>
  <c r="M48"/>
  <c r="N48" s="1"/>
  <c r="N47"/>
  <c r="M47"/>
  <c r="M46"/>
  <c r="M50" s="1"/>
  <c r="N45"/>
  <c r="M45"/>
  <c r="N44"/>
  <c r="M44"/>
  <c r="M51" s="1"/>
  <c r="B44"/>
  <c r="P43"/>
  <c r="O43"/>
  <c r="E43"/>
  <c r="D43"/>
  <c r="K42"/>
  <c r="J42"/>
  <c r="I42"/>
  <c r="H42"/>
  <c r="F43" s="1"/>
  <c r="G42"/>
  <c r="F42"/>
  <c r="E42"/>
  <c r="D42"/>
  <c r="M41"/>
  <c r="N41" s="1"/>
  <c r="N40"/>
  <c r="M40"/>
  <c r="M39"/>
  <c r="N39" s="1"/>
  <c r="N38"/>
  <c r="M38"/>
  <c r="M37"/>
  <c r="N37" s="1"/>
  <c r="N42" s="1"/>
  <c r="N36"/>
  <c r="M36"/>
  <c r="M43" s="1"/>
  <c r="B36"/>
  <c r="P35"/>
  <c r="O35"/>
  <c r="E35"/>
  <c r="D35"/>
  <c r="K34"/>
  <c r="J34"/>
  <c r="I34"/>
  <c r="H34"/>
  <c r="F35" s="1"/>
  <c r="G34"/>
  <c r="F34"/>
  <c r="E34"/>
  <c r="D34"/>
  <c r="M33"/>
  <c r="N33" s="1"/>
  <c r="N32"/>
  <c r="M32"/>
  <c r="M31"/>
  <c r="N31" s="1"/>
  <c r="N30"/>
  <c r="M30"/>
  <c r="N29"/>
  <c r="M29"/>
  <c r="M35" s="1"/>
  <c r="N28"/>
  <c r="M28"/>
  <c r="M34" s="1"/>
  <c r="B28"/>
  <c r="P27"/>
  <c r="O27"/>
  <c r="E27"/>
  <c r="D27"/>
  <c r="K26"/>
  <c r="J26"/>
  <c r="I26"/>
  <c r="F27" s="1"/>
  <c r="H26"/>
  <c r="G26"/>
  <c r="F26"/>
  <c r="E26"/>
  <c r="D26"/>
  <c r="N25"/>
  <c r="M25"/>
  <c r="M24"/>
  <c r="N24" s="1"/>
  <c r="N23"/>
  <c r="M23"/>
  <c r="M22"/>
  <c r="N22" s="1"/>
  <c r="N21"/>
  <c r="N27" s="1"/>
  <c r="M21"/>
  <c r="M27" s="1"/>
  <c r="N20"/>
  <c r="M20"/>
  <c r="B20"/>
  <c r="P19"/>
  <c r="O19"/>
  <c r="F19"/>
  <c r="E19"/>
  <c r="D19"/>
  <c r="K18"/>
  <c r="J18"/>
  <c r="I18"/>
  <c r="H18"/>
  <c r="G18"/>
  <c r="F18"/>
  <c r="E18"/>
  <c r="D18"/>
  <c r="N17"/>
  <c r="M17"/>
  <c r="M16"/>
  <c r="N16" s="1"/>
  <c r="N15"/>
  <c r="M15"/>
  <c r="N14"/>
  <c r="M14"/>
  <c r="M18" s="1"/>
  <c r="N13"/>
  <c r="M13"/>
  <c r="M19" s="1"/>
  <c r="M12"/>
  <c r="N12" s="1"/>
  <c r="B12"/>
  <c r="P11"/>
  <c r="O11"/>
  <c r="F11"/>
  <c r="E11"/>
  <c r="D11"/>
  <c r="K10"/>
  <c r="J10"/>
  <c r="I10"/>
  <c r="H10"/>
  <c r="G10"/>
  <c r="F10"/>
  <c r="E10"/>
  <c r="D10"/>
  <c r="M9"/>
  <c r="N9" s="1"/>
  <c r="N8"/>
  <c r="M8"/>
  <c r="N7"/>
  <c r="M7"/>
  <c r="M10" s="1"/>
  <c r="N6"/>
  <c r="M6"/>
  <c r="M5"/>
  <c r="N5" s="1"/>
  <c r="N4"/>
  <c r="M4"/>
  <c r="B4"/>
  <c r="P251" i="47"/>
  <c r="O251"/>
  <c r="M251"/>
  <c r="F251"/>
  <c r="E251"/>
  <c r="D251"/>
  <c r="K250"/>
  <c r="J250"/>
  <c r="I250"/>
  <c r="I253" s="1"/>
  <c r="H250"/>
  <c r="H253" s="1"/>
  <c r="G250"/>
  <c r="G253" s="1"/>
  <c r="F250"/>
  <c r="F253" s="1"/>
  <c r="E250"/>
  <c r="D250"/>
  <c r="N249"/>
  <c r="M249"/>
  <c r="N248"/>
  <c r="M248"/>
  <c r="N247"/>
  <c r="M247"/>
  <c r="N246"/>
  <c r="M246"/>
  <c r="N245"/>
  <c r="M245"/>
  <c r="M250" s="1"/>
  <c r="M244"/>
  <c r="N244" s="1"/>
  <c r="P243"/>
  <c r="O243"/>
  <c r="O253" s="1"/>
  <c r="M243"/>
  <c r="F243"/>
  <c r="E243"/>
  <c r="D243"/>
  <c r="K242"/>
  <c r="J242"/>
  <c r="I242"/>
  <c r="H242"/>
  <c r="G242"/>
  <c r="F242"/>
  <c r="E242"/>
  <c r="D242"/>
  <c r="D253" s="1"/>
  <c r="D254" s="1"/>
  <c r="N241"/>
  <c r="M241"/>
  <c r="N240"/>
  <c r="M240"/>
  <c r="N239"/>
  <c r="M239"/>
  <c r="M238"/>
  <c r="N238" s="1"/>
  <c r="N237"/>
  <c r="M237"/>
  <c r="M236"/>
  <c r="N236" s="1"/>
  <c r="P235"/>
  <c r="O235"/>
  <c r="N235"/>
  <c r="F235"/>
  <c r="E235"/>
  <c r="D235"/>
  <c r="K234"/>
  <c r="J234"/>
  <c r="I234"/>
  <c r="H234"/>
  <c r="G234"/>
  <c r="F234"/>
  <c r="E234"/>
  <c r="E253" s="1"/>
  <c r="E254" s="1"/>
  <c r="D234"/>
  <c r="N233"/>
  <c r="M233"/>
  <c r="M235" s="1"/>
  <c r="N232"/>
  <c r="M232"/>
  <c r="N231"/>
  <c r="M231"/>
  <c r="N230"/>
  <c r="M230"/>
  <c r="N229"/>
  <c r="M229"/>
  <c r="N228"/>
  <c r="N234" s="1"/>
  <c r="M228"/>
  <c r="M234" s="1"/>
  <c r="P227"/>
  <c r="O227"/>
  <c r="E227"/>
  <c r="D227"/>
  <c r="K226"/>
  <c r="J226"/>
  <c r="I226"/>
  <c r="H226"/>
  <c r="G226"/>
  <c r="F226"/>
  <c r="F227" s="1"/>
  <c r="E226"/>
  <c r="D226"/>
  <c r="N225"/>
  <c r="M225"/>
  <c r="M227" s="1"/>
  <c r="N224"/>
  <c r="M224"/>
  <c r="M223"/>
  <c r="N223" s="1"/>
  <c r="N222"/>
  <c r="M222"/>
  <c r="M221"/>
  <c r="N221" s="1"/>
  <c r="N220"/>
  <c r="M220"/>
  <c r="B220"/>
  <c r="P219"/>
  <c r="O219"/>
  <c r="E219"/>
  <c r="D219"/>
  <c r="K218"/>
  <c r="J218"/>
  <c r="I218"/>
  <c r="H218"/>
  <c r="G218"/>
  <c r="F218"/>
  <c r="F219" s="1"/>
  <c r="E218"/>
  <c r="D218"/>
  <c r="N217"/>
  <c r="M217"/>
  <c r="M219" s="1"/>
  <c r="N216"/>
  <c r="M216"/>
  <c r="N215"/>
  <c r="M215"/>
  <c r="N214"/>
  <c r="M214"/>
  <c r="N213"/>
  <c r="M213"/>
  <c r="M218" s="1"/>
  <c r="M212"/>
  <c r="N212" s="1"/>
  <c r="B212"/>
  <c r="P211"/>
  <c r="O211"/>
  <c r="E211"/>
  <c r="D211"/>
  <c r="K210"/>
  <c r="J210"/>
  <c r="I210"/>
  <c r="H210"/>
  <c r="G210"/>
  <c r="F210"/>
  <c r="F211" s="1"/>
  <c r="E210"/>
  <c r="D210"/>
  <c r="N209"/>
  <c r="M209"/>
  <c r="M208"/>
  <c r="N208" s="1"/>
  <c r="N207"/>
  <c r="M207"/>
  <c r="M206"/>
  <c r="N206" s="1"/>
  <c r="N205"/>
  <c r="M205"/>
  <c r="M204"/>
  <c r="M211" s="1"/>
  <c r="B204"/>
  <c r="P203"/>
  <c r="O203"/>
  <c r="E203"/>
  <c r="D203"/>
  <c r="K202"/>
  <c r="J202"/>
  <c r="I202"/>
  <c r="H202"/>
  <c r="G202"/>
  <c r="F202"/>
  <c r="F203" s="1"/>
  <c r="E202"/>
  <c r="D202"/>
  <c r="N201"/>
  <c r="M201"/>
  <c r="N200"/>
  <c r="M200"/>
  <c r="N199"/>
  <c r="M199"/>
  <c r="N198"/>
  <c r="M198"/>
  <c r="M197"/>
  <c r="N197" s="1"/>
  <c r="N196"/>
  <c r="M196"/>
  <c r="M203" s="1"/>
  <c r="B196"/>
  <c r="P195"/>
  <c r="O195"/>
  <c r="E195"/>
  <c r="D195"/>
  <c r="K194"/>
  <c r="J194"/>
  <c r="J253" s="1"/>
  <c r="I194"/>
  <c r="H194"/>
  <c r="G194"/>
  <c r="F194"/>
  <c r="F195" s="1"/>
  <c r="E194"/>
  <c r="D194"/>
  <c r="M193"/>
  <c r="N193" s="1"/>
  <c r="N192"/>
  <c r="M192"/>
  <c r="M191"/>
  <c r="N191" s="1"/>
  <c r="N190"/>
  <c r="M190"/>
  <c r="M189"/>
  <c r="N189" s="1"/>
  <c r="N188"/>
  <c r="M188"/>
  <c r="M195" s="1"/>
  <c r="B188"/>
  <c r="P187"/>
  <c r="O187"/>
  <c r="E187"/>
  <c r="D187"/>
  <c r="K186"/>
  <c r="K253" s="1"/>
  <c r="J186"/>
  <c r="I186"/>
  <c r="H186"/>
  <c r="G186"/>
  <c r="F186"/>
  <c r="F187" s="1"/>
  <c r="E186"/>
  <c r="D186"/>
  <c r="N185"/>
  <c r="M185"/>
  <c r="N184"/>
  <c r="M184"/>
  <c r="N183"/>
  <c r="M183"/>
  <c r="M182"/>
  <c r="N182" s="1"/>
  <c r="N181"/>
  <c r="M181"/>
  <c r="N180"/>
  <c r="N187" s="1"/>
  <c r="M180"/>
  <c r="M187" s="1"/>
  <c r="B180"/>
  <c r="P179"/>
  <c r="O179"/>
  <c r="E179"/>
  <c r="D179"/>
  <c r="K178"/>
  <c r="J178"/>
  <c r="I178"/>
  <c r="H178"/>
  <c r="G178"/>
  <c r="F178"/>
  <c r="F179" s="1"/>
  <c r="E178"/>
  <c r="D178"/>
  <c r="M177"/>
  <c r="N177" s="1"/>
  <c r="M176"/>
  <c r="N176" s="1"/>
  <c r="N175"/>
  <c r="M175"/>
  <c r="M174"/>
  <c r="M178" s="1"/>
  <c r="N173"/>
  <c r="M173"/>
  <c r="N172"/>
  <c r="M172"/>
  <c r="M179" s="1"/>
  <c r="B172"/>
  <c r="P171"/>
  <c r="O171"/>
  <c r="E171"/>
  <c r="D171"/>
  <c r="K170"/>
  <c r="J170"/>
  <c r="I170"/>
  <c r="H170"/>
  <c r="G170"/>
  <c r="F171" s="1"/>
  <c r="F170"/>
  <c r="E170"/>
  <c r="D170"/>
  <c r="N169"/>
  <c r="M169"/>
  <c r="N168"/>
  <c r="M168"/>
  <c r="M167"/>
  <c r="N167" s="1"/>
  <c r="N166"/>
  <c r="N170" s="1"/>
  <c r="M166"/>
  <c r="M170" s="1"/>
  <c r="N165"/>
  <c r="M165"/>
  <c r="N164"/>
  <c r="N171" s="1"/>
  <c r="M164"/>
  <c r="M171" s="1"/>
  <c r="B164"/>
  <c r="P163"/>
  <c r="O163"/>
  <c r="E163"/>
  <c r="D163"/>
  <c r="K162"/>
  <c r="J162"/>
  <c r="I162"/>
  <c r="H162"/>
  <c r="G162"/>
  <c r="F162"/>
  <c r="F163" s="1"/>
  <c r="E162"/>
  <c r="D162"/>
  <c r="M161"/>
  <c r="N161" s="1"/>
  <c r="N160"/>
  <c r="M160"/>
  <c r="M159"/>
  <c r="N159" s="1"/>
  <c r="N158"/>
  <c r="M158"/>
  <c r="M162" s="1"/>
  <c r="N157"/>
  <c r="M157"/>
  <c r="N156"/>
  <c r="M156"/>
  <c r="M163" s="1"/>
  <c r="B156"/>
  <c r="P155"/>
  <c r="O155"/>
  <c r="E155"/>
  <c r="D155"/>
  <c r="K154"/>
  <c r="J154"/>
  <c r="I154"/>
  <c r="H154"/>
  <c r="G154"/>
  <c r="F154"/>
  <c r="F155" s="1"/>
  <c r="E154"/>
  <c r="D154"/>
  <c r="N153"/>
  <c r="M153"/>
  <c r="M152"/>
  <c r="N152" s="1"/>
  <c r="N151"/>
  <c r="M151"/>
  <c r="N150"/>
  <c r="M150"/>
  <c r="M154" s="1"/>
  <c r="N149"/>
  <c r="M149"/>
  <c r="M155" s="1"/>
  <c r="N148"/>
  <c r="N155" s="1"/>
  <c r="M148"/>
  <c r="B148"/>
  <c r="P147"/>
  <c r="O147"/>
  <c r="F147"/>
  <c r="E147"/>
  <c r="D147"/>
  <c r="K146"/>
  <c r="J146"/>
  <c r="I146"/>
  <c r="H146"/>
  <c r="G146"/>
  <c r="F146"/>
  <c r="E146"/>
  <c r="D146"/>
  <c r="N145"/>
  <c r="M145"/>
  <c r="M144"/>
  <c r="N144" s="1"/>
  <c r="N143"/>
  <c r="M143"/>
  <c r="N142"/>
  <c r="M142"/>
  <c r="M146" s="1"/>
  <c r="N141"/>
  <c r="M141"/>
  <c r="N140"/>
  <c r="M140"/>
  <c r="M147" s="1"/>
  <c r="B140"/>
  <c r="P139"/>
  <c r="O139"/>
  <c r="F139"/>
  <c r="E139"/>
  <c r="D139"/>
  <c r="K138"/>
  <c r="J138"/>
  <c r="I138"/>
  <c r="H138"/>
  <c r="G138"/>
  <c r="F138"/>
  <c r="E138"/>
  <c r="D138"/>
  <c r="M137"/>
  <c r="N137" s="1"/>
  <c r="N136"/>
  <c r="M136"/>
  <c r="N135"/>
  <c r="M135"/>
  <c r="N134"/>
  <c r="M134"/>
  <c r="M138" s="1"/>
  <c r="N133"/>
  <c r="M133"/>
  <c r="N132"/>
  <c r="N139" s="1"/>
  <c r="M132"/>
  <c r="M139" s="1"/>
  <c r="B132"/>
  <c r="P131"/>
  <c r="O131"/>
  <c r="M131"/>
  <c r="F131"/>
  <c r="E131"/>
  <c r="D131"/>
  <c r="K130"/>
  <c r="J130"/>
  <c r="I130"/>
  <c r="H130"/>
  <c r="G130"/>
  <c r="F130"/>
  <c r="E130"/>
  <c r="D130"/>
  <c r="M129"/>
  <c r="N129" s="1"/>
  <c r="N128"/>
  <c r="M128"/>
  <c r="N127"/>
  <c r="M127"/>
  <c r="N126"/>
  <c r="M126"/>
  <c r="M130" s="1"/>
  <c r="N125"/>
  <c r="M125"/>
  <c r="N124"/>
  <c r="M124"/>
  <c r="B124"/>
  <c r="P123"/>
  <c r="O123"/>
  <c r="N123"/>
  <c r="M123"/>
  <c r="F123"/>
  <c r="E123"/>
  <c r="D123"/>
  <c r="K122"/>
  <c r="J122"/>
  <c r="I122"/>
  <c r="H122"/>
  <c r="G122"/>
  <c r="F122"/>
  <c r="E122"/>
  <c r="D122"/>
  <c r="N121"/>
  <c r="M121"/>
  <c r="N120"/>
  <c r="M120"/>
  <c r="N119"/>
  <c r="M119"/>
  <c r="N118"/>
  <c r="N122" s="1"/>
  <c r="M118"/>
  <c r="M122" s="1"/>
  <c r="N117"/>
  <c r="M117"/>
  <c r="N116"/>
  <c r="M116"/>
  <c r="B116"/>
  <c r="P115"/>
  <c r="O115"/>
  <c r="F115"/>
  <c r="E115"/>
  <c r="D115"/>
  <c r="K114"/>
  <c r="J114"/>
  <c r="I114"/>
  <c r="H114"/>
  <c r="G114"/>
  <c r="F114"/>
  <c r="E114"/>
  <c r="D114"/>
  <c r="N113"/>
  <c r="M113"/>
  <c r="M115" s="1"/>
  <c r="N112"/>
  <c r="M112"/>
  <c r="N111"/>
  <c r="M111"/>
  <c r="M110"/>
  <c r="N110" s="1"/>
  <c r="M109"/>
  <c r="N109" s="1"/>
  <c r="M108"/>
  <c r="N108" s="1"/>
  <c r="B108"/>
  <c r="P107"/>
  <c r="P253" s="1"/>
  <c r="O107"/>
  <c r="F107"/>
  <c r="E107"/>
  <c r="D107"/>
  <c r="K106"/>
  <c r="J106"/>
  <c r="I106"/>
  <c r="H106"/>
  <c r="G106"/>
  <c r="F106"/>
  <c r="E106"/>
  <c r="D106"/>
  <c r="N105"/>
  <c r="N107" s="1"/>
  <c r="M105"/>
  <c r="M107" s="1"/>
  <c r="N104"/>
  <c r="M104"/>
  <c r="N103"/>
  <c r="M103"/>
  <c r="N102"/>
  <c r="M102"/>
  <c r="N101"/>
  <c r="M101"/>
  <c r="N100"/>
  <c r="N106" s="1"/>
  <c r="M100"/>
  <c r="M106" s="1"/>
  <c r="B100"/>
  <c r="P99"/>
  <c r="O99"/>
  <c r="E99"/>
  <c r="D99"/>
  <c r="K98"/>
  <c r="J98"/>
  <c r="I98"/>
  <c r="H98"/>
  <c r="G98"/>
  <c r="F98"/>
  <c r="F99" s="1"/>
  <c r="E98"/>
  <c r="D98"/>
  <c r="N97"/>
  <c r="M97"/>
  <c r="M99" s="1"/>
  <c r="N96"/>
  <c r="M96"/>
  <c r="N95"/>
  <c r="M95"/>
  <c r="N94"/>
  <c r="M94"/>
  <c r="M93"/>
  <c r="N93" s="1"/>
  <c r="N99" s="1"/>
  <c r="N92"/>
  <c r="M92"/>
  <c r="B92"/>
  <c r="P91"/>
  <c r="O91"/>
  <c r="E91"/>
  <c r="D91"/>
  <c r="K90"/>
  <c r="J90"/>
  <c r="I90"/>
  <c r="H90"/>
  <c r="G90"/>
  <c r="F90"/>
  <c r="F91" s="1"/>
  <c r="E90"/>
  <c r="D90"/>
  <c r="N89"/>
  <c r="M89"/>
  <c r="M91" s="1"/>
  <c r="N88"/>
  <c r="M88"/>
  <c r="N87"/>
  <c r="M87"/>
  <c r="N86"/>
  <c r="M86"/>
  <c r="N85"/>
  <c r="M85"/>
  <c r="M90" s="1"/>
  <c r="M84"/>
  <c r="N84" s="1"/>
  <c r="B84"/>
  <c r="P83"/>
  <c r="O83"/>
  <c r="E83"/>
  <c r="D83"/>
  <c r="K82"/>
  <c r="J82"/>
  <c r="I82"/>
  <c r="H82"/>
  <c r="G82"/>
  <c r="F82"/>
  <c r="F83" s="1"/>
  <c r="E82"/>
  <c r="D82"/>
  <c r="N81"/>
  <c r="M81"/>
  <c r="N80"/>
  <c r="M80"/>
  <c r="N79"/>
  <c r="M79"/>
  <c r="M78"/>
  <c r="N78" s="1"/>
  <c r="N77"/>
  <c r="M77"/>
  <c r="M76"/>
  <c r="M83" s="1"/>
  <c r="B76"/>
  <c r="P75"/>
  <c r="O75"/>
  <c r="E75"/>
  <c r="D75"/>
  <c r="K74"/>
  <c r="J74"/>
  <c r="I74"/>
  <c r="H74"/>
  <c r="G74"/>
  <c r="F74"/>
  <c r="F75" s="1"/>
  <c r="E74"/>
  <c r="D74"/>
  <c r="N73"/>
  <c r="M73"/>
  <c r="N72"/>
  <c r="M72"/>
  <c r="N71"/>
  <c r="M71"/>
  <c r="N70"/>
  <c r="M70"/>
  <c r="M69"/>
  <c r="N69" s="1"/>
  <c r="N68"/>
  <c r="N75" s="1"/>
  <c r="M68"/>
  <c r="M75" s="1"/>
  <c r="B68"/>
  <c r="P67"/>
  <c r="O67"/>
  <c r="E67"/>
  <c r="D67"/>
  <c r="K66"/>
  <c r="J66"/>
  <c r="I66"/>
  <c r="H66"/>
  <c r="G66"/>
  <c r="F66"/>
  <c r="F67" s="1"/>
  <c r="E66"/>
  <c r="D66"/>
  <c r="N65"/>
  <c r="M65"/>
  <c r="M64"/>
  <c r="N64" s="1"/>
  <c r="M63"/>
  <c r="N63" s="1"/>
  <c r="N62"/>
  <c r="M62"/>
  <c r="M61"/>
  <c r="N61" s="1"/>
  <c r="N60"/>
  <c r="M60"/>
  <c r="M67" s="1"/>
  <c r="B60"/>
  <c r="P59"/>
  <c r="O59"/>
  <c r="E59"/>
  <c r="D59"/>
  <c r="K58"/>
  <c r="J58"/>
  <c r="I58"/>
  <c r="H58"/>
  <c r="G58"/>
  <c r="F58"/>
  <c r="F59" s="1"/>
  <c r="E58"/>
  <c r="D58"/>
  <c r="N57"/>
  <c r="M57"/>
  <c r="M56"/>
  <c r="N56" s="1"/>
  <c r="N55"/>
  <c r="M55"/>
  <c r="M54"/>
  <c r="N54" s="1"/>
  <c r="N53"/>
  <c r="M53"/>
  <c r="N52"/>
  <c r="M52"/>
  <c r="M59" s="1"/>
  <c r="B52"/>
  <c r="P51"/>
  <c r="O51"/>
  <c r="E51"/>
  <c r="D51"/>
  <c r="M50"/>
  <c r="K50"/>
  <c r="J50"/>
  <c r="I50"/>
  <c r="H50"/>
  <c r="G50"/>
  <c r="F50"/>
  <c r="F51" s="1"/>
  <c r="E50"/>
  <c r="D50"/>
  <c r="M49"/>
  <c r="N49" s="1"/>
  <c r="M48"/>
  <c r="N48" s="1"/>
  <c r="N47"/>
  <c r="M47"/>
  <c r="M46"/>
  <c r="N46" s="1"/>
  <c r="N45"/>
  <c r="M45"/>
  <c r="N44"/>
  <c r="M44"/>
  <c r="M51" s="1"/>
  <c r="B44"/>
  <c r="P43"/>
  <c r="O43"/>
  <c r="E43"/>
  <c r="D43"/>
  <c r="K42"/>
  <c r="J42"/>
  <c r="I42"/>
  <c r="H42"/>
  <c r="G42"/>
  <c r="F43" s="1"/>
  <c r="F42"/>
  <c r="E42"/>
  <c r="D42"/>
  <c r="N41"/>
  <c r="M41"/>
  <c r="N40"/>
  <c r="M40"/>
  <c r="M39"/>
  <c r="N39" s="1"/>
  <c r="N42" s="1"/>
  <c r="N38"/>
  <c r="M38"/>
  <c r="M42" s="1"/>
  <c r="N37"/>
  <c r="M37"/>
  <c r="N36"/>
  <c r="N43" s="1"/>
  <c r="M36"/>
  <c r="M43" s="1"/>
  <c r="B36"/>
  <c r="P35"/>
  <c r="O35"/>
  <c r="E35"/>
  <c r="D35"/>
  <c r="K34"/>
  <c r="J34"/>
  <c r="I34"/>
  <c r="H34"/>
  <c r="G34"/>
  <c r="F34"/>
  <c r="F35" s="1"/>
  <c r="E34"/>
  <c r="D34"/>
  <c r="M33"/>
  <c r="N33" s="1"/>
  <c r="N32"/>
  <c r="M32"/>
  <c r="M31"/>
  <c r="N31" s="1"/>
  <c r="N30"/>
  <c r="M30"/>
  <c r="M34" s="1"/>
  <c r="N29"/>
  <c r="M29"/>
  <c r="N28"/>
  <c r="M28"/>
  <c r="M35" s="1"/>
  <c r="B28"/>
  <c r="P27"/>
  <c r="O27"/>
  <c r="E27"/>
  <c r="D27"/>
  <c r="K26"/>
  <c r="J26"/>
  <c r="I26"/>
  <c r="H26"/>
  <c r="G26"/>
  <c r="F26"/>
  <c r="F27" s="1"/>
  <c r="E26"/>
  <c r="D26"/>
  <c r="N25"/>
  <c r="M25"/>
  <c r="M24"/>
  <c r="N24" s="1"/>
  <c r="N23"/>
  <c r="M23"/>
  <c r="M26" s="1"/>
  <c r="N22"/>
  <c r="N26" s="1"/>
  <c r="M22"/>
  <c r="N21"/>
  <c r="M21"/>
  <c r="M27" s="1"/>
  <c r="N20"/>
  <c r="N27" s="1"/>
  <c r="M20"/>
  <c r="B20"/>
  <c r="P19"/>
  <c r="O19"/>
  <c r="F19"/>
  <c r="E19"/>
  <c r="D19"/>
  <c r="K18"/>
  <c r="J18"/>
  <c r="I18"/>
  <c r="H18"/>
  <c r="G18"/>
  <c r="F18"/>
  <c r="E18"/>
  <c r="D18"/>
  <c r="N17"/>
  <c r="M17"/>
  <c r="M16"/>
  <c r="N16" s="1"/>
  <c r="N15"/>
  <c r="M15"/>
  <c r="N14"/>
  <c r="M14"/>
  <c r="M18" s="1"/>
  <c r="N13"/>
  <c r="M13"/>
  <c r="N12"/>
  <c r="M12"/>
  <c r="M19" s="1"/>
  <c r="B12"/>
  <c r="P11"/>
  <c r="O11"/>
  <c r="F11"/>
  <c r="E11"/>
  <c r="D11"/>
  <c r="K10"/>
  <c r="J10"/>
  <c r="I10"/>
  <c r="H10"/>
  <c r="G10"/>
  <c r="F10"/>
  <c r="E10"/>
  <c r="D10"/>
  <c r="M9"/>
  <c r="N9" s="1"/>
  <c r="N8"/>
  <c r="M8"/>
  <c r="N7"/>
  <c r="N10" s="1"/>
  <c r="M7"/>
  <c r="M10" s="1"/>
  <c r="N6"/>
  <c r="M6"/>
  <c r="N5"/>
  <c r="M5"/>
  <c r="N4"/>
  <c r="N11" s="1"/>
  <c r="M4"/>
  <c r="M11" s="1"/>
  <c r="B4"/>
  <c r="L254" i="46"/>
  <c r="V15" i="47" s="1"/>
  <c r="L253" i="46"/>
  <c r="P251"/>
  <c r="O251"/>
  <c r="E251"/>
  <c r="D251"/>
  <c r="K250"/>
  <c r="J250"/>
  <c r="I250"/>
  <c r="H250"/>
  <c r="G250"/>
  <c r="G253" s="1"/>
  <c r="F250"/>
  <c r="F253" s="1"/>
  <c r="E250"/>
  <c r="E253" s="1"/>
  <c r="E254" s="1"/>
  <c r="D250"/>
  <c r="N249"/>
  <c r="M249"/>
  <c r="M251" s="1"/>
  <c r="N248"/>
  <c r="M248"/>
  <c r="N247"/>
  <c r="M247"/>
  <c r="M246"/>
  <c r="M250" s="1"/>
  <c r="N245"/>
  <c r="M245"/>
  <c r="N244"/>
  <c r="M244"/>
  <c r="P243"/>
  <c r="O243"/>
  <c r="O253" s="1"/>
  <c r="E243"/>
  <c r="D243"/>
  <c r="K242"/>
  <c r="J242"/>
  <c r="I242"/>
  <c r="H242"/>
  <c r="H253" s="1"/>
  <c r="G242"/>
  <c r="F242"/>
  <c r="F243" s="1"/>
  <c r="E242"/>
  <c r="D242"/>
  <c r="N241"/>
  <c r="M241"/>
  <c r="N240"/>
  <c r="M240"/>
  <c r="N239"/>
  <c r="M239"/>
  <c r="N238"/>
  <c r="M238"/>
  <c r="N237"/>
  <c r="M237"/>
  <c r="M236"/>
  <c r="N236" s="1"/>
  <c r="P235"/>
  <c r="O235"/>
  <c r="E235"/>
  <c r="D235"/>
  <c r="K234"/>
  <c r="J234"/>
  <c r="I234"/>
  <c r="I253" s="1"/>
  <c r="H234"/>
  <c r="G234"/>
  <c r="F234"/>
  <c r="F235" s="1"/>
  <c r="E234"/>
  <c r="D234"/>
  <c r="N233"/>
  <c r="M233"/>
  <c r="N232"/>
  <c r="M232"/>
  <c r="M231"/>
  <c r="N231" s="1"/>
  <c r="N230"/>
  <c r="M230"/>
  <c r="N229"/>
  <c r="M229"/>
  <c r="N228"/>
  <c r="M228"/>
  <c r="M234" s="1"/>
  <c r="P227"/>
  <c r="O227"/>
  <c r="E227"/>
  <c r="D227"/>
  <c r="K226"/>
  <c r="J226"/>
  <c r="J253" s="1"/>
  <c r="I226"/>
  <c r="H226"/>
  <c r="G226"/>
  <c r="F226"/>
  <c r="F227" s="1"/>
  <c r="E226"/>
  <c r="D226"/>
  <c r="N225"/>
  <c r="M225"/>
  <c r="N224"/>
  <c r="M224"/>
  <c r="N223"/>
  <c r="M223"/>
  <c r="N222"/>
  <c r="M222"/>
  <c r="M221"/>
  <c r="N221" s="1"/>
  <c r="N220"/>
  <c r="M220"/>
  <c r="M226" s="1"/>
  <c r="B220"/>
  <c r="P219"/>
  <c r="O219"/>
  <c r="E219"/>
  <c r="D219"/>
  <c r="K218"/>
  <c r="K253" s="1"/>
  <c r="J218"/>
  <c r="I218"/>
  <c r="H218"/>
  <c r="G218"/>
  <c r="F218"/>
  <c r="F219" s="1"/>
  <c r="E218"/>
  <c r="D218"/>
  <c r="N217"/>
  <c r="M217"/>
  <c r="M216"/>
  <c r="N216" s="1"/>
  <c r="N215"/>
  <c r="M215"/>
  <c r="N214"/>
  <c r="M214"/>
  <c r="N213"/>
  <c r="M213"/>
  <c r="N212"/>
  <c r="M212"/>
  <c r="M218" s="1"/>
  <c r="B212"/>
  <c r="P211"/>
  <c r="O211"/>
  <c r="E211"/>
  <c r="D211"/>
  <c r="K210"/>
  <c r="J210"/>
  <c r="I210"/>
  <c r="H210"/>
  <c r="G210"/>
  <c r="F210"/>
  <c r="F211" s="1"/>
  <c r="E210"/>
  <c r="D210"/>
  <c r="N209"/>
  <c r="M209"/>
  <c r="N208"/>
  <c r="M208"/>
  <c r="N207"/>
  <c r="M207"/>
  <c r="M206"/>
  <c r="N206" s="1"/>
  <c r="N205"/>
  <c r="M205"/>
  <c r="M204"/>
  <c r="M211" s="1"/>
  <c r="B204"/>
  <c r="P203"/>
  <c r="O203"/>
  <c r="E203"/>
  <c r="D203"/>
  <c r="K202"/>
  <c r="J202"/>
  <c r="I202"/>
  <c r="H202"/>
  <c r="G202"/>
  <c r="F202"/>
  <c r="F203" s="1"/>
  <c r="E202"/>
  <c r="D202"/>
  <c r="M201"/>
  <c r="N201" s="1"/>
  <c r="N200"/>
  <c r="M200"/>
  <c r="N199"/>
  <c r="M199"/>
  <c r="N198"/>
  <c r="M198"/>
  <c r="M202" s="1"/>
  <c r="N197"/>
  <c r="M197"/>
  <c r="N196"/>
  <c r="M196"/>
  <c r="M203" s="1"/>
  <c r="B196"/>
  <c r="P195"/>
  <c r="O195"/>
  <c r="E195"/>
  <c r="D195"/>
  <c r="K194"/>
  <c r="J194"/>
  <c r="I194"/>
  <c r="H194"/>
  <c r="G194"/>
  <c r="F194"/>
  <c r="F195" s="1"/>
  <c r="E194"/>
  <c r="D194"/>
  <c r="N193"/>
  <c r="M193"/>
  <c r="N192"/>
  <c r="M192"/>
  <c r="M191"/>
  <c r="N191" s="1"/>
  <c r="N190"/>
  <c r="M190"/>
  <c r="M189"/>
  <c r="N189" s="1"/>
  <c r="N194" s="1"/>
  <c r="N188"/>
  <c r="M188"/>
  <c r="M195" s="1"/>
  <c r="B188"/>
  <c r="P187"/>
  <c r="O187"/>
  <c r="E187"/>
  <c r="D187"/>
  <c r="K186"/>
  <c r="J186"/>
  <c r="I186"/>
  <c r="H186"/>
  <c r="G186"/>
  <c r="F186"/>
  <c r="F187" s="1"/>
  <c r="E186"/>
  <c r="D186"/>
  <c r="N185"/>
  <c r="M185"/>
  <c r="N184"/>
  <c r="M184"/>
  <c r="N183"/>
  <c r="M183"/>
  <c r="N182"/>
  <c r="M182"/>
  <c r="N181"/>
  <c r="M181"/>
  <c r="N180"/>
  <c r="N187" s="1"/>
  <c r="M180"/>
  <c r="M187" s="1"/>
  <c r="B180"/>
  <c r="P179"/>
  <c r="O179"/>
  <c r="F179"/>
  <c r="E179"/>
  <c r="D179"/>
  <c r="K178"/>
  <c r="J178"/>
  <c r="I178"/>
  <c r="H178"/>
  <c r="G178"/>
  <c r="F178"/>
  <c r="E178"/>
  <c r="D178"/>
  <c r="N177"/>
  <c r="M177"/>
  <c r="M176"/>
  <c r="N176" s="1"/>
  <c r="N175"/>
  <c r="M175"/>
  <c r="M174"/>
  <c r="M178" s="1"/>
  <c r="N173"/>
  <c r="M173"/>
  <c r="N172"/>
  <c r="M172"/>
  <c r="M179" s="1"/>
  <c r="B172"/>
  <c r="P171"/>
  <c r="O171"/>
  <c r="F171"/>
  <c r="E171"/>
  <c r="D171"/>
  <c r="K170"/>
  <c r="J170"/>
  <c r="I170"/>
  <c r="H170"/>
  <c r="G170"/>
  <c r="F170"/>
  <c r="E170"/>
  <c r="D170"/>
  <c r="N169"/>
  <c r="M169"/>
  <c r="N168"/>
  <c r="M168"/>
  <c r="N167"/>
  <c r="M167"/>
  <c r="N166"/>
  <c r="N170" s="1"/>
  <c r="M166"/>
  <c r="M170" s="1"/>
  <c r="N165"/>
  <c r="M165"/>
  <c r="N164"/>
  <c r="N171" s="1"/>
  <c r="M164"/>
  <c r="M171" s="1"/>
  <c r="B164"/>
  <c r="P163"/>
  <c r="O163"/>
  <c r="F163"/>
  <c r="E163"/>
  <c r="D163"/>
  <c r="K162"/>
  <c r="J162"/>
  <c r="I162"/>
  <c r="H162"/>
  <c r="G162"/>
  <c r="F162"/>
  <c r="E162"/>
  <c r="D162"/>
  <c r="M161"/>
  <c r="N161" s="1"/>
  <c r="N160"/>
  <c r="M160"/>
  <c r="M159"/>
  <c r="N159" s="1"/>
  <c r="N158"/>
  <c r="M158"/>
  <c r="M162" s="1"/>
  <c r="N157"/>
  <c r="M157"/>
  <c r="M156"/>
  <c r="N156" s="1"/>
  <c r="B156"/>
  <c r="P155"/>
  <c r="O155"/>
  <c r="E155"/>
  <c r="D155"/>
  <c r="K154"/>
  <c r="J154"/>
  <c r="I154"/>
  <c r="H154"/>
  <c r="F155" s="1"/>
  <c r="G154"/>
  <c r="F154"/>
  <c r="E154"/>
  <c r="D154"/>
  <c r="N153"/>
  <c r="M153"/>
  <c r="M155" s="1"/>
  <c r="N152"/>
  <c r="M152"/>
  <c r="N151"/>
  <c r="M151"/>
  <c r="N150"/>
  <c r="M150"/>
  <c r="M154" s="1"/>
  <c r="N149"/>
  <c r="M149"/>
  <c r="M148"/>
  <c r="N148" s="1"/>
  <c r="B148"/>
  <c r="P147"/>
  <c r="O147"/>
  <c r="F147"/>
  <c r="E147"/>
  <c r="D147"/>
  <c r="K146"/>
  <c r="J146"/>
  <c r="I146"/>
  <c r="H146"/>
  <c r="G146"/>
  <c r="F146"/>
  <c r="E146"/>
  <c r="D146"/>
  <c r="D253" s="1"/>
  <c r="D254" s="1"/>
  <c r="N145"/>
  <c r="M145"/>
  <c r="M144"/>
  <c r="N144" s="1"/>
  <c r="N143"/>
  <c r="M143"/>
  <c r="M147" s="1"/>
  <c r="N142"/>
  <c r="M142"/>
  <c r="M141"/>
  <c r="N141" s="1"/>
  <c r="N140"/>
  <c r="M140"/>
  <c r="B140"/>
  <c r="P139"/>
  <c r="P253" s="1"/>
  <c r="O139"/>
  <c r="F139"/>
  <c r="E139"/>
  <c r="D139"/>
  <c r="K138"/>
  <c r="J138"/>
  <c r="I138"/>
  <c r="H138"/>
  <c r="G138"/>
  <c r="F138"/>
  <c r="E138"/>
  <c r="D138"/>
  <c r="N137"/>
  <c r="M137"/>
  <c r="N136"/>
  <c r="M136"/>
  <c r="N135"/>
  <c r="M135"/>
  <c r="N134"/>
  <c r="M134"/>
  <c r="M133"/>
  <c r="N133" s="1"/>
  <c r="N132"/>
  <c r="M132"/>
  <c r="B132"/>
  <c r="P131"/>
  <c r="O131"/>
  <c r="M131"/>
  <c r="E131"/>
  <c r="D131"/>
  <c r="K130"/>
  <c r="J130"/>
  <c r="I130"/>
  <c r="H130"/>
  <c r="G130"/>
  <c r="F130"/>
  <c r="F131" s="1"/>
  <c r="E130"/>
  <c r="D130"/>
  <c r="M129"/>
  <c r="N129" s="1"/>
  <c r="N128"/>
  <c r="M128"/>
  <c r="N127"/>
  <c r="M127"/>
  <c r="M126"/>
  <c r="M130" s="1"/>
  <c r="N125"/>
  <c r="M125"/>
  <c r="N124"/>
  <c r="M124"/>
  <c r="B124"/>
  <c r="P123"/>
  <c r="O123"/>
  <c r="M123"/>
  <c r="E123"/>
  <c r="D123"/>
  <c r="K122"/>
  <c r="J122"/>
  <c r="I122"/>
  <c r="H122"/>
  <c r="G122"/>
  <c r="F122"/>
  <c r="F123" s="1"/>
  <c r="E122"/>
  <c r="D122"/>
  <c r="N121"/>
  <c r="M121"/>
  <c r="N120"/>
  <c r="M120"/>
  <c r="N119"/>
  <c r="M119"/>
  <c r="M118"/>
  <c r="M122" s="1"/>
  <c r="N117"/>
  <c r="M117"/>
  <c r="N116"/>
  <c r="M116"/>
  <c r="B116"/>
  <c r="P115"/>
  <c r="O115"/>
  <c r="E115"/>
  <c r="D115"/>
  <c r="K114"/>
  <c r="J114"/>
  <c r="I114"/>
  <c r="H114"/>
  <c r="G114"/>
  <c r="F114"/>
  <c r="F115" s="1"/>
  <c r="E114"/>
  <c r="D114"/>
  <c r="N113"/>
  <c r="M113"/>
  <c r="N112"/>
  <c r="M112"/>
  <c r="M111"/>
  <c r="N111" s="1"/>
  <c r="N110"/>
  <c r="M110"/>
  <c r="N109"/>
  <c r="M109"/>
  <c r="M108"/>
  <c r="N108" s="1"/>
  <c r="B108"/>
  <c r="P107"/>
  <c r="O107"/>
  <c r="E107"/>
  <c r="D107"/>
  <c r="K106"/>
  <c r="J106"/>
  <c r="I106"/>
  <c r="H106"/>
  <c r="G106"/>
  <c r="F106"/>
  <c r="F107" s="1"/>
  <c r="E106"/>
  <c r="D106"/>
  <c r="N105"/>
  <c r="M105"/>
  <c r="N104"/>
  <c r="M104"/>
  <c r="M103"/>
  <c r="N103" s="1"/>
  <c r="N102"/>
  <c r="M102"/>
  <c r="N101"/>
  <c r="M101"/>
  <c r="N100"/>
  <c r="M100"/>
  <c r="M106" s="1"/>
  <c r="B100"/>
  <c r="P99"/>
  <c r="O99"/>
  <c r="E99"/>
  <c r="D99"/>
  <c r="K98"/>
  <c r="J98"/>
  <c r="I98"/>
  <c r="H98"/>
  <c r="G98"/>
  <c r="F98"/>
  <c r="F99" s="1"/>
  <c r="E98"/>
  <c r="D98"/>
  <c r="N97"/>
  <c r="M97"/>
  <c r="M96"/>
  <c r="N96" s="1"/>
  <c r="N95"/>
  <c r="M95"/>
  <c r="N94"/>
  <c r="M94"/>
  <c r="M93"/>
  <c r="N93" s="1"/>
  <c r="N92"/>
  <c r="M92"/>
  <c r="M98" s="1"/>
  <c r="B92"/>
  <c r="P91"/>
  <c r="O91"/>
  <c r="E91"/>
  <c r="D91"/>
  <c r="K90"/>
  <c r="J90"/>
  <c r="I90"/>
  <c r="H90"/>
  <c r="G90"/>
  <c r="F90"/>
  <c r="F91" s="1"/>
  <c r="E90"/>
  <c r="D90"/>
  <c r="N89"/>
  <c r="M89"/>
  <c r="M88"/>
  <c r="N88" s="1"/>
  <c r="N87"/>
  <c r="M87"/>
  <c r="N86"/>
  <c r="M86"/>
  <c r="N85"/>
  <c r="M85"/>
  <c r="N84"/>
  <c r="M84"/>
  <c r="M90" s="1"/>
  <c r="B84"/>
  <c r="P83"/>
  <c r="O83"/>
  <c r="E83"/>
  <c r="D83"/>
  <c r="K82"/>
  <c r="J82"/>
  <c r="I82"/>
  <c r="H82"/>
  <c r="G82"/>
  <c r="F82"/>
  <c r="F83" s="1"/>
  <c r="E82"/>
  <c r="D82"/>
  <c r="M81"/>
  <c r="N81" s="1"/>
  <c r="N80"/>
  <c r="M80"/>
  <c r="N79"/>
  <c r="M79"/>
  <c r="M78"/>
  <c r="N78" s="1"/>
  <c r="N77"/>
  <c r="M77"/>
  <c r="M76"/>
  <c r="M83" s="1"/>
  <c r="B76"/>
  <c r="P75"/>
  <c r="O75"/>
  <c r="E75"/>
  <c r="D75"/>
  <c r="K74"/>
  <c r="J74"/>
  <c r="I74"/>
  <c r="H74"/>
  <c r="G74"/>
  <c r="F74"/>
  <c r="F75" s="1"/>
  <c r="E74"/>
  <c r="D74"/>
  <c r="M73"/>
  <c r="N73" s="1"/>
  <c r="N74" s="1"/>
  <c r="N72"/>
  <c r="M72"/>
  <c r="N71"/>
  <c r="M71"/>
  <c r="N70"/>
  <c r="M70"/>
  <c r="M74" s="1"/>
  <c r="N69"/>
  <c r="M69"/>
  <c r="N68"/>
  <c r="M68"/>
  <c r="M75" s="1"/>
  <c r="B68"/>
  <c r="P67"/>
  <c r="O67"/>
  <c r="E67"/>
  <c r="D67"/>
  <c r="K66"/>
  <c r="J66"/>
  <c r="I66"/>
  <c r="H66"/>
  <c r="G66"/>
  <c r="F66"/>
  <c r="F67" s="1"/>
  <c r="E66"/>
  <c r="D66"/>
  <c r="N65"/>
  <c r="M65"/>
  <c r="N64"/>
  <c r="M64"/>
  <c r="M63"/>
  <c r="N63" s="1"/>
  <c r="N62"/>
  <c r="M62"/>
  <c r="M61"/>
  <c r="N61" s="1"/>
  <c r="N60"/>
  <c r="N67" s="1"/>
  <c r="M60"/>
  <c r="M67" s="1"/>
  <c r="B60"/>
  <c r="P59"/>
  <c r="O59"/>
  <c r="E59"/>
  <c r="D59"/>
  <c r="K58"/>
  <c r="J58"/>
  <c r="I58"/>
  <c r="H58"/>
  <c r="G58"/>
  <c r="F58"/>
  <c r="F59" s="1"/>
  <c r="E58"/>
  <c r="D58"/>
  <c r="N57"/>
  <c r="M57"/>
  <c r="N56"/>
  <c r="M56"/>
  <c r="N55"/>
  <c r="M55"/>
  <c r="N54"/>
  <c r="M54"/>
  <c r="N53"/>
  <c r="M53"/>
  <c r="N52"/>
  <c r="N59" s="1"/>
  <c r="M52"/>
  <c r="M59" s="1"/>
  <c r="B52"/>
  <c r="P51"/>
  <c r="O51"/>
  <c r="F51"/>
  <c r="E51"/>
  <c r="D51"/>
  <c r="K50"/>
  <c r="J50"/>
  <c r="I50"/>
  <c r="H50"/>
  <c r="G50"/>
  <c r="F50"/>
  <c r="E50"/>
  <c r="D50"/>
  <c r="N49"/>
  <c r="M49"/>
  <c r="M48"/>
  <c r="N48" s="1"/>
  <c r="N47"/>
  <c r="M47"/>
  <c r="M46"/>
  <c r="M50" s="1"/>
  <c r="N45"/>
  <c r="M45"/>
  <c r="N44"/>
  <c r="M44"/>
  <c r="M51" s="1"/>
  <c r="B44"/>
  <c r="P43"/>
  <c r="O43"/>
  <c r="F43"/>
  <c r="E43"/>
  <c r="D43"/>
  <c r="K42"/>
  <c r="J42"/>
  <c r="I42"/>
  <c r="H42"/>
  <c r="G42"/>
  <c r="F42"/>
  <c r="E42"/>
  <c r="D42"/>
  <c r="N41"/>
  <c r="M41"/>
  <c r="N40"/>
  <c r="M40"/>
  <c r="M42" s="1"/>
  <c r="N39"/>
  <c r="M39"/>
  <c r="N38"/>
  <c r="N42" s="1"/>
  <c r="M38"/>
  <c r="N37"/>
  <c r="M37"/>
  <c r="N36"/>
  <c r="N43" s="1"/>
  <c r="M36"/>
  <c r="M43" s="1"/>
  <c r="B36"/>
  <c r="P35"/>
  <c r="O35"/>
  <c r="F35"/>
  <c r="E35"/>
  <c r="D35"/>
  <c r="K34"/>
  <c r="J34"/>
  <c r="I34"/>
  <c r="H34"/>
  <c r="G34"/>
  <c r="F34"/>
  <c r="E34"/>
  <c r="D34"/>
  <c r="M33"/>
  <c r="N33" s="1"/>
  <c r="N32"/>
  <c r="M32"/>
  <c r="M31"/>
  <c r="N31" s="1"/>
  <c r="N30"/>
  <c r="M30"/>
  <c r="M34" s="1"/>
  <c r="N29"/>
  <c r="M29"/>
  <c r="M28"/>
  <c r="N28" s="1"/>
  <c r="B28"/>
  <c r="P27"/>
  <c r="O27"/>
  <c r="E27"/>
  <c r="D27"/>
  <c r="K26"/>
  <c r="J26"/>
  <c r="I26"/>
  <c r="H26"/>
  <c r="F27" s="1"/>
  <c r="G26"/>
  <c r="F26"/>
  <c r="E26"/>
  <c r="D26"/>
  <c r="N25"/>
  <c r="M25"/>
  <c r="M27" s="1"/>
  <c r="N24"/>
  <c r="M24"/>
  <c r="N23"/>
  <c r="M23"/>
  <c r="N22"/>
  <c r="M22"/>
  <c r="N21"/>
  <c r="M21"/>
  <c r="M20"/>
  <c r="N20" s="1"/>
  <c r="B20"/>
  <c r="P19"/>
  <c r="O19"/>
  <c r="F19"/>
  <c r="E19"/>
  <c r="D19"/>
  <c r="K18"/>
  <c r="J18"/>
  <c r="I18"/>
  <c r="H18"/>
  <c r="G18"/>
  <c r="F18"/>
  <c r="E18"/>
  <c r="D18"/>
  <c r="N17"/>
  <c r="M17"/>
  <c r="M16"/>
  <c r="N16" s="1"/>
  <c r="N15"/>
  <c r="M15"/>
  <c r="M19" s="1"/>
  <c r="N14"/>
  <c r="M14"/>
  <c r="M13"/>
  <c r="N13" s="1"/>
  <c r="N12"/>
  <c r="M12"/>
  <c r="B12"/>
  <c r="P11"/>
  <c r="O11"/>
  <c r="F11"/>
  <c r="E11"/>
  <c r="D11"/>
  <c r="K10"/>
  <c r="J10"/>
  <c r="I10"/>
  <c r="H10"/>
  <c r="G10"/>
  <c r="F10"/>
  <c r="E10"/>
  <c r="D10"/>
  <c r="N9"/>
  <c r="M9"/>
  <c r="N8"/>
  <c r="M8"/>
  <c r="N7"/>
  <c r="M7"/>
  <c r="M6"/>
  <c r="N6" s="1"/>
  <c r="N5"/>
  <c r="M5"/>
  <c r="N4"/>
  <c r="M4"/>
  <c r="B4"/>
  <c r="P251" i="45"/>
  <c r="P253" s="1"/>
  <c r="O251"/>
  <c r="F251"/>
  <c r="E251"/>
  <c r="D251"/>
  <c r="K250"/>
  <c r="J250"/>
  <c r="I250"/>
  <c r="I253" s="1"/>
  <c r="H250"/>
  <c r="G250"/>
  <c r="G253" s="1"/>
  <c r="F250"/>
  <c r="F253" s="1"/>
  <c r="E250"/>
  <c r="E253" s="1"/>
  <c r="E254" s="1"/>
  <c r="D250"/>
  <c r="M249"/>
  <c r="M251" s="1"/>
  <c r="N248"/>
  <c r="M248"/>
  <c r="N247"/>
  <c r="M247"/>
  <c r="N246"/>
  <c r="M246"/>
  <c r="M245"/>
  <c r="N245" s="1"/>
  <c r="N244"/>
  <c r="M244"/>
  <c r="P243"/>
  <c r="O243"/>
  <c r="E243"/>
  <c r="D243"/>
  <c r="K242"/>
  <c r="J242"/>
  <c r="I242"/>
  <c r="H242"/>
  <c r="F243" s="1"/>
  <c r="G242"/>
  <c r="F242"/>
  <c r="E242"/>
  <c r="D242"/>
  <c r="N241"/>
  <c r="M241"/>
  <c r="M243" s="1"/>
  <c r="N240"/>
  <c r="M240"/>
  <c r="N239"/>
  <c r="M239"/>
  <c r="M238"/>
  <c r="N238" s="1"/>
  <c r="N237"/>
  <c r="M237"/>
  <c r="M236"/>
  <c r="N236" s="1"/>
  <c r="P235"/>
  <c r="O235"/>
  <c r="O253" s="1"/>
  <c r="E235"/>
  <c r="D235"/>
  <c r="K234"/>
  <c r="J234"/>
  <c r="I234"/>
  <c r="H234"/>
  <c r="F235" s="1"/>
  <c r="G234"/>
  <c r="F234"/>
  <c r="E234"/>
  <c r="D234"/>
  <c r="D253" s="1"/>
  <c r="D254" s="1"/>
  <c r="N233"/>
  <c r="M233"/>
  <c r="M235" s="1"/>
  <c r="N232"/>
  <c r="M232"/>
  <c r="N231"/>
  <c r="M231"/>
  <c r="M230"/>
  <c r="N230" s="1"/>
  <c r="N235" s="1"/>
  <c r="N229"/>
  <c r="M229"/>
  <c r="N228"/>
  <c r="M228"/>
  <c r="M234" s="1"/>
  <c r="P227"/>
  <c r="O227"/>
  <c r="E227"/>
  <c r="D227"/>
  <c r="K226"/>
  <c r="J226"/>
  <c r="J253" s="1"/>
  <c r="I226"/>
  <c r="H226"/>
  <c r="F227" s="1"/>
  <c r="G226"/>
  <c r="F226"/>
  <c r="E226"/>
  <c r="D226"/>
  <c r="N225"/>
  <c r="M225"/>
  <c r="N224"/>
  <c r="M224"/>
  <c r="M223"/>
  <c r="N223" s="1"/>
  <c r="N222"/>
  <c r="M222"/>
  <c r="M221"/>
  <c r="N221" s="1"/>
  <c r="N227" s="1"/>
  <c r="N220"/>
  <c r="M220"/>
  <c r="M226" s="1"/>
  <c r="B220"/>
  <c r="P219"/>
  <c r="O219"/>
  <c r="E219"/>
  <c r="D219"/>
  <c r="K218"/>
  <c r="K253" s="1"/>
  <c r="J218"/>
  <c r="I218"/>
  <c r="H218"/>
  <c r="G218"/>
  <c r="F218"/>
  <c r="F219" s="1"/>
  <c r="E218"/>
  <c r="D218"/>
  <c r="N217"/>
  <c r="M217"/>
  <c r="N216"/>
  <c r="M216"/>
  <c r="M215"/>
  <c r="N215" s="1"/>
  <c r="N214"/>
  <c r="M214"/>
  <c r="N213"/>
  <c r="M213"/>
  <c r="M218" s="1"/>
  <c r="N212"/>
  <c r="M212"/>
  <c r="B212"/>
  <c r="P211"/>
  <c r="O211"/>
  <c r="E211"/>
  <c r="D211"/>
  <c r="K210"/>
  <c r="J210"/>
  <c r="I210"/>
  <c r="H210"/>
  <c r="G210"/>
  <c r="F210"/>
  <c r="F211" s="1"/>
  <c r="E210"/>
  <c r="D210"/>
  <c r="N209"/>
  <c r="M209"/>
  <c r="M208"/>
  <c r="N208" s="1"/>
  <c r="N207"/>
  <c r="M207"/>
  <c r="M206"/>
  <c r="N206" s="1"/>
  <c r="N205"/>
  <c r="N210" s="1"/>
  <c r="M205"/>
  <c r="M211" s="1"/>
  <c r="N204"/>
  <c r="M204"/>
  <c r="B204"/>
  <c r="P203"/>
  <c r="O203"/>
  <c r="E203"/>
  <c r="D203"/>
  <c r="K202"/>
  <c r="J202"/>
  <c r="I202"/>
  <c r="H202"/>
  <c r="G202"/>
  <c r="F202"/>
  <c r="F203" s="1"/>
  <c r="E202"/>
  <c r="D202"/>
  <c r="N201"/>
  <c r="M201"/>
  <c r="M200"/>
  <c r="N200" s="1"/>
  <c r="N199"/>
  <c r="M199"/>
  <c r="N198"/>
  <c r="M198"/>
  <c r="N197"/>
  <c r="M197"/>
  <c r="M196"/>
  <c r="M203" s="1"/>
  <c r="B196"/>
  <c r="P195"/>
  <c r="O195"/>
  <c r="E195"/>
  <c r="D195"/>
  <c r="K194"/>
  <c r="J194"/>
  <c r="I194"/>
  <c r="H194"/>
  <c r="G194"/>
  <c r="F194"/>
  <c r="F195" s="1"/>
  <c r="E194"/>
  <c r="D194"/>
  <c r="M193"/>
  <c r="N193" s="1"/>
  <c r="N192"/>
  <c r="M192"/>
  <c r="M191"/>
  <c r="N191" s="1"/>
  <c r="N190"/>
  <c r="M190"/>
  <c r="N189"/>
  <c r="M189"/>
  <c r="N188"/>
  <c r="N195" s="1"/>
  <c r="M188"/>
  <c r="M195" s="1"/>
  <c r="B188"/>
  <c r="P187"/>
  <c r="O187"/>
  <c r="E187"/>
  <c r="D187"/>
  <c r="K186"/>
  <c r="J186"/>
  <c r="I186"/>
  <c r="H186"/>
  <c r="G186"/>
  <c r="F186"/>
  <c r="F187" s="1"/>
  <c r="E186"/>
  <c r="D186"/>
  <c r="M185"/>
  <c r="N185" s="1"/>
  <c r="N184"/>
  <c r="M184"/>
  <c r="N183"/>
  <c r="M183"/>
  <c r="N182"/>
  <c r="M182"/>
  <c r="M181"/>
  <c r="N181" s="1"/>
  <c r="N180"/>
  <c r="M180"/>
  <c r="M187" s="1"/>
  <c r="B180"/>
  <c r="P179"/>
  <c r="O179"/>
  <c r="E179"/>
  <c r="D179"/>
  <c r="K178"/>
  <c r="J178"/>
  <c r="I178"/>
  <c r="F179" s="1"/>
  <c r="H178"/>
  <c r="G178"/>
  <c r="F178"/>
  <c r="E178"/>
  <c r="D178"/>
  <c r="N177"/>
  <c r="M177"/>
  <c r="M176"/>
  <c r="N176" s="1"/>
  <c r="N175"/>
  <c r="M175"/>
  <c r="N174"/>
  <c r="M174"/>
  <c r="N173"/>
  <c r="M173"/>
  <c r="N172"/>
  <c r="M172"/>
  <c r="M179" s="1"/>
  <c r="B172"/>
  <c r="P171"/>
  <c r="O171"/>
  <c r="E171"/>
  <c r="D171"/>
  <c r="K170"/>
  <c r="J170"/>
  <c r="I170"/>
  <c r="F171" s="1"/>
  <c r="H170"/>
  <c r="G170"/>
  <c r="F170"/>
  <c r="E170"/>
  <c r="D170"/>
  <c r="N169"/>
  <c r="M169"/>
  <c r="N168"/>
  <c r="M168"/>
  <c r="N167"/>
  <c r="M167"/>
  <c r="M166"/>
  <c r="M170" s="1"/>
  <c r="N165"/>
  <c r="M165"/>
  <c r="N164"/>
  <c r="M164"/>
  <c r="M171" s="1"/>
  <c r="B164"/>
  <c r="P163"/>
  <c r="O163"/>
  <c r="E163"/>
  <c r="D163"/>
  <c r="K162"/>
  <c r="J162"/>
  <c r="I162"/>
  <c r="F163" s="1"/>
  <c r="H162"/>
  <c r="G162"/>
  <c r="F162"/>
  <c r="E162"/>
  <c r="D162"/>
  <c r="M161"/>
  <c r="N161" s="1"/>
  <c r="N160"/>
  <c r="M160"/>
  <c r="N159"/>
  <c r="M159"/>
  <c r="N158"/>
  <c r="N162" s="1"/>
  <c r="M158"/>
  <c r="M162" s="1"/>
  <c r="N157"/>
  <c r="M157"/>
  <c r="N156"/>
  <c r="N163" s="1"/>
  <c r="M156"/>
  <c r="B156"/>
  <c r="P155"/>
  <c r="O155"/>
  <c r="E155"/>
  <c r="D155"/>
  <c r="K154"/>
  <c r="J154"/>
  <c r="I154"/>
  <c r="H154"/>
  <c r="G154"/>
  <c r="F154"/>
  <c r="F155" s="1"/>
  <c r="E154"/>
  <c r="D154"/>
  <c r="N153"/>
  <c r="M153"/>
  <c r="N152"/>
  <c r="M152"/>
  <c r="M151"/>
  <c r="N151" s="1"/>
  <c r="N154" s="1"/>
  <c r="N150"/>
  <c r="N155" s="1"/>
  <c r="M150"/>
  <c r="M154" s="1"/>
  <c r="N149"/>
  <c r="M149"/>
  <c r="N148"/>
  <c r="M148"/>
  <c r="B148"/>
  <c r="P147"/>
  <c r="O147"/>
  <c r="E147"/>
  <c r="D147"/>
  <c r="K146"/>
  <c r="J146"/>
  <c r="I146"/>
  <c r="H146"/>
  <c r="G146"/>
  <c r="F146"/>
  <c r="F147" s="1"/>
  <c r="E146"/>
  <c r="D146"/>
  <c r="N145"/>
  <c r="M145"/>
  <c r="N144"/>
  <c r="M144"/>
  <c r="N143"/>
  <c r="M143"/>
  <c r="N142"/>
  <c r="N146" s="1"/>
  <c r="M142"/>
  <c r="M146" s="1"/>
  <c r="N141"/>
  <c r="M141"/>
  <c r="N140"/>
  <c r="M140"/>
  <c r="B140"/>
  <c r="P139"/>
  <c r="O139"/>
  <c r="F139"/>
  <c r="E139"/>
  <c r="D139"/>
  <c r="K138"/>
  <c r="J138"/>
  <c r="I138"/>
  <c r="H138"/>
  <c r="G138"/>
  <c r="F138"/>
  <c r="E138"/>
  <c r="D138"/>
  <c r="N137"/>
  <c r="M137"/>
  <c r="M136"/>
  <c r="N136" s="1"/>
  <c r="N135"/>
  <c r="M135"/>
  <c r="N134"/>
  <c r="M134"/>
  <c r="M138" s="1"/>
  <c r="N133"/>
  <c r="M133"/>
  <c r="M132"/>
  <c r="N132" s="1"/>
  <c r="B132"/>
  <c r="P131"/>
  <c r="O131"/>
  <c r="F131"/>
  <c r="E131"/>
  <c r="D131"/>
  <c r="K130"/>
  <c r="J130"/>
  <c r="I130"/>
  <c r="H130"/>
  <c r="G130"/>
  <c r="F130"/>
  <c r="E130"/>
  <c r="D130"/>
  <c r="N129"/>
  <c r="M129"/>
  <c r="N128"/>
  <c r="M128"/>
  <c r="N127"/>
  <c r="M127"/>
  <c r="N126"/>
  <c r="N130" s="1"/>
  <c r="M126"/>
  <c r="M130" s="1"/>
  <c r="N125"/>
  <c r="M125"/>
  <c r="N124"/>
  <c r="N131" s="1"/>
  <c r="M124"/>
  <c r="M131" s="1"/>
  <c r="B124"/>
  <c r="P123"/>
  <c r="O123"/>
  <c r="M123"/>
  <c r="F123"/>
  <c r="E123"/>
  <c r="D123"/>
  <c r="K122"/>
  <c r="J122"/>
  <c r="I122"/>
  <c r="H122"/>
  <c r="G122"/>
  <c r="F122"/>
  <c r="E122"/>
  <c r="D122"/>
  <c r="M121"/>
  <c r="N121" s="1"/>
  <c r="N120"/>
  <c r="M120"/>
  <c r="N119"/>
  <c r="M119"/>
  <c r="N118"/>
  <c r="M118"/>
  <c r="M117"/>
  <c r="N117" s="1"/>
  <c r="N122" s="1"/>
  <c r="N116"/>
  <c r="M116"/>
  <c r="B116"/>
  <c r="P115"/>
  <c r="O115"/>
  <c r="E115"/>
  <c r="D115"/>
  <c r="K114"/>
  <c r="J114"/>
  <c r="I114"/>
  <c r="H114"/>
  <c r="F115" s="1"/>
  <c r="G114"/>
  <c r="F114"/>
  <c r="E114"/>
  <c r="D114"/>
  <c r="N113"/>
  <c r="M113"/>
  <c r="M115" s="1"/>
  <c r="N112"/>
  <c r="M112"/>
  <c r="N111"/>
  <c r="M111"/>
  <c r="M110"/>
  <c r="N110" s="1"/>
  <c r="N109"/>
  <c r="M109"/>
  <c r="M108"/>
  <c r="N108" s="1"/>
  <c r="B108"/>
  <c r="P107"/>
  <c r="O107"/>
  <c r="E107"/>
  <c r="D107"/>
  <c r="K106"/>
  <c r="J106"/>
  <c r="I106"/>
  <c r="H106"/>
  <c r="F107" s="1"/>
  <c r="G106"/>
  <c r="F106"/>
  <c r="E106"/>
  <c r="D106"/>
  <c r="N105"/>
  <c r="M105"/>
  <c r="M107" s="1"/>
  <c r="N104"/>
  <c r="M104"/>
  <c r="N103"/>
  <c r="M103"/>
  <c r="M102"/>
  <c r="N102" s="1"/>
  <c r="M101"/>
  <c r="N101" s="1"/>
  <c r="N100"/>
  <c r="M100"/>
  <c r="M106" s="1"/>
  <c r="B100"/>
  <c r="P99"/>
  <c r="O99"/>
  <c r="E99"/>
  <c r="D99"/>
  <c r="K98"/>
  <c r="J98"/>
  <c r="I98"/>
  <c r="H98"/>
  <c r="F99" s="1"/>
  <c r="G98"/>
  <c r="F98"/>
  <c r="E98"/>
  <c r="D98"/>
  <c r="N97"/>
  <c r="M97"/>
  <c r="N96"/>
  <c r="M96"/>
  <c r="N95"/>
  <c r="M95"/>
  <c r="N94"/>
  <c r="M94"/>
  <c r="M93"/>
  <c r="N93" s="1"/>
  <c r="N99" s="1"/>
  <c r="N92"/>
  <c r="N98" s="1"/>
  <c r="M92"/>
  <c r="M98" s="1"/>
  <c r="B92"/>
  <c r="P91"/>
  <c r="O91"/>
  <c r="E91"/>
  <c r="D91"/>
  <c r="K90"/>
  <c r="J90"/>
  <c r="I90"/>
  <c r="H90"/>
  <c r="G90"/>
  <c r="F90"/>
  <c r="F91" s="1"/>
  <c r="E90"/>
  <c r="D90"/>
  <c r="N89"/>
  <c r="M89"/>
  <c r="N88"/>
  <c r="M88"/>
  <c r="M87"/>
  <c r="N87" s="1"/>
  <c r="M86"/>
  <c r="N86" s="1"/>
  <c r="N85"/>
  <c r="M85"/>
  <c r="M90" s="1"/>
  <c r="N84"/>
  <c r="M84"/>
  <c r="B84"/>
  <c r="P83"/>
  <c r="O83"/>
  <c r="E83"/>
  <c r="D83"/>
  <c r="K82"/>
  <c r="J82"/>
  <c r="I82"/>
  <c r="H82"/>
  <c r="G82"/>
  <c r="F82"/>
  <c r="F83" s="1"/>
  <c r="E82"/>
  <c r="D82"/>
  <c r="N81"/>
  <c r="M81"/>
  <c r="N80"/>
  <c r="M80"/>
  <c r="N79"/>
  <c r="M79"/>
  <c r="M78"/>
  <c r="N78" s="1"/>
  <c r="N77"/>
  <c r="M77"/>
  <c r="M83" s="1"/>
  <c r="N76"/>
  <c r="M76"/>
  <c r="B76"/>
  <c r="P75"/>
  <c r="O75"/>
  <c r="E75"/>
  <c r="D75"/>
  <c r="K74"/>
  <c r="J74"/>
  <c r="I74"/>
  <c r="H74"/>
  <c r="G74"/>
  <c r="F74"/>
  <c r="F75" s="1"/>
  <c r="E74"/>
  <c r="D74"/>
  <c r="N73"/>
  <c r="M73"/>
  <c r="M72"/>
  <c r="N72" s="1"/>
  <c r="N71"/>
  <c r="M71"/>
  <c r="N70"/>
  <c r="M70"/>
  <c r="N69"/>
  <c r="M69"/>
  <c r="M68"/>
  <c r="M75" s="1"/>
  <c r="B68"/>
  <c r="P67"/>
  <c r="O67"/>
  <c r="E67"/>
  <c r="D67"/>
  <c r="K66"/>
  <c r="J66"/>
  <c r="I66"/>
  <c r="H66"/>
  <c r="G66"/>
  <c r="F66"/>
  <c r="F67" s="1"/>
  <c r="E66"/>
  <c r="D66"/>
  <c r="N65"/>
  <c r="M65"/>
  <c r="N64"/>
  <c r="M64"/>
  <c r="M63"/>
  <c r="N63" s="1"/>
  <c r="N62"/>
  <c r="M62"/>
  <c r="N61"/>
  <c r="M61"/>
  <c r="N60"/>
  <c r="N67" s="1"/>
  <c r="M60"/>
  <c r="M67" s="1"/>
  <c r="B60"/>
  <c r="P59"/>
  <c r="O59"/>
  <c r="E59"/>
  <c r="D59"/>
  <c r="K58"/>
  <c r="J58"/>
  <c r="I58"/>
  <c r="H58"/>
  <c r="G58"/>
  <c r="F58"/>
  <c r="F59" s="1"/>
  <c r="E58"/>
  <c r="D58"/>
  <c r="M57"/>
  <c r="N57" s="1"/>
  <c r="M56"/>
  <c r="N56" s="1"/>
  <c r="N55"/>
  <c r="M55"/>
  <c r="N54"/>
  <c r="M54"/>
  <c r="M53"/>
  <c r="N53" s="1"/>
  <c r="N52"/>
  <c r="M52"/>
  <c r="M59" s="1"/>
  <c r="B52"/>
  <c r="P51"/>
  <c r="O51"/>
  <c r="E51"/>
  <c r="D51"/>
  <c r="K50"/>
  <c r="J50"/>
  <c r="I50"/>
  <c r="F51" s="1"/>
  <c r="H50"/>
  <c r="G50"/>
  <c r="F50"/>
  <c r="E50"/>
  <c r="D50"/>
  <c r="N49"/>
  <c r="M49"/>
  <c r="M48"/>
  <c r="N48" s="1"/>
  <c r="N47"/>
  <c r="M47"/>
  <c r="N46"/>
  <c r="M46"/>
  <c r="N45"/>
  <c r="M45"/>
  <c r="N44"/>
  <c r="N51" s="1"/>
  <c r="M44"/>
  <c r="M51" s="1"/>
  <c r="B44"/>
  <c r="P43"/>
  <c r="O43"/>
  <c r="E43"/>
  <c r="D43"/>
  <c r="K42"/>
  <c r="J42"/>
  <c r="I42"/>
  <c r="F43" s="1"/>
  <c r="H42"/>
  <c r="G42"/>
  <c r="F42"/>
  <c r="E42"/>
  <c r="D42"/>
  <c r="M41"/>
  <c r="N41" s="1"/>
  <c r="N40"/>
  <c r="M40"/>
  <c r="N39"/>
  <c r="M39"/>
  <c r="M38"/>
  <c r="M42" s="1"/>
  <c r="N37"/>
  <c r="M37"/>
  <c r="N36"/>
  <c r="M36"/>
  <c r="M43" s="1"/>
  <c r="B36"/>
  <c r="P35"/>
  <c r="O35"/>
  <c r="E35"/>
  <c r="D35"/>
  <c r="K34"/>
  <c r="J34"/>
  <c r="I34"/>
  <c r="F35" s="1"/>
  <c r="H34"/>
  <c r="G34"/>
  <c r="F34"/>
  <c r="E34"/>
  <c r="D34"/>
  <c r="M33"/>
  <c r="N33" s="1"/>
  <c r="N34" s="1"/>
  <c r="N32"/>
  <c r="M32"/>
  <c r="N31"/>
  <c r="M31"/>
  <c r="N30"/>
  <c r="M30"/>
  <c r="M34" s="1"/>
  <c r="N29"/>
  <c r="M29"/>
  <c r="N28"/>
  <c r="N35" s="1"/>
  <c r="M28"/>
  <c r="B28"/>
  <c r="P27"/>
  <c r="O27"/>
  <c r="E27"/>
  <c r="D27"/>
  <c r="K26"/>
  <c r="J26"/>
  <c r="I26"/>
  <c r="H26"/>
  <c r="G26"/>
  <c r="F26"/>
  <c r="F27" s="1"/>
  <c r="E26"/>
  <c r="D26"/>
  <c r="N25"/>
  <c r="M25"/>
  <c r="N24"/>
  <c r="M24"/>
  <c r="M23"/>
  <c r="N23" s="1"/>
  <c r="N22"/>
  <c r="M22"/>
  <c r="M26" s="1"/>
  <c r="N21"/>
  <c r="M21"/>
  <c r="N20"/>
  <c r="M20"/>
  <c r="B20"/>
  <c r="P19"/>
  <c r="O19"/>
  <c r="E19"/>
  <c r="D19"/>
  <c r="K18"/>
  <c r="J18"/>
  <c r="I18"/>
  <c r="H18"/>
  <c r="G18"/>
  <c r="F18"/>
  <c r="F19" s="1"/>
  <c r="E18"/>
  <c r="D18"/>
  <c r="N17"/>
  <c r="M17"/>
  <c r="N16"/>
  <c r="M16"/>
  <c r="N15"/>
  <c r="M15"/>
  <c r="N14"/>
  <c r="N18" s="1"/>
  <c r="M14"/>
  <c r="M18" s="1"/>
  <c r="N13"/>
  <c r="M13"/>
  <c r="N12"/>
  <c r="M12"/>
  <c r="B12"/>
  <c r="P11"/>
  <c r="O11"/>
  <c r="F11"/>
  <c r="E11"/>
  <c r="D11"/>
  <c r="K10"/>
  <c r="J10"/>
  <c r="I10"/>
  <c r="H10"/>
  <c r="G10"/>
  <c r="F10"/>
  <c r="E10"/>
  <c r="D10"/>
  <c r="N9"/>
  <c r="M9"/>
  <c r="M8"/>
  <c r="N8" s="1"/>
  <c r="N7"/>
  <c r="M7"/>
  <c r="M10" s="1"/>
  <c r="N6"/>
  <c r="M6"/>
  <c r="M5"/>
  <c r="N5" s="1"/>
  <c r="M4"/>
  <c r="N4" s="1"/>
  <c r="B4"/>
  <c r="P251" i="44"/>
  <c r="P253" s="1"/>
  <c r="O251"/>
  <c r="E251"/>
  <c r="D251"/>
  <c r="K250"/>
  <c r="J250"/>
  <c r="I250"/>
  <c r="H250"/>
  <c r="G250"/>
  <c r="G253" s="1"/>
  <c r="F250"/>
  <c r="F253" s="1"/>
  <c r="E250"/>
  <c r="E253" s="1"/>
  <c r="E254" s="1"/>
  <c r="D250"/>
  <c r="M249"/>
  <c r="M251" s="1"/>
  <c r="N248"/>
  <c r="M248"/>
  <c r="N247"/>
  <c r="M247"/>
  <c r="N246"/>
  <c r="M246"/>
  <c r="M250" s="1"/>
  <c r="N245"/>
  <c r="M245"/>
  <c r="N244"/>
  <c r="M244"/>
  <c r="P243"/>
  <c r="O243"/>
  <c r="E243"/>
  <c r="D243"/>
  <c r="K242"/>
  <c r="J242"/>
  <c r="I242"/>
  <c r="H242"/>
  <c r="H253" s="1"/>
  <c r="G242"/>
  <c r="F242"/>
  <c r="F243" s="1"/>
  <c r="E242"/>
  <c r="D242"/>
  <c r="N241"/>
  <c r="M241"/>
  <c r="N240"/>
  <c r="M240"/>
  <c r="N239"/>
  <c r="M239"/>
  <c r="N238"/>
  <c r="M238"/>
  <c r="N237"/>
  <c r="M237"/>
  <c r="M236"/>
  <c r="N236" s="1"/>
  <c r="P235"/>
  <c r="O235"/>
  <c r="O253" s="1"/>
  <c r="E235"/>
  <c r="D235"/>
  <c r="K234"/>
  <c r="J234"/>
  <c r="I234"/>
  <c r="I253" s="1"/>
  <c r="H234"/>
  <c r="G234"/>
  <c r="F235" s="1"/>
  <c r="F234"/>
  <c r="E234"/>
  <c r="D234"/>
  <c r="N233"/>
  <c r="M233"/>
  <c r="N232"/>
  <c r="M232"/>
  <c r="N231"/>
  <c r="M231"/>
  <c r="N230"/>
  <c r="M230"/>
  <c r="N229"/>
  <c r="M229"/>
  <c r="N228"/>
  <c r="N235" s="1"/>
  <c r="M228"/>
  <c r="M235" s="1"/>
  <c r="P227"/>
  <c r="O227"/>
  <c r="E227"/>
  <c r="D227"/>
  <c r="K226"/>
  <c r="J226"/>
  <c r="J253" s="1"/>
  <c r="I226"/>
  <c r="H226"/>
  <c r="F227" s="1"/>
  <c r="G226"/>
  <c r="F226"/>
  <c r="E226"/>
  <c r="D226"/>
  <c r="N225"/>
  <c r="M225"/>
  <c r="N224"/>
  <c r="M224"/>
  <c r="N223"/>
  <c r="M223"/>
  <c r="N222"/>
  <c r="M222"/>
  <c r="M221"/>
  <c r="N221" s="1"/>
  <c r="N220"/>
  <c r="M220"/>
  <c r="M226" s="1"/>
  <c r="B220"/>
  <c r="P219"/>
  <c r="O219"/>
  <c r="E219"/>
  <c r="D219"/>
  <c r="K218"/>
  <c r="K253" s="1"/>
  <c r="J218"/>
  <c r="I218"/>
  <c r="H218"/>
  <c r="G218"/>
  <c r="F218"/>
  <c r="F219" s="1"/>
  <c r="E218"/>
  <c r="D218"/>
  <c r="N217"/>
  <c r="M217"/>
  <c r="N216"/>
  <c r="M216"/>
  <c r="N215"/>
  <c r="M215"/>
  <c r="N214"/>
  <c r="M214"/>
  <c r="N213"/>
  <c r="M213"/>
  <c r="M219" s="1"/>
  <c r="N212"/>
  <c r="N218" s="1"/>
  <c r="M212"/>
  <c r="M218" s="1"/>
  <c r="B212"/>
  <c r="P211"/>
  <c r="O211"/>
  <c r="E211"/>
  <c r="D211"/>
  <c r="M210"/>
  <c r="K210"/>
  <c r="J210"/>
  <c r="I210"/>
  <c r="H210"/>
  <c r="G210"/>
  <c r="F210"/>
  <c r="F211" s="1"/>
  <c r="E210"/>
  <c r="D210"/>
  <c r="N209"/>
  <c r="M209"/>
  <c r="N208"/>
  <c r="M208"/>
  <c r="N207"/>
  <c r="M207"/>
  <c r="M206"/>
  <c r="N206" s="1"/>
  <c r="N205"/>
  <c r="M205"/>
  <c r="M211" s="1"/>
  <c r="N204"/>
  <c r="M204"/>
  <c r="B204"/>
  <c r="P203"/>
  <c r="O203"/>
  <c r="E203"/>
  <c r="D203"/>
  <c r="K202"/>
  <c r="J202"/>
  <c r="I202"/>
  <c r="H202"/>
  <c r="G202"/>
  <c r="F202"/>
  <c r="F203" s="1"/>
  <c r="E202"/>
  <c r="D202"/>
  <c r="N201"/>
  <c r="M201"/>
  <c r="N200"/>
  <c r="M200"/>
  <c r="N199"/>
  <c r="M199"/>
  <c r="N198"/>
  <c r="M198"/>
  <c r="N197"/>
  <c r="M197"/>
  <c r="M196"/>
  <c r="M203" s="1"/>
  <c r="B196"/>
  <c r="P195"/>
  <c r="O195"/>
  <c r="E195"/>
  <c r="D195"/>
  <c r="K194"/>
  <c r="J194"/>
  <c r="I194"/>
  <c r="H194"/>
  <c r="G194"/>
  <c r="F194"/>
  <c r="F195" s="1"/>
  <c r="E194"/>
  <c r="D194"/>
  <c r="N193"/>
  <c r="M193"/>
  <c r="N192"/>
  <c r="M192"/>
  <c r="M191"/>
  <c r="N191" s="1"/>
  <c r="N190"/>
  <c r="M190"/>
  <c r="N189"/>
  <c r="M189"/>
  <c r="N188"/>
  <c r="M188"/>
  <c r="M195" s="1"/>
  <c r="B188"/>
  <c r="P187"/>
  <c r="O187"/>
  <c r="E187"/>
  <c r="D187"/>
  <c r="K186"/>
  <c r="J186"/>
  <c r="I186"/>
  <c r="H186"/>
  <c r="G186"/>
  <c r="F186"/>
  <c r="F187" s="1"/>
  <c r="E186"/>
  <c r="D186"/>
  <c r="N185"/>
  <c r="M185"/>
  <c r="N184"/>
  <c r="M184"/>
  <c r="N183"/>
  <c r="M183"/>
  <c r="N182"/>
  <c r="M182"/>
  <c r="M181"/>
  <c r="N181" s="1"/>
  <c r="N180"/>
  <c r="N187" s="1"/>
  <c r="M180"/>
  <c r="M187" s="1"/>
  <c r="B180"/>
  <c r="P179"/>
  <c r="O179"/>
  <c r="F179"/>
  <c r="E179"/>
  <c r="D179"/>
  <c r="K178"/>
  <c r="J178"/>
  <c r="I178"/>
  <c r="H178"/>
  <c r="G178"/>
  <c r="F178"/>
  <c r="E178"/>
  <c r="D178"/>
  <c r="N177"/>
  <c r="M177"/>
  <c r="M176"/>
  <c r="N176" s="1"/>
  <c r="N175"/>
  <c r="M175"/>
  <c r="N174"/>
  <c r="M174"/>
  <c r="N173"/>
  <c r="M173"/>
  <c r="N172"/>
  <c r="M172"/>
  <c r="M179" s="1"/>
  <c r="B172"/>
  <c r="P171"/>
  <c r="O171"/>
  <c r="F171"/>
  <c r="E171"/>
  <c r="D171"/>
  <c r="K170"/>
  <c r="J170"/>
  <c r="I170"/>
  <c r="H170"/>
  <c r="G170"/>
  <c r="F170"/>
  <c r="E170"/>
  <c r="D170"/>
  <c r="N169"/>
  <c r="M169"/>
  <c r="N168"/>
  <c r="M168"/>
  <c r="N167"/>
  <c r="M167"/>
  <c r="M166"/>
  <c r="M170" s="1"/>
  <c r="N165"/>
  <c r="M165"/>
  <c r="N164"/>
  <c r="M164"/>
  <c r="M171" s="1"/>
  <c r="B164"/>
  <c r="P163"/>
  <c r="O163"/>
  <c r="M163"/>
  <c r="F163"/>
  <c r="E163"/>
  <c r="D163"/>
  <c r="K162"/>
  <c r="J162"/>
  <c r="I162"/>
  <c r="H162"/>
  <c r="G162"/>
  <c r="F162"/>
  <c r="E162"/>
  <c r="D162"/>
  <c r="M161"/>
  <c r="N161" s="1"/>
  <c r="N160"/>
  <c r="M160"/>
  <c r="N159"/>
  <c r="M159"/>
  <c r="N158"/>
  <c r="M158"/>
  <c r="M162" s="1"/>
  <c r="N157"/>
  <c r="M157"/>
  <c r="N156"/>
  <c r="M156"/>
  <c r="B156"/>
  <c r="P155"/>
  <c r="O155"/>
  <c r="E155"/>
  <c r="D155"/>
  <c r="K154"/>
  <c r="J154"/>
  <c r="I154"/>
  <c r="F155" s="1"/>
  <c r="H154"/>
  <c r="G154"/>
  <c r="F154"/>
  <c r="E154"/>
  <c r="D154"/>
  <c r="N153"/>
  <c r="M153"/>
  <c r="N152"/>
  <c r="M152"/>
  <c r="M151"/>
  <c r="N151" s="1"/>
  <c r="N155" s="1"/>
  <c r="N150"/>
  <c r="M150"/>
  <c r="M154" s="1"/>
  <c r="N149"/>
  <c r="M149"/>
  <c r="N148"/>
  <c r="M148"/>
  <c r="B148"/>
  <c r="P147"/>
  <c r="O147"/>
  <c r="E147"/>
  <c r="D147"/>
  <c r="K146"/>
  <c r="J146"/>
  <c r="F147" s="1"/>
  <c r="I146"/>
  <c r="H146"/>
  <c r="G146"/>
  <c r="F146"/>
  <c r="E146"/>
  <c r="D146"/>
  <c r="D253" s="1"/>
  <c r="D254" s="1"/>
  <c r="N145"/>
  <c r="M145"/>
  <c r="N144"/>
  <c r="M144"/>
  <c r="N143"/>
  <c r="N147" s="1"/>
  <c r="M143"/>
  <c r="M147" s="1"/>
  <c r="N142"/>
  <c r="N146" s="1"/>
  <c r="M142"/>
  <c r="M146" s="1"/>
  <c r="N141"/>
  <c r="M141"/>
  <c r="N140"/>
  <c r="M140"/>
  <c r="B140"/>
  <c r="P139"/>
  <c r="O139"/>
  <c r="F139"/>
  <c r="E139"/>
  <c r="D139"/>
  <c r="K138"/>
  <c r="J138"/>
  <c r="I138"/>
  <c r="H138"/>
  <c r="G138"/>
  <c r="F138"/>
  <c r="E138"/>
  <c r="D138"/>
  <c r="N137"/>
  <c r="M137"/>
  <c r="M136"/>
  <c r="N136" s="1"/>
  <c r="N135"/>
  <c r="M135"/>
  <c r="N134"/>
  <c r="M134"/>
  <c r="M138" s="1"/>
  <c r="N133"/>
  <c r="M133"/>
  <c r="N132"/>
  <c r="M132"/>
  <c r="B132"/>
  <c r="P131"/>
  <c r="O131"/>
  <c r="E131"/>
  <c r="D131"/>
  <c r="K130"/>
  <c r="J130"/>
  <c r="I130"/>
  <c r="H130"/>
  <c r="G130"/>
  <c r="F130"/>
  <c r="F131" s="1"/>
  <c r="E130"/>
  <c r="D130"/>
  <c r="N129"/>
  <c r="M129"/>
  <c r="N128"/>
  <c r="M128"/>
  <c r="N127"/>
  <c r="M127"/>
  <c r="N126"/>
  <c r="N130" s="1"/>
  <c r="M126"/>
  <c r="M130" s="1"/>
  <c r="N125"/>
  <c r="M125"/>
  <c r="N124"/>
  <c r="M124"/>
  <c r="B124"/>
  <c r="P123"/>
  <c r="O123"/>
  <c r="E123"/>
  <c r="D123"/>
  <c r="K122"/>
  <c r="J122"/>
  <c r="I122"/>
  <c r="H122"/>
  <c r="G122"/>
  <c r="F122"/>
  <c r="F123" s="1"/>
  <c r="E122"/>
  <c r="D122"/>
  <c r="M121"/>
  <c r="M123" s="1"/>
  <c r="N120"/>
  <c r="M120"/>
  <c r="N119"/>
  <c r="M119"/>
  <c r="N118"/>
  <c r="M118"/>
  <c r="M122" s="1"/>
  <c r="N117"/>
  <c r="M117"/>
  <c r="N116"/>
  <c r="M116"/>
  <c r="B116"/>
  <c r="P115"/>
  <c r="O115"/>
  <c r="E115"/>
  <c r="D115"/>
  <c r="K114"/>
  <c r="J114"/>
  <c r="I114"/>
  <c r="H114"/>
  <c r="G114"/>
  <c r="F114"/>
  <c r="F115" s="1"/>
  <c r="E114"/>
  <c r="D114"/>
  <c r="N113"/>
  <c r="M113"/>
  <c r="N112"/>
  <c r="M112"/>
  <c r="N111"/>
  <c r="M111"/>
  <c r="N110"/>
  <c r="M110"/>
  <c r="N109"/>
  <c r="M109"/>
  <c r="M108"/>
  <c r="N108" s="1"/>
  <c r="B108"/>
  <c r="P107"/>
  <c r="O107"/>
  <c r="E107"/>
  <c r="D107"/>
  <c r="K106"/>
  <c r="J106"/>
  <c r="I106"/>
  <c r="H106"/>
  <c r="G106"/>
  <c r="F107" s="1"/>
  <c r="F106"/>
  <c r="E106"/>
  <c r="D106"/>
  <c r="N105"/>
  <c r="M105"/>
  <c r="N104"/>
  <c r="M104"/>
  <c r="N103"/>
  <c r="M103"/>
  <c r="N102"/>
  <c r="M102"/>
  <c r="N101"/>
  <c r="M101"/>
  <c r="N100"/>
  <c r="N106" s="1"/>
  <c r="M100"/>
  <c r="M106" s="1"/>
  <c r="B100"/>
  <c r="P99"/>
  <c r="O99"/>
  <c r="E99"/>
  <c r="D99"/>
  <c r="K98"/>
  <c r="J98"/>
  <c r="I98"/>
  <c r="H98"/>
  <c r="F99" s="1"/>
  <c r="G98"/>
  <c r="F98"/>
  <c r="E98"/>
  <c r="D98"/>
  <c r="N97"/>
  <c r="M97"/>
  <c r="N96"/>
  <c r="M96"/>
  <c r="N95"/>
  <c r="M95"/>
  <c r="N94"/>
  <c r="M94"/>
  <c r="M93"/>
  <c r="N93" s="1"/>
  <c r="N92"/>
  <c r="M92"/>
  <c r="M98" s="1"/>
  <c r="B92"/>
  <c r="P91"/>
  <c r="O91"/>
  <c r="E91"/>
  <c r="D91"/>
  <c r="K90"/>
  <c r="J90"/>
  <c r="I90"/>
  <c r="H90"/>
  <c r="G90"/>
  <c r="F90"/>
  <c r="F91" s="1"/>
  <c r="E90"/>
  <c r="D90"/>
  <c r="N89"/>
  <c r="M89"/>
  <c r="N88"/>
  <c r="M88"/>
  <c r="N87"/>
  <c r="M87"/>
  <c r="N86"/>
  <c r="M86"/>
  <c r="N85"/>
  <c r="M85"/>
  <c r="M91" s="1"/>
  <c r="N84"/>
  <c r="N90" s="1"/>
  <c r="M84"/>
  <c r="M90" s="1"/>
  <c r="B84"/>
  <c r="P83"/>
  <c r="O83"/>
  <c r="E83"/>
  <c r="D83"/>
  <c r="K82"/>
  <c r="J82"/>
  <c r="I82"/>
  <c r="H82"/>
  <c r="G82"/>
  <c r="F82"/>
  <c r="F83" s="1"/>
  <c r="E82"/>
  <c r="D82"/>
  <c r="N81"/>
  <c r="M81"/>
  <c r="N80"/>
  <c r="M80"/>
  <c r="M79"/>
  <c r="N79" s="1"/>
  <c r="M78"/>
  <c r="N78" s="1"/>
  <c r="N77"/>
  <c r="M77"/>
  <c r="M83" s="1"/>
  <c r="M76"/>
  <c r="N76" s="1"/>
  <c r="B76"/>
  <c r="P75"/>
  <c r="O75"/>
  <c r="E75"/>
  <c r="D75"/>
  <c r="K74"/>
  <c r="J74"/>
  <c r="I74"/>
  <c r="H74"/>
  <c r="G74"/>
  <c r="F74"/>
  <c r="F75" s="1"/>
  <c r="E74"/>
  <c r="D74"/>
  <c r="N73"/>
  <c r="M73"/>
  <c r="N72"/>
  <c r="M72"/>
  <c r="N71"/>
  <c r="M71"/>
  <c r="N70"/>
  <c r="M70"/>
  <c r="N69"/>
  <c r="M69"/>
  <c r="M68"/>
  <c r="M75" s="1"/>
  <c r="B68"/>
  <c r="P67"/>
  <c r="O67"/>
  <c r="E67"/>
  <c r="D67"/>
  <c r="K66"/>
  <c r="J66"/>
  <c r="I66"/>
  <c r="H66"/>
  <c r="G66"/>
  <c r="F66"/>
  <c r="F67" s="1"/>
  <c r="E66"/>
  <c r="D66"/>
  <c r="N65"/>
  <c r="M65"/>
  <c r="M64"/>
  <c r="N64" s="1"/>
  <c r="M63"/>
  <c r="N63" s="1"/>
  <c r="N62"/>
  <c r="M62"/>
  <c r="N61"/>
  <c r="M61"/>
  <c r="N60"/>
  <c r="N67" s="1"/>
  <c r="M60"/>
  <c r="M67" s="1"/>
  <c r="B60"/>
  <c r="P59"/>
  <c r="O59"/>
  <c r="E59"/>
  <c r="D59"/>
  <c r="K58"/>
  <c r="J58"/>
  <c r="I58"/>
  <c r="H58"/>
  <c r="G58"/>
  <c r="F58"/>
  <c r="F59" s="1"/>
  <c r="E58"/>
  <c r="D58"/>
  <c r="M57"/>
  <c r="N57" s="1"/>
  <c r="N56"/>
  <c r="M56"/>
  <c r="N55"/>
  <c r="M55"/>
  <c r="N54"/>
  <c r="M54"/>
  <c r="M53"/>
  <c r="N53" s="1"/>
  <c r="N52"/>
  <c r="M52"/>
  <c r="M59" s="1"/>
  <c r="B52"/>
  <c r="P51"/>
  <c r="O51"/>
  <c r="F51"/>
  <c r="E51"/>
  <c r="D51"/>
  <c r="K50"/>
  <c r="J50"/>
  <c r="I50"/>
  <c r="H50"/>
  <c r="G50"/>
  <c r="F50"/>
  <c r="E50"/>
  <c r="D50"/>
  <c r="N49"/>
  <c r="M49"/>
  <c r="M48"/>
  <c r="N48" s="1"/>
  <c r="N47"/>
  <c r="M47"/>
  <c r="N46"/>
  <c r="M46"/>
  <c r="N45"/>
  <c r="M45"/>
  <c r="N44"/>
  <c r="N51" s="1"/>
  <c r="M44"/>
  <c r="M51" s="1"/>
  <c r="B44"/>
  <c r="P43"/>
  <c r="O43"/>
  <c r="F43"/>
  <c r="E43"/>
  <c r="D43"/>
  <c r="K42"/>
  <c r="J42"/>
  <c r="I42"/>
  <c r="H42"/>
  <c r="G42"/>
  <c r="F42"/>
  <c r="E42"/>
  <c r="D42"/>
  <c r="N41"/>
  <c r="M41"/>
  <c r="N40"/>
  <c r="M40"/>
  <c r="N39"/>
  <c r="M39"/>
  <c r="M38"/>
  <c r="M42" s="1"/>
  <c r="N37"/>
  <c r="M37"/>
  <c r="N36"/>
  <c r="M36"/>
  <c r="M43" s="1"/>
  <c r="B36"/>
  <c r="P35"/>
  <c r="O35"/>
  <c r="F35"/>
  <c r="E35"/>
  <c r="D35"/>
  <c r="K34"/>
  <c r="J34"/>
  <c r="I34"/>
  <c r="H34"/>
  <c r="G34"/>
  <c r="F34"/>
  <c r="E34"/>
  <c r="D34"/>
  <c r="M33"/>
  <c r="N33" s="1"/>
  <c r="N32"/>
  <c r="M32"/>
  <c r="N31"/>
  <c r="M31"/>
  <c r="N30"/>
  <c r="M30"/>
  <c r="M34" s="1"/>
  <c r="N29"/>
  <c r="M29"/>
  <c r="N28"/>
  <c r="N35" s="1"/>
  <c r="M28"/>
  <c r="B28"/>
  <c r="P27"/>
  <c r="O27"/>
  <c r="E27"/>
  <c r="D27"/>
  <c r="K26"/>
  <c r="J26"/>
  <c r="F27" s="1"/>
  <c r="I26"/>
  <c r="H26"/>
  <c r="G26"/>
  <c r="F26"/>
  <c r="E26"/>
  <c r="D26"/>
  <c r="N25"/>
  <c r="M25"/>
  <c r="N24"/>
  <c r="M24"/>
  <c r="M23"/>
  <c r="N23" s="1"/>
  <c r="N27" s="1"/>
  <c r="N22"/>
  <c r="M22"/>
  <c r="M26" s="1"/>
  <c r="N21"/>
  <c r="M21"/>
  <c r="N20"/>
  <c r="M20"/>
  <c r="B20"/>
  <c r="P19"/>
  <c r="O19"/>
  <c r="E19"/>
  <c r="D19"/>
  <c r="K18"/>
  <c r="F19" s="1"/>
  <c r="J18"/>
  <c r="I18"/>
  <c r="H18"/>
  <c r="G18"/>
  <c r="F18"/>
  <c r="E18"/>
  <c r="D18"/>
  <c r="N17"/>
  <c r="M17"/>
  <c r="M16"/>
  <c r="N16" s="1"/>
  <c r="N15"/>
  <c r="M15"/>
  <c r="M19" s="1"/>
  <c r="N14"/>
  <c r="M14"/>
  <c r="M18" s="1"/>
  <c r="N13"/>
  <c r="M13"/>
  <c r="N12"/>
  <c r="M12"/>
  <c r="B12"/>
  <c r="P11"/>
  <c r="O11"/>
  <c r="F11"/>
  <c r="E11"/>
  <c r="D11"/>
  <c r="K10"/>
  <c r="J10"/>
  <c r="I10"/>
  <c r="H10"/>
  <c r="G10"/>
  <c r="F10"/>
  <c r="E10"/>
  <c r="D10"/>
  <c r="N9"/>
  <c r="M9"/>
  <c r="M8"/>
  <c r="N8" s="1"/>
  <c r="N7"/>
  <c r="M7"/>
  <c r="M10" s="1"/>
  <c r="N6"/>
  <c r="M6"/>
  <c r="M5"/>
  <c r="N5" s="1"/>
  <c r="N4"/>
  <c r="M4"/>
  <c r="B4"/>
  <c r="P251" i="43"/>
  <c r="P253" s="1"/>
  <c r="O251"/>
  <c r="M251"/>
  <c r="E251"/>
  <c r="D251"/>
  <c r="K250"/>
  <c r="J250"/>
  <c r="I250"/>
  <c r="H250"/>
  <c r="G250"/>
  <c r="G253" s="1"/>
  <c r="F250"/>
  <c r="F253" s="1"/>
  <c r="E250"/>
  <c r="E253" s="1"/>
  <c r="E254" s="1"/>
  <c r="D250"/>
  <c r="M249"/>
  <c r="N249" s="1"/>
  <c r="N248"/>
  <c r="M248"/>
  <c r="N247"/>
  <c r="M247"/>
  <c r="N246"/>
  <c r="N250" s="1"/>
  <c r="M246"/>
  <c r="M250" s="1"/>
  <c r="N245"/>
  <c r="M245"/>
  <c r="N244"/>
  <c r="M244"/>
  <c r="P243"/>
  <c r="O243"/>
  <c r="E243"/>
  <c r="D243"/>
  <c r="K242"/>
  <c r="J242"/>
  <c r="I242"/>
  <c r="H242"/>
  <c r="H253" s="1"/>
  <c r="G242"/>
  <c r="F242"/>
  <c r="F243" s="1"/>
  <c r="E242"/>
  <c r="D242"/>
  <c r="N241"/>
  <c r="M241"/>
  <c r="N240"/>
  <c r="M240"/>
  <c r="N239"/>
  <c r="M239"/>
  <c r="N238"/>
  <c r="M238"/>
  <c r="N237"/>
  <c r="M237"/>
  <c r="M236"/>
  <c r="N236" s="1"/>
  <c r="P235"/>
  <c r="O235"/>
  <c r="O253" s="1"/>
  <c r="E235"/>
  <c r="D235"/>
  <c r="K234"/>
  <c r="J234"/>
  <c r="I234"/>
  <c r="I253" s="1"/>
  <c r="H234"/>
  <c r="G234"/>
  <c r="F234"/>
  <c r="F235" s="1"/>
  <c r="E234"/>
  <c r="D234"/>
  <c r="N233"/>
  <c r="M233"/>
  <c r="N232"/>
  <c r="M232"/>
  <c r="N231"/>
  <c r="M231"/>
  <c r="N230"/>
  <c r="M230"/>
  <c r="N229"/>
  <c r="M229"/>
  <c r="N228"/>
  <c r="N235" s="1"/>
  <c r="M228"/>
  <c r="M234" s="1"/>
  <c r="P227"/>
  <c r="O227"/>
  <c r="E227"/>
  <c r="D227"/>
  <c r="K226"/>
  <c r="J226"/>
  <c r="J253" s="1"/>
  <c r="I226"/>
  <c r="H226"/>
  <c r="G226"/>
  <c r="F227" s="1"/>
  <c r="F226"/>
  <c r="E226"/>
  <c r="D226"/>
  <c r="N225"/>
  <c r="M225"/>
  <c r="N224"/>
  <c r="M224"/>
  <c r="N223"/>
  <c r="M223"/>
  <c r="N222"/>
  <c r="M222"/>
  <c r="M221"/>
  <c r="N221" s="1"/>
  <c r="N220"/>
  <c r="N226" s="1"/>
  <c r="M220"/>
  <c r="M226" s="1"/>
  <c r="B220"/>
  <c r="P219"/>
  <c r="O219"/>
  <c r="E219"/>
  <c r="D219"/>
  <c r="K218"/>
  <c r="K253" s="1"/>
  <c r="J218"/>
  <c r="I218"/>
  <c r="H218"/>
  <c r="G218"/>
  <c r="F218"/>
  <c r="F219" s="1"/>
  <c r="E218"/>
  <c r="D218"/>
  <c r="N217"/>
  <c r="M217"/>
  <c r="N216"/>
  <c r="M216"/>
  <c r="N215"/>
  <c r="M215"/>
  <c r="N214"/>
  <c r="M214"/>
  <c r="N213"/>
  <c r="M213"/>
  <c r="N212"/>
  <c r="N218" s="1"/>
  <c r="M212"/>
  <c r="M218" s="1"/>
  <c r="B212"/>
  <c r="P211"/>
  <c r="O211"/>
  <c r="E211"/>
  <c r="D211"/>
  <c r="K210"/>
  <c r="J210"/>
  <c r="I210"/>
  <c r="H210"/>
  <c r="G210"/>
  <c r="F210"/>
  <c r="F211" s="1"/>
  <c r="E210"/>
  <c r="D210"/>
  <c r="N209"/>
  <c r="M209"/>
  <c r="N208"/>
  <c r="M208"/>
  <c r="M207"/>
  <c r="N207" s="1"/>
  <c r="M206"/>
  <c r="N206" s="1"/>
  <c r="N205"/>
  <c r="M205"/>
  <c r="N204"/>
  <c r="N210" s="1"/>
  <c r="M204"/>
  <c r="M211" s="1"/>
  <c r="B204"/>
  <c r="P203"/>
  <c r="O203"/>
  <c r="E203"/>
  <c r="D203"/>
  <c r="K202"/>
  <c r="J202"/>
  <c r="I202"/>
  <c r="H202"/>
  <c r="G202"/>
  <c r="F202"/>
  <c r="F203" s="1"/>
  <c r="E202"/>
  <c r="D202"/>
  <c r="N201"/>
  <c r="M201"/>
  <c r="N200"/>
  <c r="M200"/>
  <c r="N199"/>
  <c r="M199"/>
  <c r="N198"/>
  <c r="M198"/>
  <c r="M202" s="1"/>
  <c r="N197"/>
  <c r="M197"/>
  <c r="M196"/>
  <c r="M203" s="1"/>
  <c r="B196"/>
  <c r="P195"/>
  <c r="O195"/>
  <c r="E195"/>
  <c r="D195"/>
  <c r="K194"/>
  <c r="J194"/>
  <c r="I194"/>
  <c r="H194"/>
  <c r="G194"/>
  <c r="F194"/>
  <c r="F195" s="1"/>
  <c r="E194"/>
  <c r="D194"/>
  <c r="N193"/>
  <c r="M193"/>
  <c r="N192"/>
  <c r="M192"/>
  <c r="M191"/>
  <c r="N191" s="1"/>
  <c r="N190"/>
  <c r="N194" s="1"/>
  <c r="M190"/>
  <c r="M194" s="1"/>
  <c r="N189"/>
  <c r="M189"/>
  <c r="N188"/>
  <c r="N195" s="1"/>
  <c r="M188"/>
  <c r="M195" s="1"/>
  <c r="B188"/>
  <c r="P187"/>
  <c r="O187"/>
  <c r="E187"/>
  <c r="D187"/>
  <c r="K186"/>
  <c r="J186"/>
  <c r="I186"/>
  <c r="H186"/>
  <c r="G186"/>
  <c r="F186"/>
  <c r="F187" s="1"/>
  <c r="E186"/>
  <c r="D186"/>
  <c r="N185"/>
  <c r="M185"/>
  <c r="N184"/>
  <c r="M184"/>
  <c r="N183"/>
  <c r="M183"/>
  <c r="N182"/>
  <c r="M182"/>
  <c r="M181"/>
  <c r="N181" s="1"/>
  <c r="N186" s="1"/>
  <c r="N180"/>
  <c r="M180"/>
  <c r="M187" s="1"/>
  <c r="B180"/>
  <c r="P179"/>
  <c r="O179"/>
  <c r="F179"/>
  <c r="E179"/>
  <c r="D179"/>
  <c r="K178"/>
  <c r="J178"/>
  <c r="I178"/>
  <c r="H178"/>
  <c r="G178"/>
  <c r="F178"/>
  <c r="E178"/>
  <c r="D178"/>
  <c r="N177"/>
  <c r="M177"/>
  <c r="M176"/>
  <c r="N176" s="1"/>
  <c r="N175"/>
  <c r="M175"/>
  <c r="N174"/>
  <c r="M174"/>
  <c r="N173"/>
  <c r="M173"/>
  <c r="N172"/>
  <c r="M172"/>
  <c r="M179" s="1"/>
  <c r="B172"/>
  <c r="P171"/>
  <c r="O171"/>
  <c r="F171"/>
  <c r="E171"/>
  <c r="D171"/>
  <c r="K170"/>
  <c r="J170"/>
  <c r="I170"/>
  <c r="H170"/>
  <c r="G170"/>
  <c r="F170"/>
  <c r="E170"/>
  <c r="D170"/>
  <c r="N169"/>
  <c r="M169"/>
  <c r="N168"/>
  <c r="M168"/>
  <c r="N167"/>
  <c r="M167"/>
  <c r="M166"/>
  <c r="M170" s="1"/>
  <c r="N165"/>
  <c r="M165"/>
  <c r="N164"/>
  <c r="M164"/>
  <c r="M171" s="1"/>
  <c r="B164"/>
  <c r="P163"/>
  <c r="O163"/>
  <c r="F163"/>
  <c r="E163"/>
  <c r="D163"/>
  <c r="K162"/>
  <c r="J162"/>
  <c r="I162"/>
  <c r="H162"/>
  <c r="G162"/>
  <c r="F162"/>
  <c r="E162"/>
  <c r="D162"/>
  <c r="M161"/>
  <c r="N161" s="1"/>
  <c r="N160"/>
  <c r="M160"/>
  <c r="N159"/>
  <c r="M159"/>
  <c r="N158"/>
  <c r="M158"/>
  <c r="M162" s="1"/>
  <c r="N157"/>
  <c r="M157"/>
  <c r="N156"/>
  <c r="M156"/>
  <c r="B156"/>
  <c r="P155"/>
  <c r="O155"/>
  <c r="F155"/>
  <c r="E155"/>
  <c r="D155"/>
  <c r="K154"/>
  <c r="J154"/>
  <c r="I154"/>
  <c r="H154"/>
  <c r="G154"/>
  <c r="F154"/>
  <c r="E154"/>
  <c r="D154"/>
  <c r="N153"/>
  <c r="M153"/>
  <c r="M155" s="1"/>
  <c r="N152"/>
  <c r="M152"/>
  <c r="M151"/>
  <c r="N151" s="1"/>
  <c r="N155" s="1"/>
  <c r="N150"/>
  <c r="M150"/>
  <c r="M154" s="1"/>
  <c r="N149"/>
  <c r="M149"/>
  <c r="N148"/>
  <c r="M148"/>
  <c r="B148"/>
  <c r="P147"/>
  <c r="O147"/>
  <c r="E147"/>
  <c r="D147"/>
  <c r="K146"/>
  <c r="F147" s="1"/>
  <c r="J146"/>
  <c r="I146"/>
  <c r="H146"/>
  <c r="G146"/>
  <c r="F146"/>
  <c r="E146"/>
  <c r="D146"/>
  <c r="D253" s="1"/>
  <c r="D254" s="1"/>
  <c r="N145"/>
  <c r="N147" s="1"/>
  <c r="M145"/>
  <c r="M147" s="1"/>
  <c r="N144"/>
  <c r="M144"/>
  <c r="N143"/>
  <c r="M143"/>
  <c r="N142"/>
  <c r="N146" s="1"/>
  <c r="M142"/>
  <c r="M146" s="1"/>
  <c r="N141"/>
  <c r="M141"/>
  <c r="N140"/>
  <c r="M140"/>
  <c r="B140"/>
  <c r="P139"/>
  <c r="O139"/>
  <c r="F139"/>
  <c r="E139"/>
  <c r="D139"/>
  <c r="K138"/>
  <c r="J138"/>
  <c r="I138"/>
  <c r="H138"/>
  <c r="G138"/>
  <c r="F138"/>
  <c r="E138"/>
  <c r="D138"/>
  <c r="N137"/>
  <c r="M137"/>
  <c r="M136"/>
  <c r="N136" s="1"/>
  <c r="N139" s="1"/>
  <c r="N135"/>
  <c r="M135"/>
  <c r="M139" s="1"/>
  <c r="N134"/>
  <c r="M134"/>
  <c r="M138" s="1"/>
  <c r="N133"/>
  <c r="M133"/>
  <c r="N132"/>
  <c r="M132"/>
  <c r="B132"/>
  <c r="P131"/>
  <c r="O131"/>
  <c r="E131"/>
  <c r="D131"/>
  <c r="K130"/>
  <c r="J130"/>
  <c r="I130"/>
  <c r="H130"/>
  <c r="G130"/>
  <c r="F130"/>
  <c r="F131" s="1"/>
  <c r="E130"/>
  <c r="D130"/>
  <c r="N129"/>
  <c r="M129"/>
  <c r="N128"/>
  <c r="M128"/>
  <c r="N127"/>
  <c r="M127"/>
  <c r="M131" s="1"/>
  <c r="N126"/>
  <c r="M126"/>
  <c r="M130" s="1"/>
  <c r="N125"/>
  <c r="M125"/>
  <c r="M124"/>
  <c r="N124" s="1"/>
  <c r="B124"/>
  <c r="P123"/>
  <c r="O123"/>
  <c r="E123"/>
  <c r="D123"/>
  <c r="K122"/>
  <c r="J122"/>
  <c r="I122"/>
  <c r="H122"/>
  <c r="G122"/>
  <c r="F122"/>
  <c r="F123" s="1"/>
  <c r="E122"/>
  <c r="D122"/>
  <c r="M121"/>
  <c r="M123" s="1"/>
  <c r="N120"/>
  <c r="M120"/>
  <c r="N119"/>
  <c r="M119"/>
  <c r="N118"/>
  <c r="M118"/>
  <c r="M122" s="1"/>
  <c r="N117"/>
  <c r="M117"/>
  <c r="N116"/>
  <c r="M116"/>
  <c r="B116"/>
  <c r="P115"/>
  <c r="O115"/>
  <c r="E115"/>
  <c r="D115"/>
  <c r="K114"/>
  <c r="J114"/>
  <c r="I114"/>
  <c r="H114"/>
  <c r="G114"/>
  <c r="F114"/>
  <c r="F115" s="1"/>
  <c r="E114"/>
  <c r="D114"/>
  <c r="N113"/>
  <c r="M113"/>
  <c r="N112"/>
  <c r="M112"/>
  <c r="N111"/>
  <c r="M111"/>
  <c r="N110"/>
  <c r="M110"/>
  <c r="M109"/>
  <c r="N109" s="1"/>
  <c r="M108"/>
  <c r="N108" s="1"/>
  <c r="B108"/>
  <c r="P107"/>
  <c r="O107"/>
  <c r="E107"/>
  <c r="D107"/>
  <c r="K106"/>
  <c r="J106"/>
  <c r="I106"/>
  <c r="H106"/>
  <c r="G106"/>
  <c r="F106"/>
  <c r="F107" s="1"/>
  <c r="E106"/>
  <c r="D106"/>
  <c r="N105"/>
  <c r="M105"/>
  <c r="N104"/>
  <c r="M104"/>
  <c r="M103"/>
  <c r="N103" s="1"/>
  <c r="M102"/>
  <c r="N102" s="1"/>
  <c r="N101"/>
  <c r="M101"/>
  <c r="N100"/>
  <c r="N106" s="1"/>
  <c r="M100"/>
  <c r="M107" s="1"/>
  <c r="B100"/>
  <c r="P99"/>
  <c r="O99"/>
  <c r="E99"/>
  <c r="D99"/>
  <c r="K98"/>
  <c r="J98"/>
  <c r="I98"/>
  <c r="H98"/>
  <c r="G98"/>
  <c r="F98"/>
  <c r="F99" s="1"/>
  <c r="E98"/>
  <c r="D98"/>
  <c r="N97"/>
  <c r="M97"/>
  <c r="N96"/>
  <c r="M96"/>
  <c r="N95"/>
  <c r="M95"/>
  <c r="M94"/>
  <c r="N94" s="1"/>
  <c r="M93"/>
  <c r="N93" s="1"/>
  <c r="N92"/>
  <c r="M92"/>
  <c r="M99" s="1"/>
  <c r="B92"/>
  <c r="P91"/>
  <c r="O91"/>
  <c r="E91"/>
  <c r="D91"/>
  <c r="K90"/>
  <c r="J90"/>
  <c r="I90"/>
  <c r="H90"/>
  <c r="G90"/>
  <c r="F90"/>
  <c r="F91" s="1"/>
  <c r="E90"/>
  <c r="D90"/>
  <c r="N89"/>
  <c r="M89"/>
  <c r="M88"/>
  <c r="N88" s="1"/>
  <c r="M87"/>
  <c r="N87" s="1"/>
  <c r="N86"/>
  <c r="M86"/>
  <c r="N85"/>
  <c r="M85"/>
  <c r="N84"/>
  <c r="N90" s="1"/>
  <c r="M84"/>
  <c r="M90" s="1"/>
  <c r="B84"/>
  <c r="P83"/>
  <c r="O83"/>
  <c r="E83"/>
  <c r="D83"/>
  <c r="K82"/>
  <c r="J82"/>
  <c r="I82"/>
  <c r="H82"/>
  <c r="G82"/>
  <c r="F82"/>
  <c r="F83" s="1"/>
  <c r="E82"/>
  <c r="D82"/>
  <c r="N81"/>
  <c r="M81"/>
  <c r="N80"/>
  <c r="M80"/>
  <c r="N79"/>
  <c r="M79"/>
  <c r="M78"/>
  <c r="N78" s="1"/>
  <c r="N77"/>
  <c r="M77"/>
  <c r="N76"/>
  <c r="M76"/>
  <c r="M83" s="1"/>
  <c r="B76"/>
  <c r="P75"/>
  <c r="O75"/>
  <c r="E75"/>
  <c r="D75"/>
  <c r="K74"/>
  <c r="J74"/>
  <c r="I74"/>
  <c r="H74"/>
  <c r="G74"/>
  <c r="F74"/>
  <c r="F75" s="1"/>
  <c r="E74"/>
  <c r="D74"/>
  <c r="M73"/>
  <c r="N73" s="1"/>
  <c r="M72"/>
  <c r="N72" s="1"/>
  <c r="N71"/>
  <c r="M71"/>
  <c r="N70"/>
  <c r="M70"/>
  <c r="M74" s="1"/>
  <c r="N69"/>
  <c r="M69"/>
  <c r="M68"/>
  <c r="M75" s="1"/>
  <c r="B68"/>
  <c r="P67"/>
  <c r="O67"/>
  <c r="E67"/>
  <c r="D67"/>
  <c r="K66"/>
  <c r="J66"/>
  <c r="I66"/>
  <c r="H66"/>
  <c r="G66"/>
  <c r="F66"/>
  <c r="F67" s="1"/>
  <c r="E66"/>
  <c r="D66"/>
  <c r="N65"/>
  <c r="M65"/>
  <c r="N64"/>
  <c r="M64"/>
  <c r="M63"/>
  <c r="N63" s="1"/>
  <c r="N62"/>
  <c r="N66" s="1"/>
  <c r="M62"/>
  <c r="M66" s="1"/>
  <c r="N61"/>
  <c r="M61"/>
  <c r="N60"/>
  <c r="N67" s="1"/>
  <c r="M60"/>
  <c r="M67" s="1"/>
  <c r="B60"/>
  <c r="P59"/>
  <c r="O59"/>
  <c r="E59"/>
  <c r="D59"/>
  <c r="K58"/>
  <c r="J58"/>
  <c r="I58"/>
  <c r="H58"/>
  <c r="G58"/>
  <c r="F58"/>
  <c r="F59" s="1"/>
  <c r="E58"/>
  <c r="D58"/>
  <c r="M57"/>
  <c r="N57" s="1"/>
  <c r="N56"/>
  <c r="M56"/>
  <c r="N55"/>
  <c r="M55"/>
  <c r="N54"/>
  <c r="M54"/>
  <c r="M53"/>
  <c r="N53" s="1"/>
  <c r="N52"/>
  <c r="M52"/>
  <c r="M59" s="1"/>
  <c r="B52"/>
  <c r="P51"/>
  <c r="O51"/>
  <c r="F51"/>
  <c r="E51"/>
  <c r="D51"/>
  <c r="K50"/>
  <c r="J50"/>
  <c r="I50"/>
  <c r="H50"/>
  <c r="G50"/>
  <c r="F50"/>
  <c r="E50"/>
  <c r="D50"/>
  <c r="N49"/>
  <c r="M49"/>
  <c r="M48"/>
  <c r="N48" s="1"/>
  <c r="N47"/>
  <c r="M47"/>
  <c r="N46"/>
  <c r="M46"/>
  <c r="N45"/>
  <c r="M45"/>
  <c r="N44"/>
  <c r="M44"/>
  <c r="M51" s="1"/>
  <c r="B44"/>
  <c r="P43"/>
  <c r="O43"/>
  <c r="F43"/>
  <c r="E43"/>
  <c r="D43"/>
  <c r="K42"/>
  <c r="J42"/>
  <c r="I42"/>
  <c r="H42"/>
  <c r="G42"/>
  <c r="F42"/>
  <c r="E42"/>
  <c r="D42"/>
  <c r="N41"/>
  <c r="M41"/>
  <c r="N40"/>
  <c r="M40"/>
  <c r="N39"/>
  <c r="M39"/>
  <c r="M38"/>
  <c r="M42" s="1"/>
  <c r="N37"/>
  <c r="M37"/>
  <c r="N36"/>
  <c r="M36"/>
  <c r="M43" s="1"/>
  <c r="B36"/>
  <c r="P35"/>
  <c r="O35"/>
  <c r="F35"/>
  <c r="E35"/>
  <c r="D35"/>
  <c r="K34"/>
  <c r="J34"/>
  <c r="I34"/>
  <c r="H34"/>
  <c r="G34"/>
  <c r="F34"/>
  <c r="E34"/>
  <c r="D34"/>
  <c r="M33"/>
  <c r="N33" s="1"/>
  <c r="N32"/>
  <c r="M32"/>
  <c r="N31"/>
  <c r="M31"/>
  <c r="N30"/>
  <c r="M30"/>
  <c r="M34" s="1"/>
  <c r="N29"/>
  <c r="M29"/>
  <c r="N28"/>
  <c r="M28"/>
  <c r="B28"/>
  <c r="P27"/>
  <c r="O27"/>
  <c r="F27"/>
  <c r="E27"/>
  <c r="D27"/>
  <c r="K26"/>
  <c r="J26"/>
  <c r="I26"/>
  <c r="H26"/>
  <c r="G26"/>
  <c r="F26"/>
  <c r="E26"/>
  <c r="D26"/>
  <c r="N25"/>
  <c r="M25"/>
  <c r="M27" s="1"/>
  <c r="N24"/>
  <c r="M24"/>
  <c r="M23"/>
  <c r="N23" s="1"/>
  <c r="N22"/>
  <c r="M22"/>
  <c r="M26" s="1"/>
  <c r="N21"/>
  <c r="M21"/>
  <c r="M20"/>
  <c r="N20" s="1"/>
  <c r="B20"/>
  <c r="P19"/>
  <c r="O19"/>
  <c r="E19"/>
  <c r="D19"/>
  <c r="K18"/>
  <c r="F19" s="1"/>
  <c r="J18"/>
  <c r="I18"/>
  <c r="H18"/>
  <c r="G18"/>
  <c r="F18"/>
  <c r="E18"/>
  <c r="D18"/>
  <c r="N17"/>
  <c r="N19" s="1"/>
  <c r="M17"/>
  <c r="M19" s="1"/>
  <c r="N16"/>
  <c r="M16"/>
  <c r="N15"/>
  <c r="M15"/>
  <c r="N14"/>
  <c r="N18" s="1"/>
  <c r="M14"/>
  <c r="M18" s="1"/>
  <c r="N13"/>
  <c r="M13"/>
  <c r="N12"/>
  <c r="M12"/>
  <c r="B12"/>
  <c r="P11"/>
  <c r="O11"/>
  <c r="F11"/>
  <c r="E11"/>
  <c r="D11"/>
  <c r="K10"/>
  <c r="J10"/>
  <c r="I10"/>
  <c r="H10"/>
  <c r="G10"/>
  <c r="F10"/>
  <c r="E10"/>
  <c r="D10"/>
  <c r="N9"/>
  <c r="M9"/>
  <c r="M8"/>
  <c r="N8" s="1"/>
  <c r="N7"/>
  <c r="M7"/>
  <c r="M10" s="1"/>
  <c r="M6"/>
  <c r="N6" s="1"/>
  <c r="M5"/>
  <c r="N5" s="1"/>
  <c r="N4"/>
  <c r="M4"/>
  <c r="B4"/>
  <c r="P251" i="42"/>
  <c r="P253" s="1"/>
  <c r="O251"/>
  <c r="O253" s="1"/>
  <c r="M251"/>
  <c r="E251"/>
  <c r="D251"/>
  <c r="K250"/>
  <c r="K253" s="1"/>
  <c r="J250"/>
  <c r="J253" s="1"/>
  <c r="I250"/>
  <c r="H250"/>
  <c r="G250"/>
  <c r="G253" s="1"/>
  <c r="F250"/>
  <c r="F253" s="1"/>
  <c r="E250"/>
  <c r="E253" s="1"/>
  <c r="E254" s="1"/>
  <c r="D250"/>
  <c r="N249"/>
  <c r="M249"/>
  <c r="N248"/>
  <c r="M248"/>
  <c r="N247"/>
  <c r="M247"/>
  <c r="M246"/>
  <c r="M250" s="1"/>
  <c r="N245"/>
  <c r="M245"/>
  <c r="N244"/>
  <c r="M244"/>
  <c r="P243"/>
  <c r="O243"/>
  <c r="E243"/>
  <c r="D243"/>
  <c r="K242"/>
  <c r="J242"/>
  <c r="I242"/>
  <c r="H242"/>
  <c r="H253" s="1"/>
  <c r="G242"/>
  <c r="F242"/>
  <c r="F243" s="1"/>
  <c r="E242"/>
  <c r="D242"/>
  <c r="N241"/>
  <c r="M241"/>
  <c r="N240"/>
  <c r="M240"/>
  <c r="N239"/>
  <c r="M239"/>
  <c r="N238"/>
  <c r="M238"/>
  <c r="N237"/>
  <c r="M237"/>
  <c r="M236"/>
  <c r="N236" s="1"/>
  <c r="P235"/>
  <c r="O235"/>
  <c r="E235"/>
  <c r="D235"/>
  <c r="K234"/>
  <c r="J234"/>
  <c r="I234"/>
  <c r="I253" s="1"/>
  <c r="H234"/>
  <c r="G234"/>
  <c r="F234"/>
  <c r="F235" s="1"/>
  <c r="E234"/>
  <c r="D234"/>
  <c r="N233"/>
  <c r="M233"/>
  <c r="N232"/>
  <c r="M232"/>
  <c r="M231"/>
  <c r="N231" s="1"/>
  <c r="N230"/>
  <c r="M230"/>
  <c r="N229"/>
  <c r="M229"/>
  <c r="N228"/>
  <c r="M228"/>
  <c r="M234" s="1"/>
  <c r="P227"/>
  <c r="O227"/>
  <c r="E227"/>
  <c r="D227"/>
  <c r="K226"/>
  <c r="J226"/>
  <c r="I226"/>
  <c r="H226"/>
  <c r="G226"/>
  <c r="F226"/>
  <c r="F227" s="1"/>
  <c r="E226"/>
  <c r="D226"/>
  <c r="N225"/>
  <c r="M225"/>
  <c r="N224"/>
  <c r="M224"/>
  <c r="N223"/>
  <c r="M223"/>
  <c r="N222"/>
  <c r="M222"/>
  <c r="M221"/>
  <c r="N221" s="1"/>
  <c r="N220"/>
  <c r="M220"/>
  <c r="M226" s="1"/>
  <c r="B220"/>
  <c r="P219"/>
  <c r="O219"/>
  <c r="E219"/>
  <c r="D219"/>
  <c r="K218"/>
  <c r="J218"/>
  <c r="I218"/>
  <c r="H218"/>
  <c r="G218"/>
  <c r="F218"/>
  <c r="F219" s="1"/>
  <c r="E218"/>
  <c r="D218"/>
  <c r="N217"/>
  <c r="M217"/>
  <c r="M216"/>
  <c r="N216" s="1"/>
  <c r="N215"/>
  <c r="M215"/>
  <c r="N214"/>
  <c r="M214"/>
  <c r="N213"/>
  <c r="M213"/>
  <c r="N212"/>
  <c r="M212"/>
  <c r="M218" s="1"/>
  <c r="B212"/>
  <c r="P211"/>
  <c r="O211"/>
  <c r="E211"/>
  <c r="D211"/>
  <c r="K210"/>
  <c r="J210"/>
  <c r="I210"/>
  <c r="H210"/>
  <c r="G210"/>
  <c r="F210"/>
  <c r="F211" s="1"/>
  <c r="E210"/>
  <c r="D210"/>
  <c r="N209"/>
  <c r="M209"/>
  <c r="N208"/>
  <c r="M208"/>
  <c r="N207"/>
  <c r="M207"/>
  <c r="M206"/>
  <c r="N206" s="1"/>
  <c r="N205"/>
  <c r="M205"/>
  <c r="N204"/>
  <c r="M204"/>
  <c r="M211" s="1"/>
  <c r="B204"/>
  <c r="P203"/>
  <c r="O203"/>
  <c r="E203"/>
  <c r="D203"/>
  <c r="K202"/>
  <c r="J202"/>
  <c r="I202"/>
  <c r="H202"/>
  <c r="G202"/>
  <c r="F202"/>
  <c r="F203" s="1"/>
  <c r="E202"/>
  <c r="D202"/>
  <c r="M201"/>
  <c r="N201" s="1"/>
  <c r="N200"/>
  <c r="M200"/>
  <c r="N199"/>
  <c r="M199"/>
  <c r="N198"/>
  <c r="M198"/>
  <c r="M202" s="1"/>
  <c r="N197"/>
  <c r="M197"/>
  <c r="N196"/>
  <c r="M196"/>
  <c r="M203" s="1"/>
  <c r="B196"/>
  <c r="P195"/>
  <c r="O195"/>
  <c r="E195"/>
  <c r="D195"/>
  <c r="K194"/>
  <c r="J194"/>
  <c r="I194"/>
  <c r="H194"/>
  <c r="G194"/>
  <c r="F194"/>
  <c r="F195" s="1"/>
  <c r="E194"/>
  <c r="D194"/>
  <c r="N193"/>
  <c r="M193"/>
  <c r="N192"/>
  <c r="M192"/>
  <c r="M191"/>
  <c r="N191" s="1"/>
  <c r="N190"/>
  <c r="M190"/>
  <c r="M194" s="1"/>
  <c r="N189"/>
  <c r="M189"/>
  <c r="N188"/>
  <c r="M188"/>
  <c r="M195" s="1"/>
  <c r="B188"/>
  <c r="P187"/>
  <c r="O187"/>
  <c r="E187"/>
  <c r="D187"/>
  <c r="K186"/>
  <c r="J186"/>
  <c r="I186"/>
  <c r="H186"/>
  <c r="G186"/>
  <c r="F186"/>
  <c r="F187" s="1"/>
  <c r="E186"/>
  <c r="D186"/>
  <c r="N185"/>
  <c r="M185"/>
  <c r="N184"/>
  <c r="M184"/>
  <c r="N183"/>
  <c r="M183"/>
  <c r="N182"/>
  <c r="N186" s="1"/>
  <c r="M182"/>
  <c r="M186" s="1"/>
  <c r="N181"/>
  <c r="M181"/>
  <c r="N180"/>
  <c r="N187" s="1"/>
  <c r="M180"/>
  <c r="M187" s="1"/>
  <c r="B180"/>
  <c r="P179"/>
  <c r="O179"/>
  <c r="F179"/>
  <c r="E179"/>
  <c r="D179"/>
  <c r="K178"/>
  <c r="J178"/>
  <c r="I178"/>
  <c r="H178"/>
  <c r="G178"/>
  <c r="F178"/>
  <c r="E178"/>
  <c r="D178"/>
  <c r="N177"/>
  <c r="M177"/>
  <c r="M176"/>
  <c r="N176" s="1"/>
  <c r="N175"/>
  <c r="M175"/>
  <c r="N174"/>
  <c r="M174"/>
  <c r="M178" s="1"/>
  <c r="N173"/>
  <c r="M173"/>
  <c r="N172"/>
  <c r="M172"/>
  <c r="M179" s="1"/>
  <c r="B172"/>
  <c r="P171"/>
  <c r="O171"/>
  <c r="F171"/>
  <c r="E171"/>
  <c r="D171"/>
  <c r="K170"/>
  <c r="J170"/>
  <c r="I170"/>
  <c r="H170"/>
  <c r="G170"/>
  <c r="F170"/>
  <c r="E170"/>
  <c r="D170"/>
  <c r="N169"/>
  <c r="M169"/>
  <c r="N168"/>
  <c r="M168"/>
  <c r="N167"/>
  <c r="M167"/>
  <c r="N166"/>
  <c r="N170" s="1"/>
  <c r="M166"/>
  <c r="M170" s="1"/>
  <c r="N165"/>
  <c r="M165"/>
  <c r="N164"/>
  <c r="N171" s="1"/>
  <c r="M164"/>
  <c r="M171" s="1"/>
  <c r="B164"/>
  <c r="P163"/>
  <c r="O163"/>
  <c r="M163"/>
  <c r="F163"/>
  <c r="E163"/>
  <c r="D163"/>
  <c r="K162"/>
  <c r="J162"/>
  <c r="I162"/>
  <c r="H162"/>
  <c r="G162"/>
  <c r="F162"/>
  <c r="E162"/>
  <c r="D162"/>
  <c r="M161"/>
  <c r="N161" s="1"/>
  <c r="N160"/>
  <c r="M160"/>
  <c r="N159"/>
  <c r="M159"/>
  <c r="N158"/>
  <c r="M158"/>
  <c r="M162" s="1"/>
  <c r="N157"/>
  <c r="M157"/>
  <c r="N156"/>
  <c r="N163" s="1"/>
  <c r="M156"/>
  <c r="B156"/>
  <c r="P155"/>
  <c r="O155"/>
  <c r="M155"/>
  <c r="F155"/>
  <c r="E155"/>
  <c r="D155"/>
  <c r="K154"/>
  <c r="J154"/>
  <c r="I154"/>
  <c r="H154"/>
  <c r="G154"/>
  <c r="F154"/>
  <c r="E154"/>
  <c r="D154"/>
  <c r="N153"/>
  <c r="M153"/>
  <c r="N152"/>
  <c r="M152"/>
  <c r="N151"/>
  <c r="M151"/>
  <c r="N150"/>
  <c r="M150"/>
  <c r="N149"/>
  <c r="M149"/>
  <c r="M148"/>
  <c r="N148" s="1"/>
  <c r="B148"/>
  <c r="P147"/>
  <c r="O147"/>
  <c r="F147"/>
  <c r="E147"/>
  <c r="D147"/>
  <c r="K146"/>
  <c r="J146"/>
  <c r="I146"/>
  <c r="H146"/>
  <c r="G146"/>
  <c r="F146"/>
  <c r="E146"/>
  <c r="D146"/>
  <c r="D253" s="1"/>
  <c r="D254" s="1"/>
  <c r="N145"/>
  <c r="N147" s="1"/>
  <c r="M145"/>
  <c r="M147" s="1"/>
  <c r="N144"/>
  <c r="M144"/>
  <c r="N143"/>
  <c r="M143"/>
  <c r="N142"/>
  <c r="M142"/>
  <c r="N141"/>
  <c r="M141"/>
  <c r="N140"/>
  <c r="N146" s="1"/>
  <c r="M140"/>
  <c r="M146" s="1"/>
  <c r="B140"/>
  <c r="P139"/>
  <c r="O139"/>
  <c r="F139"/>
  <c r="E139"/>
  <c r="D139"/>
  <c r="K138"/>
  <c r="J138"/>
  <c r="I138"/>
  <c r="H138"/>
  <c r="G138"/>
  <c r="F138"/>
  <c r="E138"/>
  <c r="D138"/>
  <c r="N137"/>
  <c r="M137"/>
  <c r="M139" s="1"/>
  <c r="N136"/>
  <c r="M136"/>
  <c r="N135"/>
  <c r="M135"/>
  <c r="N134"/>
  <c r="M134"/>
  <c r="M133"/>
  <c r="N133" s="1"/>
  <c r="N139" s="1"/>
  <c r="N132"/>
  <c r="M132"/>
  <c r="M138" s="1"/>
  <c r="B132"/>
  <c r="P131"/>
  <c r="O131"/>
  <c r="E131"/>
  <c r="D131"/>
  <c r="K130"/>
  <c r="J130"/>
  <c r="I130"/>
  <c r="H130"/>
  <c r="G130"/>
  <c r="F130"/>
  <c r="F131" s="1"/>
  <c r="E130"/>
  <c r="D130"/>
  <c r="N129"/>
  <c r="N131" s="1"/>
  <c r="M129"/>
  <c r="M131" s="1"/>
  <c r="N128"/>
  <c r="M128"/>
  <c r="N127"/>
  <c r="M127"/>
  <c r="N126"/>
  <c r="M126"/>
  <c r="N125"/>
  <c r="M125"/>
  <c r="M130" s="1"/>
  <c r="N124"/>
  <c r="N130" s="1"/>
  <c r="M124"/>
  <c r="B124"/>
  <c r="P123"/>
  <c r="O123"/>
  <c r="E123"/>
  <c r="D123"/>
  <c r="K122"/>
  <c r="J122"/>
  <c r="I122"/>
  <c r="H122"/>
  <c r="G122"/>
  <c r="F122"/>
  <c r="F123" s="1"/>
  <c r="E122"/>
  <c r="D122"/>
  <c r="N121"/>
  <c r="M121"/>
  <c r="M123" s="1"/>
  <c r="N120"/>
  <c r="M120"/>
  <c r="N119"/>
  <c r="M119"/>
  <c r="M118"/>
  <c r="M122" s="1"/>
  <c r="N117"/>
  <c r="M117"/>
  <c r="N116"/>
  <c r="M116"/>
  <c r="B116"/>
  <c r="P115"/>
  <c r="O115"/>
  <c r="E115"/>
  <c r="D115"/>
  <c r="K114"/>
  <c r="J114"/>
  <c r="I114"/>
  <c r="H114"/>
  <c r="G114"/>
  <c r="F114"/>
  <c r="F115" s="1"/>
  <c r="E114"/>
  <c r="D114"/>
  <c r="N113"/>
  <c r="M113"/>
  <c r="N112"/>
  <c r="M112"/>
  <c r="N111"/>
  <c r="M111"/>
  <c r="N110"/>
  <c r="M110"/>
  <c r="N109"/>
  <c r="M109"/>
  <c r="M108"/>
  <c r="N108" s="1"/>
  <c r="B108"/>
  <c r="P107"/>
  <c r="O107"/>
  <c r="E107"/>
  <c r="D107"/>
  <c r="K106"/>
  <c r="J106"/>
  <c r="I106"/>
  <c r="H106"/>
  <c r="G106"/>
  <c r="F106"/>
  <c r="F107" s="1"/>
  <c r="E106"/>
  <c r="D106"/>
  <c r="N105"/>
  <c r="M105"/>
  <c r="N104"/>
  <c r="M104"/>
  <c r="M103"/>
  <c r="N103" s="1"/>
  <c r="N102"/>
  <c r="M102"/>
  <c r="N101"/>
  <c r="M101"/>
  <c r="N100"/>
  <c r="M100"/>
  <c r="M106" s="1"/>
  <c r="B100"/>
  <c r="P99"/>
  <c r="O99"/>
  <c r="E99"/>
  <c r="D99"/>
  <c r="K98"/>
  <c r="J98"/>
  <c r="I98"/>
  <c r="H98"/>
  <c r="G98"/>
  <c r="F98"/>
  <c r="F99" s="1"/>
  <c r="E98"/>
  <c r="D98"/>
  <c r="N97"/>
  <c r="M97"/>
  <c r="N96"/>
  <c r="M96"/>
  <c r="N95"/>
  <c r="M95"/>
  <c r="N94"/>
  <c r="M94"/>
  <c r="M93"/>
  <c r="N93" s="1"/>
  <c r="N92"/>
  <c r="N98" s="1"/>
  <c r="M92"/>
  <c r="M98" s="1"/>
  <c r="B92"/>
  <c r="P91"/>
  <c r="O91"/>
  <c r="E91"/>
  <c r="D91"/>
  <c r="K90"/>
  <c r="J90"/>
  <c r="I90"/>
  <c r="H90"/>
  <c r="G90"/>
  <c r="F90"/>
  <c r="F91" s="1"/>
  <c r="E90"/>
  <c r="D90"/>
  <c r="N89"/>
  <c r="M89"/>
  <c r="M88"/>
  <c r="N88" s="1"/>
  <c r="N87"/>
  <c r="M87"/>
  <c r="N86"/>
  <c r="M86"/>
  <c r="N85"/>
  <c r="M85"/>
  <c r="N84"/>
  <c r="M84"/>
  <c r="M90" s="1"/>
  <c r="B84"/>
  <c r="P83"/>
  <c r="O83"/>
  <c r="E83"/>
  <c r="D83"/>
  <c r="K82"/>
  <c r="J82"/>
  <c r="I82"/>
  <c r="H82"/>
  <c r="G82"/>
  <c r="F82"/>
  <c r="F83" s="1"/>
  <c r="E82"/>
  <c r="D82"/>
  <c r="N81"/>
  <c r="M81"/>
  <c r="N80"/>
  <c r="M80"/>
  <c r="N79"/>
  <c r="M79"/>
  <c r="M78"/>
  <c r="N78" s="1"/>
  <c r="N77"/>
  <c r="M77"/>
  <c r="N76"/>
  <c r="N82" s="1"/>
  <c r="M76"/>
  <c r="M83" s="1"/>
  <c r="B76"/>
  <c r="P75"/>
  <c r="O75"/>
  <c r="E75"/>
  <c r="D75"/>
  <c r="K74"/>
  <c r="J74"/>
  <c r="I74"/>
  <c r="H74"/>
  <c r="G74"/>
  <c r="F74"/>
  <c r="F75" s="1"/>
  <c r="E74"/>
  <c r="D74"/>
  <c r="M73"/>
  <c r="N73" s="1"/>
  <c r="N74" s="1"/>
  <c r="N72"/>
  <c r="M72"/>
  <c r="N71"/>
  <c r="M71"/>
  <c r="N70"/>
  <c r="M70"/>
  <c r="M74" s="1"/>
  <c r="N69"/>
  <c r="M69"/>
  <c r="N68"/>
  <c r="M68"/>
  <c r="M75" s="1"/>
  <c r="B68"/>
  <c r="P67"/>
  <c r="O67"/>
  <c r="E67"/>
  <c r="D67"/>
  <c r="K66"/>
  <c r="J66"/>
  <c r="I66"/>
  <c r="H66"/>
  <c r="G66"/>
  <c r="F66"/>
  <c r="F67" s="1"/>
  <c r="E66"/>
  <c r="D66"/>
  <c r="N65"/>
  <c r="M65"/>
  <c r="N64"/>
  <c r="M64"/>
  <c r="M63"/>
  <c r="N63" s="1"/>
  <c r="N62"/>
  <c r="N66" s="1"/>
  <c r="M62"/>
  <c r="M66" s="1"/>
  <c r="N61"/>
  <c r="M61"/>
  <c r="N60"/>
  <c r="N67" s="1"/>
  <c r="M60"/>
  <c r="M67" s="1"/>
  <c r="B60"/>
  <c r="P59"/>
  <c r="O59"/>
  <c r="E59"/>
  <c r="D59"/>
  <c r="K58"/>
  <c r="J58"/>
  <c r="I58"/>
  <c r="H58"/>
  <c r="G58"/>
  <c r="F58"/>
  <c r="F59" s="1"/>
  <c r="E58"/>
  <c r="D58"/>
  <c r="N57"/>
  <c r="M57"/>
  <c r="N56"/>
  <c r="M56"/>
  <c r="N55"/>
  <c r="M55"/>
  <c r="N54"/>
  <c r="N58" s="1"/>
  <c r="M54"/>
  <c r="M58" s="1"/>
  <c r="N53"/>
  <c r="M53"/>
  <c r="N52"/>
  <c r="N59" s="1"/>
  <c r="M52"/>
  <c r="M59" s="1"/>
  <c r="B52"/>
  <c r="P51"/>
  <c r="O51"/>
  <c r="F51"/>
  <c r="E51"/>
  <c r="D51"/>
  <c r="K50"/>
  <c r="J50"/>
  <c r="I50"/>
  <c r="H50"/>
  <c r="G50"/>
  <c r="F50"/>
  <c r="E50"/>
  <c r="D50"/>
  <c r="N49"/>
  <c r="M49"/>
  <c r="M48"/>
  <c r="N48" s="1"/>
  <c r="N47"/>
  <c r="M47"/>
  <c r="N46"/>
  <c r="M46"/>
  <c r="M50" s="1"/>
  <c r="N45"/>
  <c r="M45"/>
  <c r="N44"/>
  <c r="M44"/>
  <c r="M51" s="1"/>
  <c r="B44"/>
  <c r="P43"/>
  <c r="O43"/>
  <c r="F43"/>
  <c r="E43"/>
  <c r="D43"/>
  <c r="K42"/>
  <c r="J42"/>
  <c r="I42"/>
  <c r="H42"/>
  <c r="G42"/>
  <c r="F42"/>
  <c r="E42"/>
  <c r="D42"/>
  <c r="N41"/>
  <c r="M41"/>
  <c r="N40"/>
  <c r="M40"/>
  <c r="N39"/>
  <c r="M39"/>
  <c r="N38"/>
  <c r="N42" s="1"/>
  <c r="M38"/>
  <c r="M42" s="1"/>
  <c r="N37"/>
  <c r="M37"/>
  <c r="N36"/>
  <c r="N43" s="1"/>
  <c r="M36"/>
  <c r="M43" s="1"/>
  <c r="B36"/>
  <c r="P35"/>
  <c r="O35"/>
  <c r="F35"/>
  <c r="E35"/>
  <c r="D35"/>
  <c r="K34"/>
  <c r="J34"/>
  <c r="I34"/>
  <c r="H34"/>
  <c r="G34"/>
  <c r="F34"/>
  <c r="E34"/>
  <c r="D34"/>
  <c r="M33"/>
  <c r="N33" s="1"/>
  <c r="N32"/>
  <c r="M32"/>
  <c r="N31"/>
  <c r="M31"/>
  <c r="N30"/>
  <c r="M30"/>
  <c r="M34" s="1"/>
  <c r="N29"/>
  <c r="M29"/>
  <c r="N28"/>
  <c r="M28"/>
  <c r="B28"/>
  <c r="P27"/>
  <c r="O27"/>
  <c r="F27"/>
  <c r="E27"/>
  <c r="D27"/>
  <c r="K26"/>
  <c r="J26"/>
  <c r="I26"/>
  <c r="H26"/>
  <c r="G26"/>
  <c r="F26"/>
  <c r="E26"/>
  <c r="D26"/>
  <c r="N25"/>
  <c r="M25"/>
  <c r="M27" s="1"/>
  <c r="N24"/>
  <c r="M24"/>
  <c r="N23"/>
  <c r="M23"/>
  <c r="N22"/>
  <c r="M22"/>
  <c r="N21"/>
  <c r="M21"/>
  <c r="M20"/>
  <c r="N20" s="1"/>
  <c r="B20"/>
  <c r="P19"/>
  <c r="O19"/>
  <c r="F19"/>
  <c r="E19"/>
  <c r="D19"/>
  <c r="K18"/>
  <c r="J18"/>
  <c r="I18"/>
  <c r="H18"/>
  <c r="G18"/>
  <c r="F18"/>
  <c r="E18"/>
  <c r="D18"/>
  <c r="N17"/>
  <c r="N19" s="1"/>
  <c r="M17"/>
  <c r="M19" s="1"/>
  <c r="N16"/>
  <c r="M16"/>
  <c r="N15"/>
  <c r="M15"/>
  <c r="N14"/>
  <c r="M14"/>
  <c r="N13"/>
  <c r="M13"/>
  <c r="N12"/>
  <c r="N18" s="1"/>
  <c r="M12"/>
  <c r="M18" s="1"/>
  <c r="B12"/>
  <c r="P11"/>
  <c r="O11"/>
  <c r="F11"/>
  <c r="E11"/>
  <c r="D11"/>
  <c r="K10"/>
  <c r="J10"/>
  <c r="I10"/>
  <c r="H10"/>
  <c r="G10"/>
  <c r="F10"/>
  <c r="E10"/>
  <c r="D10"/>
  <c r="N9"/>
  <c r="M9"/>
  <c r="M11" s="1"/>
  <c r="N8"/>
  <c r="M8"/>
  <c r="N7"/>
  <c r="M7"/>
  <c r="M6"/>
  <c r="N6" s="1"/>
  <c r="N11" s="1"/>
  <c r="N5"/>
  <c r="M5"/>
  <c r="M10" s="1"/>
  <c r="N4"/>
  <c r="M4"/>
  <c r="B4"/>
  <c r="L253" i="41"/>
  <c r="L254" s="1"/>
  <c r="P251"/>
  <c r="P253" s="1"/>
  <c r="O251"/>
  <c r="O253" s="1"/>
  <c r="M251"/>
  <c r="E251"/>
  <c r="D251"/>
  <c r="K250"/>
  <c r="K253" s="1"/>
  <c r="J250"/>
  <c r="I250"/>
  <c r="I253" s="1"/>
  <c r="H250"/>
  <c r="G250"/>
  <c r="G253" s="1"/>
  <c r="F250"/>
  <c r="F253" s="1"/>
  <c r="E250"/>
  <c r="E253" s="1"/>
  <c r="E254" s="1"/>
  <c r="D250"/>
  <c r="N249"/>
  <c r="M249"/>
  <c r="N248"/>
  <c r="M248"/>
  <c r="N247"/>
  <c r="M247"/>
  <c r="N246"/>
  <c r="M246"/>
  <c r="M250" s="1"/>
  <c r="M245"/>
  <c r="N245" s="1"/>
  <c r="N251" s="1"/>
  <c r="N244"/>
  <c r="M244"/>
  <c r="P243"/>
  <c r="O243"/>
  <c r="E243"/>
  <c r="D243"/>
  <c r="K242"/>
  <c r="J242"/>
  <c r="J253" s="1"/>
  <c r="I242"/>
  <c r="H242"/>
  <c r="H253" s="1"/>
  <c r="G242"/>
  <c r="F242"/>
  <c r="F243" s="1"/>
  <c r="E242"/>
  <c r="D242"/>
  <c r="N241"/>
  <c r="M241"/>
  <c r="N240"/>
  <c r="M240"/>
  <c r="M239"/>
  <c r="N239" s="1"/>
  <c r="N238"/>
  <c r="M238"/>
  <c r="M237"/>
  <c r="N237" s="1"/>
  <c r="M236"/>
  <c r="N236" s="1"/>
  <c r="P235"/>
  <c r="O235"/>
  <c r="E235"/>
  <c r="D235"/>
  <c r="K234"/>
  <c r="J234"/>
  <c r="I234"/>
  <c r="H234"/>
  <c r="G234"/>
  <c r="F234"/>
  <c r="F235" s="1"/>
  <c r="E234"/>
  <c r="D234"/>
  <c r="N233"/>
  <c r="M233"/>
  <c r="N232"/>
  <c r="M232"/>
  <c r="N231"/>
  <c r="M231"/>
  <c r="M230"/>
  <c r="N230" s="1"/>
  <c r="N229"/>
  <c r="M229"/>
  <c r="N228"/>
  <c r="M228"/>
  <c r="M234" s="1"/>
  <c r="P227"/>
  <c r="O227"/>
  <c r="E227"/>
  <c r="D227"/>
  <c r="K226"/>
  <c r="J226"/>
  <c r="I226"/>
  <c r="H226"/>
  <c r="G226"/>
  <c r="F226"/>
  <c r="F227" s="1"/>
  <c r="E226"/>
  <c r="D226"/>
  <c r="N225"/>
  <c r="M225"/>
  <c r="M224"/>
  <c r="N224" s="1"/>
  <c r="N223"/>
  <c r="M223"/>
  <c r="M222"/>
  <c r="N222" s="1"/>
  <c r="M221"/>
  <c r="N221" s="1"/>
  <c r="N220"/>
  <c r="N226" s="1"/>
  <c r="M220"/>
  <c r="M226" s="1"/>
  <c r="B220"/>
  <c r="P219"/>
  <c r="O219"/>
  <c r="E219"/>
  <c r="D219"/>
  <c r="K218"/>
  <c r="J218"/>
  <c r="I218"/>
  <c r="H218"/>
  <c r="G218"/>
  <c r="F218"/>
  <c r="F219" s="1"/>
  <c r="E218"/>
  <c r="D218"/>
  <c r="N217"/>
  <c r="M217"/>
  <c r="N216"/>
  <c r="M216"/>
  <c r="N215"/>
  <c r="M215"/>
  <c r="N214"/>
  <c r="M214"/>
  <c r="N213"/>
  <c r="M213"/>
  <c r="N212"/>
  <c r="N218" s="1"/>
  <c r="M212"/>
  <c r="M218" s="1"/>
  <c r="B212"/>
  <c r="P211"/>
  <c r="O211"/>
  <c r="E211"/>
  <c r="D211"/>
  <c r="K210"/>
  <c r="J210"/>
  <c r="I210"/>
  <c r="H210"/>
  <c r="G210"/>
  <c r="F210"/>
  <c r="F211" s="1"/>
  <c r="E210"/>
  <c r="D210"/>
  <c r="M209"/>
  <c r="N209" s="1"/>
  <c r="N208"/>
  <c r="M208"/>
  <c r="M207"/>
  <c r="N207" s="1"/>
  <c r="M206"/>
  <c r="N206" s="1"/>
  <c r="N205"/>
  <c r="M205"/>
  <c r="N204"/>
  <c r="N210" s="1"/>
  <c r="M204"/>
  <c r="M211" s="1"/>
  <c r="B204"/>
  <c r="P203"/>
  <c r="O203"/>
  <c r="E203"/>
  <c r="D203"/>
  <c r="M202"/>
  <c r="K202"/>
  <c r="J202"/>
  <c r="I202"/>
  <c r="H202"/>
  <c r="G202"/>
  <c r="F202"/>
  <c r="F203" s="1"/>
  <c r="E202"/>
  <c r="D202"/>
  <c r="N201"/>
  <c r="M201"/>
  <c r="N200"/>
  <c r="M200"/>
  <c r="N199"/>
  <c r="M199"/>
  <c r="N198"/>
  <c r="N202" s="1"/>
  <c r="M198"/>
  <c r="N197"/>
  <c r="M197"/>
  <c r="N196"/>
  <c r="N203" s="1"/>
  <c r="M196"/>
  <c r="M203" s="1"/>
  <c r="B196"/>
  <c r="P195"/>
  <c r="O195"/>
  <c r="E195"/>
  <c r="D195"/>
  <c r="K194"/>
  <c r="J194"/>
  <c r="I194"/>
  <c r="H194"/>
  <c r="G194"/>
  <c r="F195" s="1"/>
  <c r="F194"/>
  <c r="E194"/>
  <c r="D194"/>
  <c r="M193"/>
  <c r="N193" s="1"/>
  <c r="M192"/>
  <c r="N192" s="1"/>
  <c r="M191"/>
  <c r="N191" s="1"/>
  <c r="N190"/>
  <c r="M190"/>
  <c r="M194" s="1"/>
  <c r="N189"/>
  <c r="M189"/>
  <c r="N188"/>
  <c r="M188"/>
  <c r="M195" s="1"/>
  <c r="B188"/>
  <c r="P187"/>
  <c r="O187"/>
  <c r="E187"/>
  <c r="D187"/>
  <c r="K186"/>
  <c r="J186"/>
  <c r="I186"/>
  <c r="H186"/>
  <c r="G186"/>
  <c r="F186"/>
  <c r="F187" s="1"/>
  <c r="E186"/>
  <c r="D186"/>
  <c r="M185"/>
  <c r="N185" s="1"/>
  <c r="N184"/>
  <c r="M184"/>
  <c r="N183"/>
  <c r="M183"/>
  <c r="N182"/>
  <c r="N186" s="1"/>
  <c r="M182"/>
  <c r="M186" s="1"/>
  <c r="N181"/>
  <c r="M181"/>
  <c r="N180"/>
  <c r="N187" s="1"/>
  <c r="M180"/>
  <c r="M187" s="1"/>
  <c r="B180"/>
  <c r="P179"/>
  <c r="O179"/>
  <c r="F179"/>
  <c r="E179"/>
  <c r="D179"/>
  <c r="K178"/>
  <c r="J178"/>
  <c r="I178"/>
  <c r="H178"/>
  <c r="G178"/>
  <c r="F178"/>
  <c r="E178"/>
  <c r="D178"/>
  <c r="M177"/>
  <c r="N177" s="1"/>
  <c r="M176"/>
  <c r="N176" s="1"/>
  <c r="N175"/>
  <c r="M175"/>
  <c r="N174"/>
  <c r="N178" s="1"/>
  <c r="M174"/>
  <c r="M178" s="1"/>
  <c r="N173"/>
  <c r="M173"/>
  <c r="M179" s="1"/>
  <c r="N172"/>
  <c r="N179" s="1"/>
  <c r="M172"/>
  <c r="B172"/>
  <c r="P171"/>
  <c r="O171"/>
  <c r="F171"/>
  <c r="E171"/>
  <c r="D171"/>
  <c r="K170"/>
  <c r="J170"/>
  <c r="I170"/>
  <c r="H170"/>
  <c r="G170"/>
  <c r="F170"/>
  <c r="E170"/>
  <c r="D170"/>
  <c r="N169"/>
  <c r="M169"/>
  <c r="N168"/>
  <c r="M168"/>
  <c r="N167"/>
  <c r="M167"/>
  <c r="N166"/>
  <c r="N170" s="1"/>
  <c r="M166"/>
  <c r="M170" s="1"/>
  <c r="N165"/>
  <c r="N171" s="1"/>
  <c r="M165"/>
  <c r="N164"/>
  <c r="M164"/>
  <c r="M171" s="1"/>
  <c r="B164"/>
  <c r="P163"/>
  <c r="O163"/>
  <c r="M163"/>
  <c r="F163"/>
  <c r="E163"/>
  <c r="D163"/>
  <c r="K162"/>
  <c r="J162"/>
  <c r="I162"/>
  <c r="H162"/>
  <c r="G162"/>
  <c r="F162"/>
  <c r="E162"/>
  <c r="D162"/>
  <c r="M161"/>
  <c r="N161" s="1"/>
  <c r="N160"/>
  <c r="M160"/>
  <c r="N159"/>
  <c r="M159"/>
  <c r="N158"/>
  <c r="N162" s="1"/>
  <c r="M158"/>
  <c r="M162" s="1"/>
  <c r="N157"/>
  <c r="M157"/>
  <c r="N156"/>
  <c r="M156"/>
  <c r="B156"/>
  <c r="P155"/>
  <c r="O155"/>
  <c r="F155"/>
  <c r="E155"/>
  <c r="D155"/>
  <c r="K154"/>
  <c r="J154"/>
  <c r="I154"/>
  <c r="H154"/>
  <c r="G154"/>
  <c r="F154"/>
  <c r="E154"/>
  <c r="D154"/>
  <c r="N153"/>
  <c r="N155" s="1"/>
  <c r="M153"/>
  <c r="M155" s="1"/>
  <c r="N152"/>
  <c r="M152"/>
  <c r="N151"/>
  <c r="M151"/>
  <c r="N150"/>
  <c r="N154" s="1"/>
  <c r="M150"/>
  <c r="M154" s="1"/>
  <c r="N149"/>
  <c r="M149"/>
  <c r="N148"/>
  <c r="M148"/>
  <c r="B148"/>
  <c r="P147"/>
  <c r="O147"/>
  <c r="M147"/>
  <c r="F147"/>
  <c r="E147"/>
  <c r="D147"/>
  <c r="K146"/>
  <c r="J146"/>
  <c r="I146"/>
  <c r="H146"/>
  <c r="G146"/>
  <c r="F146"/>
  <c r="E146"/>
  <c r="D146"/>
  <c r="D253" s="1"/>
  <c r="D254" s="1"/>
  <c r="N145"/>
  <c r="N147" s="1"/>
  <c r="M145"/>
  <c r="N144"/>
  <c r="M144"/>
  <c r="N143"/>
  <c r="M143"/>
  <c r="N142"/>
  <c r="N146" s="1"/>
  <c r="M142"/>
  <c r="M146" s="1"/>
  <c r="N141"/>
  <c r="M141"/>
  <c r="N140"/>
  <c r="M140"/>
  <c r="B140"/>
  <c r="P139"/>
  <c r="O139"/>
  <c r="F139"/>
  <c r="E139"/>
  <c r="D139"/>
  <c r="K138"/>
  <c r="J138"/>
  <c r="I138"/>
  <c r="H138"/>
  <c r="G138"/>
  <c r="F138"/>
  <c r="E138"/>
  <c r="D138"/>
  <c r="N137"/>
  <c r="N139" s="1"/>
  <c r="M137"/>
  <c r="M139" s="1"/>
  <c r="N136"/>
  <c r="M136"/>
  <c r="N135"/>
  <c r="M135"/>
  <c r="N134"/>
  <c r="N138" s="1"/>
  <c r="M134"/>
  <c r="N133"/>
  <c r="M133"/>
  <c r="N132"/>
  <c r="M132"/>
  <c r="M138" s="1"/>
  <c r="B132"/>
  <c r="P131"/>
  <c r="O131"/>
  <c r="E131"/>
  <c r="D131"/>
  <c r="K130"/>
  <c r="J130"/>
  <c r="I130"/>
  <c r="H130"/>
  <c r="G130"/>
  <c r="F130"/>
  <c r="F131" s="1"/>
  <c r="E130"/>
  <c r="D130"/>
  <c r="N129"/>
  <c r="M129"/>
  <c r="M131" s="1"/>
  <c r="N128"/>
  <c r="M128"/>
  <c r="N127"/>
  <c r="M127"/>
  <c r="M126"/>
  <c r="N126" s="1"/>
  <c r="M125"/>
  <c r="N125" s="1"/>
  <c r="M124"/>
  <c r="N124" s="1"/>
  <c r="B124"/>
  <c r="P123"/>
  <c r="O123"/>
  <c r="M123"/>
  <c r="E123"/>
  <c r="D123"/>
  <c r="K122"/>
  <c r="J122"/>
  <c r="I122"/>
  <c r="H122"/>
  <c r="G122"/>
  <c r="F122"/>
  <c r="F123" s="1"/>
  <c r="E122"/>
  <c r="D122"/>
  <c r="N121"/>
  <c r="M121"/>
  <c r="N120"/>
  <c r="M120"/>
  <c r="N119"/>
  <c r="M119"/>
  <c r="N118"/>
  <c r="M118"/>
  <c r="M117"/>
  <c r="N117" s="1"/>
  <c r="N123" s="1"/>
  <c r="N116"/>
  <c r="M116"/>
  <c r="B116"/>
  <c r="P115"/>
  <c r="O115"/>
  <c r="E115"/>
  <c r="D115"/>
  <c r="K114"/>
  <c r="J114"/>
  <c r="I114"/>
  <c r="H114"/>
  <c r="G114"/>
  <c r="F114"/>
  <c r="F115" s="1"/>
  <c r="E114"/>
  <c r="D114"/>
  <c r="N113"/>
  <c r="M113"/>
  <c r="N112"/>
  <c r="M112"/>
  <c r="M111"/>
  <c r="N111" s="1"/>
  <c r="M110"/>
  <c r="N110" s="1"/>
  <c r="M109"/>
  <c r="N109" s="1"/>
  <c r="M108"/>
  <c r="N108" s="1"/>
  <c r="B108"/>
  <c r="P107"/>
  <c r="O107"/>
  <c r="E107"/>
  <c r="D107"/>
  <c r="K106"/>
  <c r="J106"/>
  <c r="I106"/>
  <c r="H106"/>
  <c r="G106"/>
  <c r="F106"/>
  <c r="F107" s="1"/>
  <c r="E106"/>
  <c r="D106"/>
  <c r="N105"/>
  <c r="M105"/>
  <c r="N104"/>
  <c r="M104"/>
  <c r="M103"/>
  <c r="N103" s="1"/>
  <c r="N102"/>
  <c r="M102"/>
  <c r="N101"/>
  <c r="M101"/>
  <c r="N100"/>
  <c r="M100"/>
  <c r="M106" s="1"/>
  <c r="B100"/>
  <c r="P99"/>
  <c r="O99"/>
  <c r="E99"/>
  <c r="D99"/>
  <c r="K98"/>
  <c r="J98"/>
  <c r="I98"/>
  <c r="H98"/>
  <c r="G98"/>
  <c r="F98"/>
  <c r="F99" s="1"/>
  <c r="E98"/>
  <c r="D98"/>
  <c r="N97"/>
  <c r="M97"/>
  <c r="M96"/>
  <c r="N96" s="1"/>
  <c r="M95"/>
  <c r="N95" s="1"/>
  <c r="M94"/>
  <c r="N94" s="1"/>
  <c r="M93"/>
  <c r="N93" s="1"/>
  <c r="N92"/>
  <c r="M92"/>
  <c r="M98" s="1"/>
  <c r="B92"/>
  <c r="P91"/>
  <c r="O91"/>
  <c r="E91"/>
  <c r="D91"/>
  <c r="K90"/>
  <c r="J90"/>
  <c r="I90"/>
  <c r="H90"/>
  <c r="G90"/>
  <c r="F90"/>
  <c r="F91" s="1"/>
  <c r="E90"/>
  <c r="D90"/>
  <c r="N89"/>
  <c r="M89"/>
  <c r="M88"/>
  <c r="N88" s="1"/>
  <c r="M87"/>
  <c r="N87" s="1"/>
  <c r="N86"/>
  <c r="M86"/>
  <c r="N85"/>
  <c r="M85"/>
  <c r="N84"/>
  <c r="M84"/>
  <c r="M90" s="1"/>
  <c r="B84"/>
  <c r="P83"/>
  <c r="O83"/>
  <c r="E83"/>
  <c r="D83"/>
  <c r="K82"/>
  <c r="J82"/>
  <c r="I82"/>
  <c r="H82"/>
  <c r="G82"/>
  <c r="F82"/>
  <c r="F83" s="1"/>
  <c r="E82"/>
  <c r="D82"/>
  <c r="M81"/>
  <c r="N81" s="1"/>
  <c r="M80"/>
  <c r="N80" s="1"/>
  <c r="M79"/>
  <c r="N79" s="1"/>
  <c r="M78"/>
  <c r="N78" s="1"/>
  <c r="N77"/>
  <c r="M77"/>
  <c r="N76"/>
  <c r="N82" s="1"/>
  <c r="M76"/>
  <c r="M83" s="1"/>
  <c r="B76"/>
  <c r="P75"/>
  <c r="O75"/>
  <c r="E75"/>
  <c r="D75"/>
  <c r="K74"/>
  <c r="J74"/>
  <c r="I74"/>
  <c r="H74"/>
  <c r="G74"/>
  <c r="F74"/>
  <c r="F75" s="1"/>
  <c r="E74"/>
  <c r="D74"/>
  <c r="M73"/>
  <c r="N73" s="1"/>
  <c r="M72"/>
  <c r="N72" s="1"/>
  <c r="N71"/>
  <c r="M71"/>
  <c r="N70"/>
  <c r="N74" s="1"/>
  <c r="M70"/>
  <c r="M74" s="1"/>
  <c r="N69"/>
  <c r="M69"/>
  <c r="N68"/>
  <c r="M68"/>
  <c r="M75" s="1"/>
  <c r="B68"/>
  <c r="P67"/>
  <c r="O67"/>
  <c r="E67"/>
  <c r="D67"/>
  <c r="K66"/>
  <c r="J66"/>
  <c r="I66"/>
  <c r="H66"/>
  <c r="G66"/>
  <c r="F67" s="1"/>
  <c r="F66"/>
  <c r="E66"/>
  <c r="D66"/>
  <c r="M65"/>
  <c r="N65" s="1"/>
  <c r="M64"/>
  <c r="N64" s="1"/>
  <c r="M63"/>
  <c r="N63" s="1"/>
  <c r="N62"/>
  <c r="M62"/>
  <c r="M66" s="1"/>
  <c r="N61"/>
  <c r="M61"/>
  <c r="N60"/>
  <c r="N67" s="1"/>
  <c r="M60"/>
  <c r="M67" s="1"/>
  <c r="B60"/>
  <c r="P59"/>
  <c r="O59"/>
  <c r="E59"/>
  <c r="D59"/>
  <c r="K58"/>
  <c r="J58"/>
  <c r="I58"/>
  <c r="H58"/>
  <c r="G58"/>
  <c r="F58"/>
  <c r="F59" s="1"/>
  <c r="E58"/>
  <c r="D58"/>
  <c r="N57"/>
  <c r="M57"/>
  <c r="N56"/>
  <c r="M56"/>
  <c r="N55"/>
  <c r="M55"/>
  <c r="M58" s="1"/>
  <c r="N54"/>
  <c r="N58" s="1"/>
  <c r="M54"/>
  <c r="N53"/>
  <c r="M53"/>
  <c r="N52"/>
  <c r="N59" s="1"/>
  <c r="M52"/>
  <c r="M59" s="1"/>
  <c r="B52"/>
  <c r="P51"/>
  <c r="O51"/>
  <c r="F51"/>
  <c r="E51"/>
  <c r="D51"/>
  <c r="K50"/>
  <c r="J50"/>
  <c r="I50"/>
  <c r="H50"/>
  <c r="G50"/>
  <c r="F50"/>
  <c r="E50"/>
  <c r="D50"/>
  <c r="M49"/>
  <c r="N49" s="1"/>
  <c r="M48"/>
  <c r="N48" s="1"/>
  <c r="N47"/>
  <c r="M47"/>
  <c r="N46"/>
  <c r="M46"/>
  <c r="M50" s="1"/>
  <c r="N45"/>
  <c r="M45"/>
  <c r="M51" s="1"/>
  <c r="N44"/>
  <c r="M44"/>
  <c r="B44"/>
  <c r="P43"/>
  <c r="O43"/>
  <c r="F43"/>
  <c r="E43"/>
  <c r="D43"/>
  <c r="K42"/>
  <c r="J42"/>
  <c r="I42"/>
  <c r="H42"/>
  <c r="G42"/>
  <c r="F42"/>
  <c r="E42"/>
  <c r="D42"/>
  <c r="N41"/>
  <c r="M41"/>
  <c r="N40"/>
  <c r="M40"/>
  <c r="N39"/>
  <c r="M39"/>
  <c r="N38"/>
  <c r="N42" s="1"/>
  <c r="M38"/>
  <c r="M42" s="1"/>
  <c r="N37"/>
  <c r="N43" s="1"/>
  <c r="M37"/>
  <c r="N36"/>
  <c r="M36"/>
  <c r="M43" s="1"/>
  <c r="B36"/>
  <c r="P35"/>
  <c r="O35"/>
  <c r="M35"/>
  <c r="F35"/>
  <c r="E35"/>
  <c r="D35"/>
  <c r="K34"/>
  <c r="J34"/>
  <c r="I34"/>
  <c r="H34"/>
  <c r="G34"/>
  <c r="F34"/>
  <c r="E34"/>
  <c r="D34"/>
  <c r="M33"/>
  <c r="N33" s="1"/>
  <c r="N32"/>
  <c r="M32"/>
  <c r="N31"/>
  <c r="M31"/>
  <c r="N30"/>
  <c r="M30"/>
  <c r="M34" s="1"/>
  <c r="N29"/>
  <c r="M29"/>
  <c r="M28"/>
  <c r="N28" s="1"/>
  <c r="B28"/>
  <c r="P27"/>
  <c r="O27"/>
  <c r="F27"/>
  <c r="E27"/>
  <c r="D27"/>
  <c r="K26"/>
  <c r="J26"/>
  <c r="I26"/>
  <c r="H26"/>
  <c r="G26"/>
  <c r="F26"/>
  <c r="E26"/>
  <c r="D26"/>
  <c r="N25"/>
  <c r="M25"/>
  <c r="M27" s="1"/>
  <c r="N24"/>
  <c r="M24"/>
  <c r="N23"/>
  <c r="M23"/>
  <c r="M26" s="1"/>
  <c r="N22"/>
  <c r="M22"/>
  <c r="M21"/>
  <c r="N21" s="1"/>
  <c r="N20"/>
  <c r="M20"/>
  <c r="B20"/>
  <c r="P19"/>
  <c r="O19"/>
  <c r="F19"/>
  <c r="E19"/>
  <c r="D19"/>
  <c r="K18"/>
  <c r="J18"/>
  <c r="I18"/>
  <c r="H18"/>
  <c r="G18"/>
  <c r="F18"/>
  <c r="E18"/>
  <c r="D18"/>
  <c r="N17"/>
  <c r="M17"/>
  <c r="M19" s="1"/>
  <c r="N16"/>
  <c r="M16"/>
  <c r="N15"/>
  <c r="M15"/>
  <c r="N14"/>
  <c r="M14"/>
  <c r="M13"/>
  <c r="N13" s="1"/>
  <c r="M12"/>
  <c r="N12" s="1"/>
  <c r="B12"/>
  <c r="P11"/>
  <c r="O11"/>
  <c r="M11"/>
  <c r="F11"/>
  <c r="E11"/>
  <c r="D11"/>
  <c r="K10"/>
  <c r="J10"/>
  <c r="I10"/>
  <c r="H10"/>
  <c r="G10"/>
  <c r="F10"/>
  <c r="E10"/>
  <c r="D10"/>
  <c r="N9"/>
  <c r="N11" s="1"/>
  <c r="M9"/>
  <c r="N8"/>
  <c r="M8"/>
  <c r="N7"/>
  <c r="M7"/>
  <c r="N6"/>
  <c r="M6"/>
  <c r="N5"/>
  <c r="M5"/>
  <c r="M10" s="1"/>
  <c r="N4"/>
  <c r="N10" s="1"/>
  <c r="M4"/>
  <c r="B4"/>
  <c r="P251" i="40"/>
  <c r="P253" s="1"/>
  <c r="O251"/>
  <c r="E251"/>
  <c r="D251"/>
  <c r="K250"/>
  <c r="J250"/>
  <c r="I250"/>
  <c r="H250"/>
  <c r="G250"/>
  <c r="G253" s="1"/>
  <c r="F250"/>
  <c r="F253" s="1"/>
  <c r="E250"/>
  <c r="E253" s="1"/>
  <c r="E254" s="1"/>
  <c r="D250"/>
  <c r="M249"/>
  <c r="M251" s="1"/>
  <c r="N248"/>
  <c r="M248"/>
  <c r="N247"/>
  <c r="M247"/>
  <c r="N246"/>
  <c r="M246"/>
  <c r="M250" s="1"/>
  <c r="N245"/>
  <c r="M245"/>
  <c r="N244"/>
  <c r="M244"/>
  <c r="P243"/>
  <c r="O243"/>
  <c r="E243"/>
  <c r="D243"/>
  <c r="K242"/>
  <c r="J242"/>
  <c r="I242"/>
  <c r="H242"/>
  <c r="H253" s="1"/>
  <c r="G242"/>
  <c r="F242"/>
  <c r="F243" s="1"/>
  <c r="E242"/>
  <c r="D242"/>
  <c r="N241"/>
  <c r="M241"/>
  <c r="N240"/>
  <c r="M240"/>
  <c r="M239"/>
  <c r="N239" s="1"/>
  <c r="N238"/>
  <c r="M238"/>
  <c r="M237"/>
  <c r="N237" s="1"/>
  <c r="M236"/>
  <c r="N236" s="1"/>
  <c r="P235"/>
  <c r="O235"/>
  <c r="O253" s="1"/>
  <c r="E235"/>
  <c r="D235"/>
  <c r="K234"/>
  <c r="J234"/>
  <c r="I234"/>
  <c r="I253" s="1"/>
  <c r="H234"/>
  <c r="G234"/>
  <c r="F235" s="1"/>
  <c r="F234"/>
  <c r="E234"/>
  <c r="D234"/>
  <c r="N233"/>
  <c r="M233"/>
  <c r="N232"/>
  <c r="M232"/>
  <c r="N231"/>
  <c r="M231"/>
  <c r="N230"/>
  <c r="M230"/>
  <c r="N229"/>
  <c r="M229"/>
  <c r="N228"/>
  <c r="N234" s="1"/>
  <c r="M228"/>
  <c r="M234" s="1"/>
  <c r="P227"/>
  <c r="O227"/>
  <c r="E227"/>
  <c r="D227"/>
  <c r="K226"/>
  <c r="J226"/>
  <c r="J253" s="1"/>
  <c r="I226"/>
  <c r="H226"/>
  <c r="F227" s="1"/>
  <c r="G226"/>
  <c r="F226"/>
  <c r="E226"/>
  <c r="D226"/>
  <c r="N225"/>
  <c r="M225"/>
  <c r="M224"/>
  <c r="N224" s="1"/>
  <c r="N223"/>
  <c r="M223"/>
  <c r="M222"/>
  <c r="N222" s="1"/>
  <c r="M221"/>
  <c r="N221" s="1"/>
  <c r="N220"/>
  <c r="N226" s="1"/>
  <c r="M220"/>
  <c r="M226" s="1"/>
  <c r="B220"/>
  <c r="P219"/>
  <c r="O219"/>
  <c r="E219"/>
  <c r="D219"/>
  <c r="K218"/>
  <c r="K253" s="1"/>
  <c r="J218"/>
  <c r="I218"/>
  <c r="H218"/>
  <c r="G218"/>
  <c r="F218"/>
  <c r="F219" s="1"/>
  <c r="E218"/>
  <c r="D218"/>
  <c r="N217"/>
  <c r="M217"/>
  <c r="N216"/>
  <c r="M216"/>
  <c r="N215"/>
  <c r="M215"/>
  <c r="N214"/>
  <c r="M214"/>
  <c r="N213"/>
  <c r="M213"/>
  <c r="M219" s="1"/>
  <c r="N212"/>
  <c r="N218" s="1"/>
  <c r="M212"/>
  <c r="M218" s="1"/>
  <c r="B212"/>
  <c r="P211"/>
  <c r="O211"/>
  <c r="E211"/>
  <c r="D211"/>
  <c r="M210"/>
  <c r="K210"/>
  <c r="J210"/>
  <c r="I210"/>
  <c r="H210"/>
  <c r="G210"/>
  <c r="F210"/>
  <c r="F211" s="1"/>
  <c r="E210"/>
  <c r="D210"/>
  <c r="M209"/>
  <c r="N209" s="1"/>
  <c r="N208"/>
  <c r="M208"/>
  <c r="N207"/>
  <c r="M207"/>
  <c r="M206"/>
  <c r="N206" s="1"/>
  <c r="N205"/>
  <c r="M205"/>
  <c r="M211" s="1"/>
  <c r="M204"/>
  <c r="N204" s="1"/>
  <c r="B204"/>
  <c r="P203"/>
  <c r="O203"/>
  <c r="E203"/>
  <c r="D203"/>
  <c r="K202"/>
  <c r="J202"/>
  <c r="I202"/>
  <c r="H202"/>
  <c r="G202"/>
  <c r="F202"/>
  <c r="F203" s="1"/>
  <c r="E202"/>
  <c r="D202"/>
  <c r="N201"/>
  <c r="M201"/>
  <c r="N200"/>
  <c r="M200"/>
  <c r="N199"/>
  <c r="M199"/>
  <c r="N198"/>
  <c r="M198"/>
  <c r="M202" s="1"/>
  <c r="N197"/>
  <c r="M197"/>
  <c r="M196"/>
  <c r="M203" s="1"/>
  <c r="B196"/>
  <c r="P195"/>
  <c r="O195"/>
  <c r="E195"/>
  <c r="D195"/>
  <c r="K194"/>
  <c r="J194"/>
  <c r="I194"/>
  <c r="H194"/>
  <c r="G194"/>
  <c r="F194"/>
  <c r="F195" s="1"/>
  <c r="E194"/>
  <c r="D194"/>
  <c r="N193"/>
  <c r="M193"/>
  <c r="N192"/>
  <c r="M192"/>
  <c r="M191"/>
  <c r="N191" s="1"/>
  <c r="N190"/>
  <c r="M190"/>
  <c r="M194" s="1"/>
  <c r="M189"/>
  <c r="N189" s="1"/>
  <c r="N194" s="1"/>
  <c r="N188"/>
  <c r="M188"/>
  <c r="M195" s="1"/>
  <c r="B188"/>
  <c r="P187"/>
  <c r="O187"/>
  <c r="E187"/>
  <c r="D187"/>
  <c r="K186"/>
  <c r="J186"/>
  <c r="I186"/>
  <c r="H186"/>
  <c r="G186"/>
  <c r="F186"/>
  <c r="F187" s="1"/>
  <c r="E186"/>
  <c r="D186"/>
  <c r="N185"/>
  <c r="M185"/>
  <c r="N184"/>
  <c r="M184"/>
  <c r="N183"/>
  <c r="M183"/>
  <c r="N182"/>
  <c r="M182"/>
  <c r="M181"/>
  <c r="N181" s="1"/>
  <c r="N186" s="1"/>
  <c r="N180"/>
  <c r="N187" s="1"/>
  <c r="M180"/>
  <c r="M187" s="1"/>
  <c r="B180"/>
  <c r="P179"/>
  <c r="O179"/>
  <c r="F179"/>
  <c r="E179"/>
  <c r="D179"/>
  <c r="K178"/>
  <c r="J178"/>
  <c r="I178"/>
  <c r="H178"/>
  <c r="G178"/>
  <c r="F178"/>
  <c r="E178"/>
  <c r="D178"/>
  <c r="N177"/>
  <c r="M177"/>
  <c r="M176"/>
  <c r="N176" s="1"/>
  <c r="N175"/>
  <c r="M175"/>
  <c r="M174"/>
  <c r="N174" s="1"/>
  <c r="N173"/>
  <c r="M173"/>
  <c r="N172"/>
  <c r="N179" s="1"/>
  <c r="M172"/>
  <c r="M179" s="1"/>
  <c r="B172"/>
  <c r="P171"/>
  <c r="O171"/>
  <c r="F171"/>
  <c r="E171"/>
  <c r="D171"/>
  <c r="K170"/>
  <c r="J170"/>
  <c r="I170"/>
  <c r="H170"/>
  <c r="G170"/>
  <c r="F170"/>
  <c r="E170"/>
  <c r="D170"/>
  <c r="N169"/>
  <c r="M169"/>
  <c r="N168"/>
  <c r="M168"/>
  <c r="N167"/>
  <c r="M167"/>
  <c r="M166"/>
  <c r="M170" s="1"/>
  <c r="N165"/>
  <c r="M165"/>
  <c r="N164"/>
  <c r="M164"/>
  <c r="M171" s="1"/>
  <c r="B164"/>
  <c r="P163"/>
  <c r="O163"/>
  <c r="M163"/>
  <c r="F163"/>
  <c r="E163"/>
  <c r="D163"/>
  <c r="K162"/>
  <c r="J162"/>
  <c r="I162"/>
  <c r="H162"/>
  <c r="G162"/>
  <c r="F162"/>
  <c r="E162"/>
  <c r="D162"/>
  <c r="M161"/>
  <c r="N161" s="1"/>
  <c r="N160"/>
  <c r="M160"/>
  <c r="M159"/>
  <c r="N159" s="1"/>
  <c r="N158"/>
  <c r="M158"/>
  <c r="M162" s="1"/>
  <c r="N157"/>
  <c r="M157"/>
  <c r="M156"/>
  <c r="N156" s="1"/>
  <c r="B156"/>
  <c r="P155"/>
  <c r="O155"/>
  <c r="M155"/>
  <c r="E155"/>
  <c r="D155"/>
  <c r="K154"/>
  <c r="J154"/>
  <c r="I154"/>
  <c r="H154"/>
  <c r="F155" s="1"/>
  <c r="G154"/>
  <c r="F154"/>
  <c r="E154"/>
  <c r="D154"/>
  <c r="N153"/>
  <c r="M153"/>
  <c r="N152"/>
  <c r="M152"/>
  <c r="M151"/>
  <c r="N151" s="1"/>
  <c r="N155" s="1"/>
  <c r="N150"/>
  <c r="M150"/>
  <c r="M154" s="1"/>
  <c r="N149"/>
  <c r="M149"/>
  <c r="N148"/>
  <c r="M148"/>
  <c r="B148"/>
  <c r="P147"/>
  <c r="O147"/>
  <c r="E147"/>
  <c r="D147"/>
  <c r="K146"/>
  <c r="J146"/>
  <c r="I146"/>
  <c r="F147" s="1"/>
  <c r="H146"/>
  <c r="G146"/>
  <c r="F146"/>
  <c r="E146"/>
  <c r="D146"/>
  <c r="D253" s="1"/>
  <c r="D254" s="1"/>
  <c r="N145"/>
  <c r="M145"/>
  <c r="M147" s="1"/>
  <c r="M144"/>
  <c r="N144" s="1"/>
  <c r="N143"/>
  <c r="M143"/>
  <c r="N142"/>
  <c r="M142"/>
  <c r="M141"/>
  <c r="N141" s="1"/>
  <c r="N140"/>
  <c r="M140"/>
  <c r="B140"/>
  <c r="P139"/>
  <c r="O139"/>
  <c r="F139"/>
  <c r="E139"/>
  <c r="D139"/>
  <c r="K138"/>
  <c r="J138"/>
  <c r="I138"/>
  <c r="H138"/>
  <c r="G138"/>
  <c r="F138"/>
  <c r="E138"/>
  <c r="D138"/>
  <c r="N137"/>
  <c r="M137"/>
  <c r="M136"/>
  <c r="N136" s="1"/>
  <c r="N139" s="1"/>
  <c r="N135"/>
  <c r="M135"/>
  <c r="N134"/>
  <c r="M134"/>
  <c r="N133"/>
  <c r="N138" s="1"/>
  <c r="M133"/>
  <c r="M138" s="1"/>
  <c r="N132"/>
  <c r="M132"/>
  <c r="B132"/>
  <c r="P131"/>
  <c r="O131"/>
  <c r="E131"/>
  <c r="D131"/>
  <c r="K130"/>
  <c r="J130"/>
  <c r="I130"/>
  <c r="H130"/>
  <c r="G130"/>
  <c r="F130"/>
  <c r="F131" s="1"/>
  <c r="E130"/>
  <c r="D130"/>
  <c r="M129"/>
  <c r="N129" s="1"/>
  <c r="N128"/>
  <c r="M128"/>
  <c r="N127"/>
  <c r="M127"/>
  <c r="M126"/>
  <c r="M130" s="1"/>
  <c r="N125"/>
  <c r="M125"/>
  <c r="N124"/>
  <c r="M124"/>
  <c r="B124"/>
  <c r="P123"/>
  <c r="O123"/>
  <c r="M123"/>
  <c r="E123"/>
  <c r="D123"/>
  <c r="K122"/>
  <c r="J122"/>
  <c r="I122"/>
  <c r="H122"/>
  <c r="G122"/>
  <c r="F122"/>
  <c r="F123" s="1"/>
  <c r="E122"/>
  <c r="D122"/>
  <c r="M121"/>
  <c r="N121" s="1"/>
  <c r="N120"/>
  <c r="M120"/>
  <c r="N119"/>
  <c r="M119"/>
  <c r="N118"/>
  <c r="N123" s="1"/>
  <c r="M118"/>
  <c r="M122" s="1"/>
  <c r="N117"/>
  <c r="M117"/>
  <c r="N116"/>
  <c r="M116"/>
  <c r="B116"/>
  <c r="P115"/>
  <c r="O115"/>
  <c r="E115"/>
  <c r="D115"/>
  <c r="K114"/>
  <c r="J114"/>
  <c r="I114"/>
  <c r="H114"/>
  <c r="G114"/>
  <c r="F114"/>
  <c r="F115" s="1"/>
  <c r="E114"/>
  <c r="D114"/>
  <c r="N113"/>
  <c r="M113"/>
  <c r="N112"/>
  <c r="M112"/>
  <c r="M111"/>
  <c r="N111" s="1"/>
  <c r="N110"/>
  <c r="M110"/>
  <c r="N109"/>
  <c r="M109"/>
  <c r="M108"/>
  <c r="N108" s="1"/>
  <c r="B108"/>
  <c r="P107"/>
  <c r="O107"/>
  <c r="E107"/>
  <c r="D107"/>
  <c r="K106"/>
  <c r="J106"/>
  <c r="I106"/>
  <c r="H106"/>
  <c r="G106"/>
  <c r="F107" s="1"/>
  <c r="F106"/>
  <c r="E106"/>
  <c r="D106"/>
  <c r="N105"/>
  <c r="M105"/>
  <c r="N104"/>
  <c r="M104"/>
  <c r="N103"/>
  <c r="M103"/>
  <c r="N102"/>
  <c r="M102"/>
  <c r="M101"/>
  <c r="N101" s="1"/>
  <c r="N100"/>
  <c r="M100"/>
  <c r="M106" s="1"/>
  <c r="B100"/>
  <c r="P99"/>
  <c r="O99"/>
  <c r="E99"/>
  <c r="D99"/>
  <c r="K98"/>
  <c r="J98"/>
  <c r="I98"/>
  <c r="H98"/>
  <c r="F99" s="1"/>
  <c r="G98"/>
  <c r="F98"/>
  <c r="E98"/>
  <c r="D98"/>
  <c r="N97"/>
  <c r="M97"/>
  <c r="M96"/>
  <c r="N96" s="1"/>
  <c r="N95"/>
  <c r="M95"/>
  <c r="N94"/>
  <c r="M94"/>
  <c r="M93"/>
  <c r="N93" s="1"/>
  <c r="N92"/>
  <c r="M92"/>
  <c r="M98" s="1"/>
  <c r="B92"/>
  <c r="P91"/>
  <c r="O91"/>
  <c r="E91"/>
  <c r="D91"/>
  <c r="K90"/>
  <c r="J90"/>
  <c r="I90"/>
  <c r="H90"/>
  <c r="G90"/>
  <c r="F90"/>
  <c r="F91" s="1"/>
  <c r="E90"/>
  <c r="D90"/>
  <c r="N89"/>
  <c r="M89"/>
  <c r="N88"/>
  <c r="M88"/>
  <c r="N87"/>
  <c r="M87"/>
  <c r="M86"/>
  <c r="N86" s="1"/>
  <c r="N85"/>
  <c r="M85"/>
  <c r="M91" s="1"/>
  <c r="N84"/>
  <c r="M84"/>
  <c r="M90" s="1"/>
  <c r="B84"/>
  <c r="P83"/>
  <c r="O83"/>
  <c r="E83"/>
  <c r="D83"/>
  <c r="M82"/>
  <c r="K82"/>
  <c r="J82"/>
  <c r="I82"/>
  <c r="H82"/>
  <c r="G82"/>
  <c r="F82"/>
  <c r="F83" s="1"/>
  <c r="E82"/>
  <c r="D82"/>
  <c r="M81"/>
  <c r="N81" s="1"/>
  <c r="N80"/>
  <c r="M80"/>
  <c r="N79"/>
  <c r="M79"/>
  <c r="M78"/>
  <c r="N78" s="1"/>
  <c r="N77"/>
  <c r="M77"/>
  <c r="M83" s="1"/>
  <c r="M76"/>
  <c r="N76" s="1"/>
  <c r="B76"/>
  <c r="P75"/>
  <c r="O75"/>
  <c r="E75"/>
  <c r="D75"/>
  <c r="K74"/>
  <c r="J74"/>
  <c r="I74"/>
  <c r="H74"/>
  <c r="G74"/>
  <c r="F74"/>
  <c r="F75" s="1"/>
  <c r="E74"/>
  <c r="D74"/>
  <c r="N73"/>
  <c r="M73"/>
  <c r="N72"/>
  <c r="M72"/>
  <c r="N71"/>
  <c r="M71"/>
  <c r="N70"/>
  <c r="M70"/>
  <c r="M74" s="1"/>
  <c r="N69"/>
  <c r="M69"/>
  <c r="M68"/>
  <c r="M75" s="1"/>
  <c r="B68"/>
  <c r="P67"/>
  <c r="O67"/>
  <c r="E67"/>
  <c r="D67"/>
  <c r="K66"/>
  <c r="J66"/>
  <c r="I66"/>
  <c r="H66"/>
  <c r="G66"/>
  <c r="F66"/>
  <c r="F67" s="1"/>
  <c r="E66"/>
  <c r="D66"/>
  <c r="N65"/>
  <c r="M65"/>
  <c r="M64"/>
  <c r="N64" s="1"/>
  <c r="M63"/>
  <c r="N63" s="1"/>
  <c r="N62"/>
  <c r="M62"/>
  <c r="M66" s="1"/>
  <c r="M61"/>
  <c r="N61" s="1"/>
  <c r="N60"/>
  <c r="N67" s="1"/>
  <c r="M60"/>
  <c r="M67" s="1"/>
  <c r="B60"/>
  <c r="P59"/>
  <c r="O59"/>
  <c r="E59"/>
  <c r="D59"/>
  <c r="K58"/>
  <c r="J58"/>
  <c r="I58"/>
  <c r="H58"/>
  <c r="G58"/>
  <c r="F58"/>
  <c r="F59" s="1"/>
  <c r="E58"/>
  <c r="D58"/>
  <c r="N57"/>
  <c r="M57"/>
  <c r="N56"/>
  <c r="M56"/>
  <c r="N55"/>
  <c r="M55"/>
  <c r="N54"/>
  <c r="M54"/>
  <c r="M53"/>
  <c r="N53" s="1"/>
  <c r="N58" s="1"/>
  <c r="N52"/>
  <c r="M52"/>
  <c r="M59" s="1"/>
  <c r="B52"/>
  <c r="P51"/>
  <c r="O51"/>
  <c r="F51"/>
  <c r="E51"/>
  <c r="D51"/>
  <c r="K50"/>
  <c r="J50"/>
  <c r="I50"/>
  <c r="H50"/>
  <c r="G50"/>
  <c r="F50"/>
  <c r="E50"/>
  <c r="D50"/>
  <c r="M49"/>
  <c r="N49" s="1"/>
  <c r="M48"/>
  <c r="N48" s="1"/>
  <c r="N47"/>
  <c r="M47"/>
  <c r="M46"/>
  <c r="N46" s="1"/>
  <c r="N45"/>
  <c r="M45"/>
  <c r="N44"/>
  <c r="N51" s="1"/>
  <c r="M44"/>
  <c r="M51" s="1"/>
  <c r="B44"/>
  <c r="P43"/>
  <c r="O43"/>
  <c r="F43"/>
  <c r="E43"/>
  <c r="D43"/>
  <c r="K42"/>
  <c r="J42"/>
  <c r="I42"/>
  <c r="H42"/>
  <c r="G42"/>
  <c r="F42"/>
  <c r="E42"/>
  <c r="D42"/>
  <c r="N41"/>
  <c r="M41"/>
  <c r="N40"/>
  <c r="M40"/>
  <c r="N39"/>
  <c r="M39"/>
  <c r="M38"/>
  <c r="M42" s="1"/>
  <c r="N37"/>
  <c r="M37"/>
  <c r="N36"/>
  <c r="M36"/>
  <c r="M43" s="1"/>
  <c r="B36"/>
  <c r="P35"/>
  <c r="O35"/>
  <c r="M35"/>
  <c r="F35"/>
  <c r="E35"/>
  <c r="D35"/>
  <c r="K34"/>
  <c r="J34"/>
  <c r="I34"/>
  <c r="H34"/>
  <c r="G34"/>
  <c r="F34"/>
  <c r="E34"/>
  <c r="D34"/>
  <c r="M33"/>
  <c r="N33" s="1"/>
  <c r="N32"/>
  <c r="M32"/>
  <c r="M31"/>
  <c r="N31" s="1"/>
  <c r="N30"/>
  <c r="M30"/>
  <c r="M34" s="1"/>
  <c r="N29"/>
  <c r="M29"/>
  <c r="M28"/>
  <c r="N28" s="1"/>
  <c r="B28"/>
  <c r="P27"/>
  <c r="O27"/>
  <c r="E27"/>
  <c r="D27"/>
  <c r="K26"/>
  <c r="J26"/>
  <c r="I26"/>
  <c r="H26"/>
  <c r="F27" s="1"/>
  <c r="G26"/>
  <c r="F26"/>
  <c r="E26"/>
  <c r="D26"/>
  <c r="N25"/>
  <c r="M25"/>
  <c r="M27" s="1"/>
  <c r="N24"/>
  <c r="M24"/>
  <c r="M23"/>
  <c r="N23" s="1"/>
  <c r="N22"/>
  <c r="M22"/>
  <c r="M26" s="1"/>
  <c r="N21"/>
  <c r="M21"/>
  <c r="N20"/>
  <c r="M20"/>
  <c r="B20"/>
  <c r="P19"/>
  <c r="O19"/>
  <c r="M19"/>
  <c r="E19"/>
  <c r="D19"/>
  <c r="K18"/>
  <c r="J18"/>
  <c r="I18"/>
  <c r="F19" s="1"/>
  <c r="H18"/>
  <c r="G18"/>
  <c r="F18"/>
  <c r="E18"/>
  <c r="D18"/>
  <c r="N17"/>
  <c r="M17"/>
  <c r="M16"/>
  <c r="N16" s="1"/>
  <c r="N15"/>
  <c r="M15"/>
  <c r="N14"/>
  <c r="M14"/>
  <c r="M13"/>
  <c r="N13" s="1"/>
  <c r="N12"/>
  <c r="M12"/>
  <c r="B12"/>
  <c r="P11"/>
  <c r="O11"/>
  <c r="F11"/>
  <c r="E11"/>
  <c r="D11"/>
  <c r="K10"/>
  <c r="J10"/>
  <c r="I10"/>
  <c r="H10"/>
  <c r="G10"/>
  <c r="F10"/>
  <c r="E10"/>
  <c r="D10"/>
  <c r="N9"/>
  <c r="M9"/>
  <c r="M8"/>
  <c r="N8" s="1"/>
  <c r="N11" s="1"/>
  <c r="N7"/>
  <c r="M7"/>
  <c r="N6"/>
  <c r="N10" s="1"/>
  <c r="M6"/>
  <c r="M10" s="1"/>
  <c r="N5"/>
  <c r="M5"/>
  <c r="N4"/>
  <c r="M4"/>
  <c r="B4"/>
  <c r="P251" i="39"/>
  <c r="P253" s="1"/>
  <c r="O251"/>
  <c r="E251"/>
  <c r="D251"/>
  <c r="K250"/>
  <c r="J250"/>
  <c r="J253" s="1"/>
  <c r="I250"/>
  <c r="I253" s="1"/>
  <c r="H250"/>
  <c r="G250"/>
  <c r="G253" s="1"/>
  <c r="F250"/>
  <c r="F253" s="1"/>
  <c r="E250"/>
  <c r="E253" s="1"/>
  <c r="E254" s="1"/>
  <c r="D250"/>
  <c r="M249"/>
  <c r="M251" s="1"/>
  <c r="N248"/>
  <c r="M248"/>
  <c r="N247"/>
  <c r="M247"/>
  <c r="N246"/>
  <c r="M246"/>
  <c r="M245"/>
  <c r="N245" s="1"/>
  <c r="N244"/>
  <c r="M244"/>
  <c r="P243"/>
  <c r="O243"/>
  <c r="E243"/>
  <c r="D243"/>
  <c r="K242"/>
  <c r="J242"/>
  <c r="I242"/>
  <c r="H242"/>
  <c r="H253" s="1"/>
  <c r="G242"/>
  <c r="F243" s="1"/>
  <c r="F242"/>
  <c r="E242"/>
  <c r="D242"/>
  <c r="N241"/>
  <c r="M241"/>
  <c r="N240"/>
  <c r="M240"/>
  <c r="N239"/>
  <c r="M239"/>
  <c r="N238"/>
  <c r="M238"/>
  <c r="M237"/>
  <c r="N237" s="1"/>
  <c r="M236"/>
  <c r="N236" s="1"/>
  <c r="P235"/>
  <c r="O235"/>
  <c r="O253" s="1"/>
  <c r="E235"/>
  <c r="D235"/>
  <c r="K234"/>
  <c r="J234"/>
  <c r="I234"/>
  <c r="H234"/>
  <c r="G234"/>
  <c r="F235" s="1"/>
  <c r="F234"/>
  <c r="E234"/>
  <c r="D234"/>
  <c r="N233"/>
  <c r="M233"/>
  <c r="N232"/>
  <c r="M232"/>
  <c r="N231"/>
  <c r="M231"/>
  <c r="M230"/>
  <c r="N230" s="1"/>
  <c r="N229"/>
  <c r="M229"/>
  <c r="N228"/>
  <c r="M228"/>
  <c r="M234" s="1"/>
  <c r="P227"/>
  <c r="O227"/>
  <c r="E227"/>
  <c r="D227"/>
  <c r="K226"/>
  <c r="J226"/>
  <c r="I226"/>
  <c r="H226"/>
  <c r="G226"/>
  <c r="F226"/>
  <c r="F227" s="1"/>
  <c r="E226"/>
  <c r="D226"/>
  <c r="N225"/>
  <c r="M225"/>
  <c r="N224"/>
  <c r="M224"/>
  <c r="N223"/>
  <c r="M223"/>
  <c r="M222"/>
  <c r="N222" s="1"/>
  <c r="M221"/>
  <c r="N221" s="1"/>
  <c r="N220"/>
  <c r="N226" s="1"/>
  <c r="M220"/>
  <c r="M226" s="1"/>
  <c r="B220"/>
  <c r="P219"/>
  <c r="O219"/>
  <c r="E219"/>
  <c r="D219"/>
  <c r="K218"/>
  <c r="K253" s="1"/>
  <c r="J218"/>
  <c r="I218"/>
  <c r="H218"/>
  <c r="G218"/>
  <c r="F218"/>
  <c r="F219" s="1"/>
  <c r="E218"/>
  <c r="D218"/>
  <c r="N217"/>
  <c r="M217"/>
  <c r="N216"/>
  <c r="M216"/>
  <c r="M215"/>
  <c r="N215" s="1"/>
  <c r="N214"/>
  <c r="M214"/>
  <c r="N213"/>
  <c r="N219" s="1"/>
  <c r="M213"/>
  <c r="M219" s="1"/>
  <c r="N212"/>
  <c r="N218" s="1"/>
  <c r="M212"/>
  <c r="M218" s="1"/>
  <c r="B212"/>
  <c r="P211"/>
  <c r="O211"/>
  <c r="E211"/>
  <c r="D211"/>
  <c r="K210"/>
  <c r="J210"/>
  <c r="I210"/>
  <c r="H210"/>
  <c r="G210"/>
  <c r="F210"/>
  <c r="F211" s="1"/>
  <c r="E210"/>
  <c r="D210"/>
  <c r="N209"/>
  <c r="M209"/>
  <c r="N208"/>
  <c r="M208"/>
  <c r="M207"/>
  <c r="N207" s="1"/>
  <c r="M206"/>
  <c r="N206" s="1"/>
  <c r="N205"/>
  <c r="M205"/>
  <c r="N204"/>
  <c r="N210" s="1"/>
  <c r="M204"/>
  <c r="M211" s="1"/>
  <c r="B204"/>
  <c r="P203"/>
  <c r="O203"/>
  <c r="E203"/>
  <c r="D203"/>
  <c r="K202"/>
  <c r="J202"/>
  <c r="I202"/>
  <c r="H202"/>
  <c r="G202"/>
  <c r="F202"/>
  <c r="F203" s="1"/>
  <c r="E202"/>
  <c r="D202"/>
  <c r="N201"/>
  <c r="M201"/>
  <c r="M200"/>
  <c r="N200" s="1"/>
  <c r="N199"/>
  <c r="M199"/>
  <c r="N198"/>
  <c r="M198"/>
  <c r="N197"/>
  <c r="M197"/>
  <c r="M196"/>
  <c r="M203" s="1"/>
  <c r="B196"/>
  <c r="P195"/>
  <c r="O195"/>
  <c r="E195"/>
  <c r="D195"/>
  <c r="K194"/>
  <c r="J194"/>
  <c r="I194"/>
  <c r="H194"/>
  <c r="G194"/>
  <c r="F194"/>
  <c r="F195" s="1"/>
  <c r="E194"/>
  <c r="D194"/>
  <c r="M193"/>
  <c r="N193" s="1"/>
  <c r="M192"/>
  <c r="N192" s="1"/>
  <c r="M191"/>
  <c r="N191" s="1"/>
  <c r="N190"/>
  <c r="M190"/>
  <c r="N189"/>
  <c r="M189"/>
  <c r="N188"/>
  <c r="N195" s="1"/>
  <c r="M188"/>
  <c r="M195" s="1"/>
  <c r="B188"/>
  <c r="P187"/>
  <c r="O187"/>
  <c r="E187"/>
  <c r="D187"/>
  <c r="K186"/>
  <c r="J186"/>
  <c r="I186"/>
  <c r="H186"/>
  <c r="G186"/>
  <c r="F186"/>
  <c r="F187" s="1"/>
  <c r="E186"/>
  <c r="D186"/>
  <c r="M185"/>
  <c r="N185" s="1"/>
  <c r="N184"/>
  <c r="M184"/>
  <c r="N183"/>
  <c r="M183"/>
  <c r="N182"/>
  <c r="M182"/>
  <c r="M181"/>
  <c r="N181" s="1"/>
  <c r="N180"/>
  <c r="M180"/>
  <c r="M187" s="1"/>
  <c r="B180"/>
  <c r="P179"/>
  <c r="O179"/>
  <c r="F179"/>
  <c r="E179"/>
  <c r="D179"/>
  <c r="K178"/>
  <c r="J178"/>
  <c r="I178"/>
  <c r="H178"/>
  <c r="G178"/>
  <c r="F178"/>
  <c r="E178"/>
  <c r="D178"/>
  <c r="M177"/>
  <c r="N177" s="1"/>
  <c r="M176"/>
  <c r="N176" s="1"/>
  <c r="N175"/>
  <c r="M175"/>
  <c r="N174"/>
  <c r="M174"/>
  <c r="N173"/>
  <c r="M173"/>
  <c r="N172"/>
  <c r="N179" s="1"/>
  <c r="M172"/>
  <c r="M179" s="1"/>
  <c r="B172"/>
  <c r="P171"/>
  <c r="O171"/>
  <c r="E171"/>
  <c r="D171"/>
  <c r="K170"/>
  <c r="F171" s="1"/>
  <c r="J170"/>
  <c r="I170"/>
  <c r="H170"/>
  <c r="G170"/>
  <c r="F170"/>
  <c r="E170"/>
  <c r="D170"/>
  <c r="N169"/>
  <c r="M169"/>
  <c r="N168"/>
  <c r="M168"/>
  <c r="N167"/>
  <c r="M167"/>
  <c r="M166"/>
  <c r="M170" s="1"/>
  <c r="N165"/>
  <c r="M165"/>
  <c r="N164"/>
  <c r="M164"/>
  <c r="M171" s="1"/>
  <c r="B164"/>
  <c r="P163"/>
  <c r="O163"/>
  <c r="E163"/>
  <c r="D163"/>
  <c r="K162"/>
  <c r="J162"/>
  <c r="F163" s="1"/>
  <c r="I162"/>
  <c r="H162"/>
  <c r="G162"/>
  <c r="F162"/>
  <c r="E162"/>
  <c r="D162"/>
  <c r="M161"/>
  <c r="N161" s="1"/>
  <c r="N160"/>
  <c r="M160"/>
  <c r="N159"/>
  <c r="M159"/>
  <c r="N158"/>
  <c r="M158"/>
  <c r="M162" s="1"/>
  <c r="N157"/>
  <c r="M157"/>
  <c r="N156"/>
  <c r="N163" s="1"/>
  <c r="M156"/>
  <c r="B156"/>
  <c r="P155"/>
  <c r="O155"/>
  <c r="E155"/>
  <c r="D155"/>
  <c r="K154"/>
  <c r="J154"/>
  <c r="I154"/>
  <c r="H154"/>
  <c r="G154"/>
  <c r="F154"/>
  <c r="F155" s="1"/>
  <c r="E154"/>
  <c r="D154"/>
  <c r="N153"/>
  <c r="M153"/>
  <c r="N152"/>
  <c r="M152"/>
  <c r="M151"/>
  <c r="N151" s="1"/>
  <c r="N155" s="1"/>
  <c r="N150"/>
  <c r="M150"/>
  <c r="M154" s="1"/>
  <c r="N149"/>
  <c r="M149"/>
  <c r="N148"/>
  <c r="M148"/>
  <c r="B148"/>
  <c r="P147"/>
  <c r="O147"/>
  <c r="E147"/>
  <c r="D147"/>
  <c r="K146"/>
  <c r="J146"/>
  <c r="I146"/>
  <c r="H146"/>
  <c r="G146"/>
  <c r="F146"/>
  <c r="F147" s="1"/>
  <c r="E146"/>
  <c r="D146"/>
  <c r="N145"/>
  <c r="M145"/>
  <c r="N144"/>
  <c r="M144"/>
  <c r="N143"/>
  <c r="N147" s="1"/>
  <c r="M143"/>
  <c r="M146" s="1"/>
  <c r="N142"/>
  <c r="N146" s="1"/>
  <c r="M142"/>
  <c r="M147" s="1"/>
  <c r="N141"/>
  <c r="M141"/>
  <c r="N140"/>
  <c r="M140"/>
  <c r="B140"/>
  <c r="P139"/>
  <c r="O139"/>
  <c r="F139"/>
  <c r="E139"/>
  <c r="D139"/>
  <c r="K138"/>
  <c r="J138"/>
  <c r="I138"/>
  <c r="H138"/>
  <c r="G138"/>
  <c r="F138"/>
  <c r="E138"/>
  <c r="D138"/>
  <c r="N137"/>
  <c r="M137"/>
  <c r="M136"/>
  <c r="N136" s="1"/>
  <c r="N135"/>
  <c r="M135"/>
  <c r="N134"/>
  <c r="M134"/>
  <c r="M138" s="1"/>
  <c r="N133"/>
  <c r="M133"/>
  <c r="M132"/>
  <c r="N132" s="1"/>
  <c r="B132"/>
  <c r="P131"/>
  <c r="O131"/>
  <c r="E131"/>
  <c r="D131"/>
  <c r="K130"/>
  <c r="J130"/>
  <c r="I130"/>
  <c r="H130"/>
  <c r="G130"/>
  <c r="F130"/>
  <c r="F131" s="1"/>
  <c r="E130"/>
  <c r="D130"/>
  <c r="N129"/>
  <c r="M129"/>
  <c r="N128"/>
  <c r="M128"/>
  <c r="N127"/>
  <c r="M127"/>
  <c r="N126"/>
  <c r="M126"/>
  <c r="M125"/>
  <c r="N125" s="1"/>
  <c r="N130" s="1"/>
  <c r="N124"/>
  <c r="M124"/>
  <c r="M130" s="1"/>
  <c r="B124"/>
  <c r="P123"/>
  <c r="O123"/>
  <c r="M123"/>
  <c r="E123"/>
  <c r="D123"/>
  <c r="K122"/>
  <c r="J122"/>
  <c r="I122"/>
  <c r="H122"/>
  <c r="G122"/>
  <c r="F122"/>
  <c r="F123" s="1"/>
  <c r="E122"/>
  <c r="D122"/>
  <c r="M121"/>
  <c r="N121" s="1"/>
  <c r="N120"/>
  <c r="M120"/>
  <c r="N119"/>
  <c r="M119"/>
  <c r="N118"/>
  <c r="M118"/>
  <c r="M117"/>
  <c r="N117" s="1"/>
  <c r="N116"/>
  <c r="M116"/>
  <c r="B116"/>
  <c r="P115"/>
  <c r="O115"/>
  <c r="E115"/>
  <c r="D115"/>
  <c r="K114"/>
  <c r="J114"/>
  <c r="I114"/>
  <c r="H114"/>
  <c r="G114"/>
  <c r="F115" s="1"/>
  <c r="F114"/>
  <c r="E114"/>
  <c r="D114"/>
  <c r="N113"/>
  <c r="M113"/>
  <c r="N112"/>
  <c r="M112"/>
  <c r="N111"/>
  <c r="M111"/>
  <c r="M110"/>
  <c r="N110" s="1"/>
  <c r="M109"/>
  <c r="N109" s="1"/>
  <c r="M108"/>
  <c r="N108" s="1"/>
  <c r="B108"/>
  <c r="P107"/>
  <c r="O107"/>
  <c r="E107"/>
  <c r="D107"/>
  <c r="K106"/>
  <c r="J106"/>
  <c r="I106"/>
  <c r="H106"/>
  <c r="G106"/>
  <c r="F107" s="1"/>
  <c r="F106"/>
  <c r="E106"/>
  <c r="D106"/>
  <c r="N105"/>
  <c r="M105"/>
  <c r="N104"/>
  <c r="M104"/>
  <c r="N103"/>
  <c r="M103"/>
  <c r="M102"/>
  <c r="N102" s="1"/>
  <c r="N101"/>
  <c r="M101"/>
  <c r="N100"/>
  <c r="N106" s="1"/>
  <c r="M100"/>
  <c r="M107" s="1"/>
  <c r="B100"/>
  <c r="P99"/>
  <c r="O99"/>
  <c r="E99"/>
  <c r="D99"/>
  <c r="K98"/>
  <c r="J98"/>
  <c r="I98"/>
  <c r="H98"/>
  <c r="G98"/>
  <c r="F98"/>
  <c r="F99" s="1"/>
  <c r="E98"/>
  <c r="D98"/>
  <c r="N97"/>
  <c r="M97"/>
  <c r="N96"/>
  <c r="M96"/>
  <c r="M95"/>
  <c r="N95" s="1"/>
  <c r="M94"/>
  <c r="N94" s="1"/>
  <c r="M93"/>
  <c r="N93" s="1"/>
  <c r="N92"/>
  <c r="M92"/>
  <c r="M98" s="1"/>
  <c r="B92"/>
  <c r="P91"/>
  <c r="O91"/>
  <c r="E91"/>
  <c r="D91"/>
  <c r="K90"/>
  <c r="J90"/>
  <c r="I90"/>
  <c r="H90"/>
  <c r="G90"/>
  <c r="F90"/>
  <c r="F91" s="1"/>
  <c r="E90"/>
  <c r="D90"/>
  <c r="N89"/>
  <c r="M89"/>
  <c r="N88"/>
  <c r="M88"/>
  <c r="M87"/>
  <c r="N87" s="1"/>
  <c r="N86"/>
  <c r="M86"/>
  <c r="N85"/>
  <c r="M85"/>
  <c r="M91" s="1"/>
  <c r="N84"/>
  <c r="N90" s="1"/>
  <c r="M84"/>
  <c r="M90" s="1"/>
  <c r="B84"/>
  <c r="P83"/>
  <c r="O83"/>
  <c r="E83"/>
  <c r="D83"/>
  <c r="K82"/>
  <c r="J82"/>
  <c r="I82"/>
  <c r="H82"/>
  <c r="G82"/>
  <c r="F82"/>
  <c r="F83" s="1"/>
  <c r="E82"/>
  <c r="D82"/>
  <c r="N81"/>
  <c r="M81"/>
  <c r="N80"/>
  <c r="M80"/>
  <c r="M79"/>
  <c r="N79" s="1"/>
  <c r="M78"/>
  <c r="N78" s="1"/>
  <c r="N77"/>
  <c r="M77"/>
  <c r="N76"/>
  <c r="M76"/>
  <c r="M83" s="1"/>
  <c r="B76"/>
  <c r="P75"/>
  <c r="O75"/>
  <c r="E75"/>
  <c r="D75"/>
  <c r="K74"/>
  <c r="J74"/>
  <c r="I74"/>
  <c r="H74"/>
  <c r="G74"/>
  <c r="F74"/>
  <c r="F75" s="1"/>
  <c r="E74"/>
  <c r="D74"/>
  <c r="N73"/>
  <c r="M73"/>
  <c r="M72"/>
  <c r="N72" s="1"/>
  <c r="N71"/>
  <c r="M71"/>
  <c r="N70"/>
  <c r="M70"/>
  <c r="N69"/>
  <c r="M69"/>
  <c r="M68"/>
  <c r="M75" s="1"/>
  <c r="B68"/>
  <c r="P67"/>
  <c r="O67"/>
  <c r="E67"/>
  <c r="D67"/>
  <c r="K66"/>
  <c r="J66"/>
  <c r="I66"/>
  <c r="H66"/>
  <c r="G66"/>
  <c r="F66"/>
  <c r="F67" s="1"/>
  <c r="E66"/>
  <c r="D66"/>
  <c r="N65"/>
  <c r="M65"/>
  <c r="M64"/>
  <c r="N64" s="1"/>
  <c r="M63"/>
  <c r="N63" s="1"/>
  <c r="N62"/>
  <c r="M62"/>
  <c r="N61"/>
  <c r="M61"/>
  <c r="N60"/>
  <c r="N67" s="1"/>
  <c r="M60"/>
  <c r="M67" s="1"/>
  <c r="B60"/>
  <c r="P59"/>
  <c r="O59"/>
  <c r="E59"/>
  <c r="D59"/>
  <c r="K58"/>
  <c r="J58"/>
  <c r="I58"/>
  <c r="H58"/>
  <c r="G58"/>
  <c r="F58"/>
  <c r="F59" s="1"/>
  <c r="E58"/>
  <c r="D58"/>
  <c r="M57"/>
  <c r="N57" s="1"/>
  <c r="N56"/>
  <c r="M56"/>
  <c r="N55"/>
  <c r="M55"/>
  <c r="N54"/>
  <c r="M54"/>
  <c r="M53"/>
  <c r="N53" s="1"/>
  <c r="N52"/>
  <c r="M52"/>
  <c r="M59" s="1"/>
  <c r="B52"/>
  <c r="P51"/>
  <c r="O51"/>
  <c r="F51"/>
  <c r="E51"/>
  <c r="D51"/>
  <c r="K50"/>
  <c r="J50"/>
  <c r="I50"/>
  <c r="H50"/>
  <c r="G50"/>
  <c r="F50"/>
  <c r="E50"/>
  <c r="D50"/>
  <c r="M49"/>
  <c r="N49" s="1"/>
  <c r="M48"/>
  <c r="N48" s="1"/>
  <c r="N47"/>
  <c r="M47"/>
  <c r="N46"/>
  <c r="M46"/>
  <c r="N45"/>
  <c r="M45"/>
  <c r="N44"/>
  <c r="M44"/>
  <c r="M51" s="1"/>
  <c r="B44"/>
  <c r="P43"/>
  <c r="O43"/>
  <c r="E43"/>
  <c r="D43"/>
  <c r="K42"/>
  <c r="F43" s="1"/>
  <c r="J42"/>
  <c r="I42"/>
  <c r="H42"/>
  <c r="G42"/>
  <c r="F42"/>
  <c r="E42"/>
  <c r="D42"/>
  <c r="N41"/>
  <c r="M41"/>
  <c r="N40"/>
  <c r="M40"/>
  <c r="N39"/>
  <c r="M39"/>
  <c r="M38"/>
  <c r="M42" s="1"/>
  <c r="N37"/>
  <c r="M37"/>
  <c r="N36"/>
  <c r="M36"/>
  <c r="M43" s="1"/>
  <c r="B36"/>
  <c r="P35"/>
  <c r="O35"/>
  <c r="E35"/>
  <c r="D35"/>
  <c r="K34"/>
  <c r="J34"/>
  <c r="F35" s="1"/>
  <c r="I34"/>
  <c r="H34"/>
  <c r="G34"/>
  <c r="F34"/>
  <c r="E34"/>
  <c r="D34"/>
  <c r="M33"/>
  <c r="N33" s="1"/>
  <c r="N32"/>
  <c r="M32"/>
  <c r="N31"/>
  <c r="M31"/>
  <c r="N30"/>
  <c r="N34" s="1"/>
  <c r="M30"/>
  <c r="M34" s="1"/>
  <c r="N29"/>
  <c r="M29"/>
  <c r="N28"/>
  <c r="M28"/>
  <c r="B28"/>
  <c r="P27"/>
  <c r="O27"/>
  <c r="E27"/>
  <c r="D27"/>
  <c r="K26"/>
  <c r="J26"/>
  <c r="I26"/>
  <c r="H26"/>
  <c r="G26"/>
  <c r="F26"/>
  <c r="F27" s="1"/>
  <c r="E26"/>
  <c r="D26"/>
  <c r="N25"/>
  <c r="M25"/>
  <c r="N24"/>
  <c r="M24"/>
  <c r="M23"/>
  <c r="N23" s="1"/>
  <c r="N27" s="1"/>
  <c r="N22"/>
  <c r="M22"/>
  <c r="M26" s="1"/>
  <c r="N21"/>
  <c r="M21"/>
  <c r="N20"/>
  <c r="M20"/>
  <c r="B20"/>
  <c r="P19"/>
  <c r="O19"/>
  <c r="E19"/>
  <c r="D19"/>
  <c r="K18"/>
  <c r="J18"/>
  <c r="I18"/>
  <c r="H18"/>
  <c r="G18"/>
  <c r="F18"/>
  <c r="F19" s="1"/>
  <c r="E18"/>
  <c r="D18"/>
  <c r="D253" s="1"/>
  <c r="D254" s="1"/>
  <c r="N17"/>
  <c r="M17"/>
  <c r="N16"/>
  <c r="M16"/>
  <c r="N15"/>
  <c r="N19" s="1"/>
  <c r="M15"/>
  <c r="N14"/>
  <c r="N18" s="1"/>
  <c r="M14"/>
  <c r="M18" s="1"/>
  <c r="N13"/>
  <c r="M13"/>
  <c r="N12"/>
  <c r="M12"/>
  <c r="B12"/>
  <c r="P11"/>
  <c r="O11"/>
  <c r="F11"/>
  <c r="E11"/>
  <c r="D11"/>
  <c r="K10"/>
  <c r="J10"/>
  <c r="I10"/>
  <c r="H10"/>
  <c r="G10"/>
  <c r="F10"/>
  <c r="E10"/>
  <c r="D10"/>
  <c r="N9"/>
  <c r="M9"/>
  <c r="M8"/>
  <c r="N8" s="1"/>
  <c r="N7"/>
  <c r="M7"/>
  <c r="M10" s="1"/>
  <c r="N6"/>
  <c r="M6"/>
  <c r="M5"/>
  <c r="N5" s="1"/>
  <c r="N4"/>
  <c r="M4"/>
  <c r="B4"/>
  <c r="P251" i="38"/>
  <c r="P253" s="1"/>
  <c r="O251"/>
  <c r="M251"/>
  <c r="E251"/>
  <c r="D251"/>
  <c r="K250"/>
  <c r="J250"/>
  <c r="J253" s="1"/>
  <c r="I250"/>
  <c r="H250"/>
  <c r="G250"/>
  <c r="G253" s="1"/>
  <c r="F250"/>
  <c r="F253" s="1"/>
  <c r="E250"/>
  <c r="E253" s="1"/>
  <c r="E254" s="1"/>
  <c r="D250"/>
  <c r="M249"/>
  <c r="N249" s="1"/>
  <c r="N248"/>
  <c r="M248"/>
  <c r="N247"/>
  <c r="M247"/>
  <c r="N246"/>
  <c r="M246"/>
  <c r="M245"/>
  <c r="N245" s="1"/>
  <c r="N244"/>
  <c r="M244"/>
  <c r="P243"/>
  <c r="O243"/>
  <c r="E243"/>
  <c r="D243"/>
  <c r="K242"/>
  <c r="J242"/>
  <c r="I242"/>
  <c r="H242"/>
  <c r="H253" s="1"/>
  <c r="G242"/>
  <c r="F242"/>
  <c r="F243" s="1"/>
  <c r="E242"/>
  <c r="D242"/>
  <c r="N241"/>
  <c r="M241"/>
  <c r="N240"/>
  <c r="M240"/>
  <c r="N239"/>
  <c r="M239"/>
  <c r="M238"/>
  <c r="N238" s="1"/>
  <c r="N237"/>
  <c r="M237"/>
  <c r="M236"/>
  <c r="N236" s="1"/>
  <c r="P235"/>
  <c r="O235"/>
  <c r="O253" s="1"/>
  <c r="E235"/>
  <c r="D235"/>
  <c r="K234"/>
  <c r="J234"/>
  <c r="I234"/>
  <c r="I253" s="1"/>
  <c r="H234"/>
  <c r="G234"/>
  <c r="F235" s="1"/>
  <c r="F234"/>
  <c r="E234"/>
  <c r="D234"/>
  <c r="N233"/>
  <c r="M233"/>
  <c r="N232"/>
  <c r="M232"/>
  <c r="N231"/>
  <c r="M231"/>
  <c r="M230"/>
  <c r="N230" s="1"/>
  <c r="N229"/>
  <c r="M229"/>
  <c r="M228"/>
  <c r="M235" s="1"/>
  <c r="P227"/>
  <c r="O227"/>
  <c r="E227"/>
  <c r="D227"/>
  <c r="K226"/>
  <c r="J226"/>
  <c r="I226"/>
  <c r="H226"/>
  <c r="G226"/>
  <c r="F226"/>
  <c r="F227" s="1"/>
  <c r="E226"/>
  <c r="D226"/>
  <c r="N225"/>
  <c r="M225"/>
  <c r="N224"/>
  <c r="M224"/>
  <c r="M223"/>
  <c r="N223" s="1"/>
  <c r="N222"/>
  <c r="M222"/>
  <c r="M221"/>
  <c r="N221" s="1"/>
  <c r="N220"/>
  <c r="N226" s="1"/>
  <c r="M220"/>
  <c r="M226" s="1"/>
  <c r="B220"/>
  <c r="P219"/>
  <c r="O219"/>
  <c r="E219"/>
  <c r="D219"/>
  <c r="K218"/>
  <c r="K253" s="1"/>
  <c r="J218"/>
  <c r="I218"/>
  <c r="H218"/>
  <c r="G218"/>
  <c r="F218"/>
  <c r="F219" s="1"/>
  <c r="E218"/>
  <c r="D218"/>
  <c r="N217"/>
  <c r="M217"/>
  <c r="N216"/>
  <c r="M216"/>
  <c r="M215"/>
  <c r="N215" s="1"/>
  <c r="N214"/>
  <c r="M214"/>
  <c r="N213"/>
  <c r="M213"/>
  <c r="M219" s="1"/>
  <c r="N212"/>
  <c r="N218" s="1"/>
  <c r="M212"/>
  <c r="M218" s="1"/>
  <c r="B212"/>
  <c r="P211"/>
  <c r="O211"/>
  <c r="E211"/>
  <c r="D211"/>
  <c r="M210"/>
  <c r="K210"/>
  <c r="J210"/>
  <c r="I210"/>
  <c r="H210"/>
  <c r="G210"/>
  <c r="F210"/>
  <c r="F211" s="1"/>
  <c r="E210"/>
  <c r="D210"/>
  <c r="N209"/>
  <c r="M209"/>
  <c r="M208"/>
  <c r="N208" s="1"/>
  <c r="N207"/>
  <c r="M207"/>
  <c r="M206"/>
  <c r="N206" s="1"/>
  <c r="N205"/>
  <c r="N211" s="1"/>
  <c r="M205"/>
  <c r="N204"/>
  <c r="N210" s="1"/>
  <c r="M204"/>
  <c r="M211" s="1"/>
  <c r="B204"/>
  <c r="P203"/>
  <c r="O203"/>
  <c r="E203"/>
  <c r="D203"/>
  <c r="K202"/>
  <c r="J202"/>
  <c r="I202"/>
  <c r="H202"/>
  <c r="G202"/>
  <c r="F202"/>
  <c r="F203" s="1"/>
  <c r="E202"/>
  <c r="D202"/>
  <c r="N201"/>
  <c r="M201"/>
  <c r="M200"/>
  <c r="N200" s="1"/>
  <c r="N199"/>
  <c r="M199"/>
  <c r="N198"/>
  <c r="M198"/>
  <c r="M202" s="1"/>
  <c r="N197"/>
  <c r="M197"/>
  <c r="M196"/>
  <c r="M203" s="1"/>
  <c r="B196"/>
  <c r="P195"/>
  <c r="O195"/>
  <c r="E195"/>
  <c r="D195"/>
  <c r="K194"/>
  <c r="J194"/>
  <c r="I194"/>
  <c r="H194"/>
  <c r="G194"/>
  <c r="F194"/>
  <c r="F195" s="1"/>
  <c r="E194"/>
  <c r="D194"/>
  <c r="M193"/>
  <c r="N193" s="1"/>
  <c r="N192"/>
  <c r="M192"/>
  <c r="M191"/>
  <c r="N191" s="1"/>
  <c r="N190"/>
  <c r="M190"/>
  <c r="N189"/>
  <c r="M189"/>
  <c r="N188"/>
  <c r="N195" s="1"/>
  <c r="M188"/>
  <c r="M195" s="1"/>
  <c r="B188"/>
  <c r="P187"/>
  <c r="O187"/>
  <c r="E187"/>
  <c r="D187"/>
  <c r="K186"/>
  <c r="J186"/>
  <c r="I186"/>
  <c r="H186"/>
  <c r="G186"/>
  <c r="F186"/>
  <c r="F187" s="1"/>
  <c r="E186"/>
  <c r="D186"/>
  <c r="M185"/>
  <c r="N185" s="1"/>
  <c r="N184"/>
  <c r="M184"/>
  <c r="N183"/>
  <c r="M183"/>
  <c r="N182"/>
  <c r="M182"/>
  <c r="M181"/>
  <c r="N181" s="1"/>
  <c r="N180"/>
  <c r="M180"/>
  <c r="M187" s="1"/>
  <c r="B180"/>
  <c r="P179"/>
  <c r="O179"/>
  <c r="F179"/>
  <c r="E179"/>
  <c r="D179"/>
  <c r="K178"/>
  <c r="J178"/>
  <c r="I178"/>
  <c r="H178"/>
  <c r="G178"/>
  <c r="F178"/>
  <c r="E178"/>
  <c r="D178"/>
  <c r="N177"/>
  <c r="M177"/>
  <c r="M176"/>
  <c r="N176" s="1"/>
  <c r="N175"/>
  <c r="M175"/>
  <c r="N174"/>
  <c r="M174"/>
  <c r="N173"/>
  <c r="M173"/>
  <c r="N172"/>
  <c r="N179" s="1"/>
  <c r="M172"/>
  <c r="M179" s="1"/>
  <c r="B172"/>
  <c r="P171"/>
  <c r="O171"/>
  <c r="F171"/>
  <c r="E171"/>
  <c r="D171"/>
  <c r="K170"/>
  <c r="J170"/>
  <c r="I170"/>
  <c r="H170"/>
  <c r="G170"/>
  <c r="F170"/>
  <c r="E170"/>
  <c r="D170"/>
  <c r="N169"/>
  <c r="M169"/>
  <c r="N168"/>
  <c r="M168"/>
  <c r="N167"/>
  <c r="M167"/>
  <c r="M166"/>
  <c r="M170" s="1"/>
  <c r="N165"/>
  <c r="M165"/>
  <c r="N164"/>
  <c r="M164"/>
  <c r="M171" s="1"/>
  <c r="B164"/>
  <c r="P163"/>
  <c r="O163"/>
  <c r="M163"/>
  <c r="F163"/>
  <c r="E163"/>
  <c r="D163"/>
  <c r="K162"/>
  <c r="J162"/>
  <c r="I162"/>
  <c r="H162"/>
  <c r="G162"/>
  <c r="F162"/>
  <c r="E162"/>
  <c r="D162"/>
  <c r="M161"/>
  <c r="N161" s="1"/>
  <c r="N160"/>
  <c r="M160"/>
  <c r="N159"/>
  <c r="M159"/>
  <c r="N158"/>
  <c r="M158"/>
  <c r="M162" s="1"/>
  <c r="N157"/>
  <c r="M157"/>
  <c r="N156"/>
  <c r="M156"/>
  <c r="B156"/>
  <c r="P155"/>
  <c r="O155"/>
  <c r="E155"/>
  <c r="D155"/>
  <c r="K154"/>
  <c r="J154"/>
  <c r="I154"/>
  <c r="H154"/>
  <c r="G154"/>
  <c r="F154"/>
  <c r="F155" s="1"/>
  <c r="E154"/>
  <c r="D154"/>
  <c r="N153"/>
  <c r="M153"/>
  <c r="M155" s="1"/>
  <c r="N152"/>
  <c r="M152"/>
  <c r="M151"/>
  <c r="M154" s="1"/>
  <c r="N150"/>
  <c r="M150"/>
  <c r="N149"/>
  <c r="M149"/>
  <c r="N148"/>
  <c r="M148"/>
  <c r="B148"/>
  <c r="P147"/>
  <c r="O147"/>
  <c r="E147"/>
  <c r="D147"/>
  <c r="K146"/>
  <c r="J146"/>
  <c r="I146"/>
  <c r="H146"/>
  <c r="G146"/>
  <c r="F147" s="1"/>
  <c r="F146"/>
  <c r="E146"/>
  <c r="D146"/>
  <c r="D253" s="1"/>
  <c r="D254" s="1"/>
  <c r="N145"/>
  <c r="M145"/>
  <c r="N144"/>
  <c r="M144"/>
  <c r="N143"/>
  <c r="M143"/>
  <c r="M147" s="1"/>
  <c r="N142"/>
  <c r="M142"/>
  <c r="M146" s="1"/>
  <c r="N141"/>
  <c r="M141"/>
  <c r="M140"/>
  <c r="N140" s="1"/>
  <c r="B140"/>
  <c r="P139"/>
  <c r="O139"/>
  <c r="F139"/>
  <c r="E139"/>
  <c r="D139"/>
  <c r="K138"/>
  <c r="J138"/>
  <c r="I138"/>
  <c r="H138"/>
  <c r="G138"/>
  <c r="F138"/>
  <c r="E138"/>
  <c r="D138"/>
  <c r="N137"/>
  <c r="M137"/>
  <c r="M136"/>
  <c r="N136" s="1"/>
  <c r="N135"/>
  <c r="M135"/>
  <c r="N134"/>
  <c r="M134"/>
  <c r="M138" s="1"/>
  <c r="N133"/>
  <c r="M133"/>
  <c r="M132"/>
  <c r="N132" s="1"/>
  <c r="B132"/>
  <c r="P131"/>
  <c r="O131"/>
  <c r="E131"/>
  <c r="D131"/>
  <c r="K130"/>
  <c r="J130"/>
  <c r="I130"/>
  <c r="H130"/>
  <c r="G130"/>
  <c r="F130"/>
  <c r="F131" s="1"/>
  <c r="E130"/>
  <c r="D130"/>
  <c r="N129"/>
  <c r="M129"/>
  <c r="N128"/>
  <c r="M128"/>
  <c r="N127"/>
  <c r="M127"/>
  <c r="M131" s="1"/>
  <c r="N126"/>
  <c r="M126"/>
  <c r="M125"/>
  <c r="N125" s="1"/>
  <c r="N130" s="1"/>
  <c r="N124"/>
  <c r="M124"/>
  <c r="B124"/>
  <c r="P123"/>
  <c r="O123"/>
  <c r="E123"/>
  <c r="D123"/>
  <c r="K122"/>
  <c r="J122"/>
  <c r="I122"/>
  <c r="H122"/>
  <c r="G122"/>
  <c r="F122"/>
  <c r="F123" s="1"/>
  <c r="E122"/>
  <c r="D122"/>
  <c r="M121"/>
  <c r="M123" s="1"/>
  <c r="N120"/>
  <c r="M120"/>
  <c r="N119"/>
  <c r="M119"/>
  <c r="M118"/>
  <c r="N118" s="1"/>
  <c r="M117"/>
  <c r="N117" s="1"/>
  <c r="N116"/>
  <c r="M116"/>
  <c r="B116"/>
  <c r="P115"/>
  <c r="O115"/>
  <c r="E115"/>
  <c r="D115"/>
  <c r="K114"/>
  <c r="J114"/>
  <c r="I114"/>
  <c r="H114"/>
  <c r="G114"/>
  <c r="F114"/>
  <c r="F115" s="1"/>
  <c r="E114"/>
  <c r="D114"/>
  <c r="N113"/>
  <c r="M113"/>
  <c r="N112"/>
  <c r="M112"/>
  <c r="N111"/>
  <c r="M111"/>
  <c r="M110"/>
  <c r="N110" s="1"/>
  <c r="N109"/>
  <c r="M109"/>
  <c r="M108"/>
  <c r="N108" s="1"/>
  <c r="B108"/>
  <c r="P107"/>
  <c r="O107"/>
  <c r="E107"/>
  <c r="D107"/>
  <c r="K106"/>
  <c r="J106"/>
  <c r="I106"/>
  <c r="H106"/>
  <c r="G106"/>
  <c r="F107" s="1"/>
  <c r="F106"/>
  <c r="E106"/>
  <c r="D106"/>
  <c r="N105"/>
  <c r="M105"/>
  <c r="N104"/>
  <c r="M104"/>
  <c r="N103"/>
  <c r="M103"/>
  <c r="M102"/>
  <c r="N102" s="1"/>
  <c r="M101"/>
  <c r="N101" s="1"/>
  <c r="N100"/>
  <c r="M100"/>
  <c r="M106" s="1"/>
  <c r="B100"/>
  <c r="P99"/>
  <c r="O99"/>
  <c r="E99"/>
  <c r="D99"/>
  <c r="K98"/>
  <c r="J98"/>
  <c r="I98"/>
  <c r="H98"/>
  <c r="G98"/>
  <c r="F98"/>
  <c r="F99" s="1"/>
  <c r="E98"/>
  <c r="D98"/>
  <c r="N97"/>
  <c r="M97"/>
  <c r="N96"/>
  <c r="M96"/>
  <c r="M95"/>
  <c r="N95" s="1"/>
  <c r="N94"/>
  <c r="M94"/>
  <c r="M93"/>
  <c r="N93" s="1"/>
  <c r="N92"/>
  <c r="M92"/>
  <c r="M98" s="1"/>
  <c r="B92"/>
  <c r="P91"/>
  <c r="O91"/>
  <c r="E91"/>
  <c r="D91"/>
  <c r="K90"/>
  <c r="J90"/>
  <c r="I90"/>
  <c r="H90"/>
  <c r="G90"/>
  <c r="F90"/>
  <c r="F91" s="1"/>
  <c r="E90"/>
  <c r="D90"/>
  <c r="N89"/>
  <c r="M89"/>
  <c r="N88"/>
  <c r="M88"/>
  <c r="M87"/>
  <c r="N87" s="1"/>
  <c r="N86"/>
  <c r="M86"/>
  <c r="N85"/>
  <c r="M85"/>
  <c r="M91" s="1"/>
  <c r="N84"/>
  <c r="M84"/>
  <c r="M90" s="1"/>
  <c r="B84"/>
  <c r="P83"/>
  <c r="O83"/>
  <c r="E83"/>
  <c r="D83"/>
  <c r="K82"/>
  <c r="J82"/>
  <c r="I82"/>
  <c r="H82"/>
  <c r="G82"/>
  <c r="F82"/>
  <c r="F83" s="1"/>
  <c r="E82"/>
  <c r="D82"/>
  <c r="N81"/>
  <c r="M81"/>
  <c r="M80"/>
  <c r="N80" s="1"/>
  <c r="N79"/>
  <c r="M79"/>
  <c r="M78"/>
  <c r="N78" s="1"/>
  <c r="N77"/>
  <c r="M77"/>
  <c r="N76"/>
  <c r="M76"/>
  <c r="M83" s="1"/>
  <c r="B76"/>
  <c r="P75"/>
  <c r="O75"/>
  <c r="E75"/>
  <c r="D75"/>
  <c r="K74"/>
  <c r="J74"/>
  <c r="I74"/>
  <c r="H74"/>
  <c r="G74"/>
  <c r="F74"/>
  <c r="F75" s="1"/>
  <c r="E74"/>
  <c r="D74"/>
  <c r="N73"/>
  <c r="M73"/>
  <c r="M72"/>
  <c r="N72" s="1"/>
  <c r="M71"/>
  <c r="N71" s="1"/>
  <c r="N70"/>
  <c r="M70"/>
  <c r="M74" s="1"/>
  <c r="N69"/>
  <c r="M69"/>
  <c r="M68"/>
  <c r="M75" s="1"/>
  <c r="B68"/>
  <c r="P67"/>
  <c r="O67"/>
  <c r="E67"/>
  <c r="D67"/>
  <c r="K66"/>
  <c r="J66"/>
  <c r="I66"/>
  <c r="H66"/>
  <c r="G66"/>
  <c r="F66"/>
  <c r="F67" s="1"/>
  <c r="E66"/>
  <c r="D66"/>
  <c r="M65"/>
  <c r="N65" s="1"/>
  <c r="N64"/>
  <c r="M64"/>
  <c r="M63"/>
  <c r="N63" s="1"/>
  <c r="N62"/>
  <c r="M62"/>
  <c r="N61"/>
  <c r="M61"/>
  <c r="N60"/>
  <c r="M60"/>
  <c r="M67" s="1"/>
  <c r="B60"/>
  <c r="P59"/>
  <c r="O59"/>
  <c r="E59"/>
  <c r="D59"/>
  <c r="K58"/>
  <c r="J58"/>
  <c r="I58"/>
  <c r="H58"/>
  <c r="G58"/>
  <c r="F58"/>
  <c r="F59" s="1"/>
  <c r="E58"/>
  <c r="D58"/>
  <c r="M57"/>
  <c r="N57" s="1"/>
  <c r="M56"/>
  <c r="N56" s="1"/>
  <c r="N55"/>
  <c r="M55"/>
  <c r="N54"/>
  <c r="M54"/>
  <c r="M53"/>
  <c r="N53" s="1"/>
  <c r="N52"/>
  <c r="M52"/>
  <c r="M59" s="1"/>
  <c r="B52"/>
  <c r="P51"/>
  <c r="O51"/>
  <c r="F51"/>
  <c r="E51"/>
  <c r="D51"/>
  <c r="K50"/>
  <c r="J50"/>
  <c r="I50"/>
  <c r="H50"/>
  <c r="G50"/>
  <c r="F50"/>
  <c r="E50"/>
  <c r="D50"/>
  <c r="N49"/>
  <c r="M49"/>
  <c r="M48"/>
  <c r="N48" s="1"/>
  <c r="N47"/>
  <c r="M47"/>
  <c r="N46"/>
  <c r="M46"/>
  <c r="N45"/>
  <c r="M45"/>
  <c r="N44"/>
  <c r="M44"/>
  <c r="M51" s="1"/>
  <c r="B44"/>
  <c r="P43"/>
  <c r="O43"/>
  <c r="F43"/>
  <c r="E43"/>
  <c r="D43"/>
  <c r="K42"/>
  <c r="J42"/>
  <c r="I42"/>
  <c r="H42"/>
  <c r="G42"/>
  <c r="F42"/>
  <c r="E42"/>
  <c r="D42"/>
  <c r="M41"/>
  <c r="N41" s="1"/>
  <c r="N40"/>
  <c r="M40"/>
  <c r="N39"/>
  <c r="M39"/>
  <c r="M38"/>
  <c r="M42" s="1"/>
  <c r="N37"/>
  <c r="M37"/>
  <c r="N36"/>
  <c r="M36"/>
  <c r="M43" s="1"/>
  <c r="B36"/>
  <c r="P35"/>
  <c r="O35"/>
  <c r="M35"/>
  <c r="F35"/>
  <c r="E35"/>
  <c r="D35"/>
  <c r="K34"/>
  <c r="J34"/>
  <c r="I34"/>
  <c r="H34"/>
  <c r="G34"/>
  <c r="F34"/>
  <c r="E34"/>
  <c r="D34"/>
  <c r="M33"/>
  <c r="N33" s="1"/>
  <c r="N32"/>
  <c r="M32"/>
  <c r="N31"/>
  <c r="M31"/>
  <c r="N30"/>
  <c r="M30"/>
  <c r="M34" s="1"/>
  <c r="N29"/>
  <c r="M29"/>
  <c r="N28"/>
  <c r="N35" s="1"/>
  <c r="M28"/>
  <c r="B28"/>
  <c r="P27"/>
  <c r="O27"/>
  <c r="M27"/>
  <c r="E27"/>
  <c r="D27"/>
  <c r="K26"/>
  <c r="J26"/>
  <c r="I26"/>
  <c r="H26"/>
  <c r="G26"/>
  <c r="F26"/>
  <c r="F27" s="1"/>
  <c r="E26"/>
  <c r="D26"/>
  <c r="N25"/>
  <c r="M25"/>
  <c r="N24"/>
  <c r="M24"/>
  <c r="M23"/>
  <c r="N23" s="1"/>
  <c r="N27" s="1"/>
  <c r="N22"/>
  <c r="M22"/>
  <c r="M26" s="1"/>
  <c r="N21"/>
  <c r="M21"/>
  <c r="N20"/>
  <c r="M20"/>
  <c r="B20"/>
  <c r="P19"/>
  <c r="O19"/>
  <c r="E19"/>
  <c r="D19"/>
  <c r="K18"/>
  <c r="J18"/>
  <c r="I18"/>
  <c r="H18"/>
  <c r="G18"/>
  <c r="F19" s="1"/>
  <c r="F18"/>
  <c r="E18"/>
  <c r="D18"/>
  <c r="N17"/>
  <c r="M17"/>
  <c r="M19" s="1"/>
  <c r="N16"/>
  <c r="M16"/>
  <c r="N15"/>
  <c r="M15"/>
  <c r="N14"/>
  <c r="M14"/>
  <c r="M18" s="1"/>
  <c r="N13"/>
  <c r="M13"/>
  <c r="M12"/>
  <c r="N12" s="1"/>
  <c r="B12"/>
  <c r="P11"/>
  <c r="O11"/>
  <c r="F11"/>
  <c r="E11"/>
  <c r="D11"/>
  <c r="K10"/>
  <c r="J10"/>
  <c r="I10"/>
  <c r="H10"/>
  <c r="G10"/>
  <c r="F10"/>
  <c r="E10"/>
  <c r="D10"/>
  <c r="N9"/>
  <c r="M9"/>
  <c r="M8"/>
  <c r="N8" s="1"/>
  <c r="N7"/>
  <c r="M7"/>
  <c r="M10" s="1"/>
  <c r="N6"/>
  <c r="M6"/>
  <c r="M5"/>
  <c r="N5" s="1"/>
  <c r="M4"/>
  <c r="N4" s="1"/>
  <c r="B4"/>
  <c r="P251" i="37"/>
  <c r="P253" s="1"/>
  <c r="O251"/>
  <c r="M251"/>
  <c r="F251"/>
  <c r="E251"/>
  <c r="D251"/>
  <c r="K250"/>
  <c r="J250"/>
  <c r="I250"/>
  <c r="I253" s="1"/>
  <c r="H250"/>
  <c r="G250"/>
  <c r="G253" s="1"/>
  <c r="F250"/>
  <c r="F253" s="1"/>
  <c r="E250"/>
  <c r="E253" s="1"/>
  <c r="E254" s="1"/>
  <c r="D250"/>
  <c r="M249"/>
  <c r="N249" s="1"/>
  <c r="N248"/>
  <c r="M248"/>
  <c r="N247"/>
  <c r="M247"/>
  <c r="N246"/>
  <c r="M246"/>
  <c r="M250" s="1"/>
  <c r="N245"/>
  <c r="M245"/>
  <c r="N244"/>
  <c r="M244"/>
  <c r="P243"/>
  <c r="O243"/>
  <c r="M243"/>
  <c r="F243"/>
  <c r="E243"/>
  <c r="D243"/>
  <c r="K242"/>
  <c r="J242"/>
  <c r="I242"/>
  <c r="H242"/>
  <c r="H253" s="1"/>
  <c r="G242"/>
  <c r="F242"/>
  <c r="E242"/>
  <c r="D242"/>
  <c r="N241"/>
  <c r="M241"/>
  <c r="N240"/>
  <c r="M240"/>
  <c r="N239"/>
  <c r="M239"/>
  <c r="M238"/>
  <c r="N238" s="1"/>
  <c r="M237"/>
  <c r="N237" s="1"/>
  <c r="M236"/>
  <c r="N236" s="1"/>
  <c r="P235"/>
  <c r="O235"/>
  <c r="O253" s="1"/>
  <c r="N235"/>
  <c r="M235"/>
  <c r="E235"/>
  <c r="D235"/>
  <c r="K234"/>
  <c r="J234"/>
  <c r="I234"/>
  <c r="F235" s="1"/>
  <c r="H234"/>
  <c r="G234"/>
  <c r="F234"/>
  <c r="E234"/>
  <c r="D234"/>
  <c r="D253" s="1"/>
  <c r="D254" s="1"/>
  <c r="N233"/>
  <c r="M233"/>
  <c r="N232"/>
  <c r="M232"/>
  <c r="N231"/>
  <c r="M231"/>
  <c r="N230"/>
  <c r="M230"/>
  <c r="N229"/>
  <c r="M229"/>
  <c r="N228"/>
  <c r="N234" s="1"/>
  <c r="M228"/>
  <c r="M234" s="1"/>
  <c r="P227"/>
  <c r="O227"/>
  <c r="M227"/>
  <c r="E227"/>
  <c r="D227"/>
  <c r="K226"/>
  <c r="J226"/>
  <c r="J253" s="1"/>
  <c r="I226"/>
  <c r="F227" s="1"/>
  <c r="H226"/>
  <c r="G226"/>
  <c r="F226"/>
  <c r="E226"/>
  <c r="D226"/>
  <c r="N225"/>
  <c r="M225"/>
  <c r="N224"/>
  <c r="M224"/>
  <c r="M223"/>
  <c r="N223" s="1"/>
  <c r="M222"/>
  <c r="N222" s="1"/>
  <c r="M221"/>
  <c r="N221" s="1"/>
  <c r="N227" s="1"/>
  <c r="N220"/>
  <c r="M220"/>
  <c r="M226" s="1"/>
  <c r="B220"/>
  <c r="P219"/>
  <c r="O219"/>
  <c r="E219"/>
  <c r="D219"/>
  <c r="K218"/>
  <c r="K253" s="1"/>
  <c r="J218"/>
  <c r="I218"/>
  <c r="H218"/>
  <c r="G218"/>
  <c r="F218"/>
  <c r="F219" s="1"/>
  <c r="E218"/>
  <c r="D218"/>
  <c r="N217"/>
  <c r="M217"/>
  <c r="M219" s="1"/>
  <c r="N216"/>
  <c r="M216"/>
  <c r="N215"/>
  <c r="M215"/>
  <c r="N214"/>
  <c r="M214"/>
  <c r="N213"/>
  <c r="M213"/>
  <c r="M212"/>
  <c r="M218" s="1"/>
  <c r="B212"/>
  <c r="P211"/>
  <c r="O211"/>
  <c r="E211"/>
  <c r="D211"/>
  <c r="K210"/>
  <c r="J210"/>
  <c r="I210"/>
  <c r="H210"/>
  <c r="G210"/>
  <c r="F210"/>
  <c r="F211" s="1"/>
  <c r="E210"/>
  <c r="D210"/>
  <c r="N209"/>
  <c r="M209"/>
  <c r="M208"/>
  <c r="N208" s="1"/>
  <c r="M207"/>
  <c r="N207" s="1"/>
  <c r="M206"/>
  <c r="N206" s="1"/>
  <c r="N205"/>
  <c r="M205"/>
  <c r="N204"/>
  <c r="M204"/>
  <c r="B204"/>
  <c r="P203"/>
  <c r="O203"/>
  <c r="E203"/>
  <c r="D203"/>
  <c r="K202"/>
  <c r="J202"/>
  <c r="I202"/>
  <c r="H202"/>
  <c r="G202"/>
  <c r="F202"/>
  <c r="F203" s="1"/>
  <c r="E202"/>
  <c r="D202"/>
  <c r="N201"/>
  <c r="M201"/>
  <c r="N200"/>
  <c r="M200"/>
  <c r="N199"/>
  <c r="M199"/>
  <c r="N198"/>
  <c r="M198"/>
  <c r="M197"/>
  <c r="N197" s="1"/>
  <c r="M196"/>
  <c r="M203" s="1"/>
  <c r="B196"/>
  <c r="P195"/>
  <c r="O195"/>
  <c r="E195"/>
  <c r="D195"/>
  <c r="K194"/>
  <c r="J194"/>
  <c r="I194"/>
  <c r="H194"/>
  <c r="G194"/>
  <c r="F194"/>
  <c r="F195" s="1"/>
  <c r="E194"/>
  <c r="D194"/>
  <c r="M193"/>
  <c r="N193" s="1"/>
  <c r="M192"/>
  <c r="N192" s="1"/>
  <c r="M191"/>
  <c r="N191" s="1"/>
  <c r="N190"/>
  <c r="M190"/>
  <c r="N189"/>
  <c r="M189"/>
  <c r="N188"/>
  <c r="M188"/>
  <c r="M195" s="1"/>
  <c r="B188"/>
  <c r="P187"/>
  <c r="O187"/>
  <c r="E187"/>
  <c r="D187"/>
  <c r="K186"/>
  <c r="J186"/>
  <c r="I186"/>
  <c r="H186"/>
  <c r="G186"/>
  <c r="F186"/>
  <c r="F187" s="1"/>
  <c r="E186"/>
  <c r="D186"/>
  <c r="N185"/>
  <c r="M185"/>
  <c r="N184"/>
  <c r="M184"/>
  <c r="N183"/>
  <c r="M183"/>
  <c r="M182"/>
  <c r="N182" s="1"/>
  <c r="M181"/>
  <c r="N181" s="1"/>
  <c r="N180"/>
  <c r="M180"/>
  <c r="M187" s="1"/>
  <c r="B180"/>
  <c r="P179"/>
  <c r="O179"/>
  <c r="E179"/>
  <c r="D179"/>
  <c r="K178"/>
  <c r="J178"/>
  <c r="I178"/>
  <c r="H178"/>
  <c r="F179" s="1"/>
  <c r="G178"/>
  <c r="F178"/>
  <c r="E178"/>
  <c r="D178"/>
  <c r="M177"/>
  <c r="N177" s="1"/>
  <c r="M176"/>
  <c r="N176" s="1"/>
  <c r="N175"/>
  <c r="M175"/>
  <c r="N174"/>
  <c r="M174"/>
  <c r="N173"/>
  <c r="M173"/>
  <c r="N172"/>
  <c r="N179" s="1"/>
  <c r="M172"/>
  <c r="M179" s="1"/>
  <c r="B172"/>
  <c r="P171"/>
  <c r="O171"/>
  <c r="E171"/>
  <c r="D171"/>
  <c r="K170"/>
  <c r="J170"/>
  <c r="I170"/>
  <c r="H170"/>
  <c r="F171" s="1"/>
  <c r="G170"/>
  <c r="F170"/>
  <c r="E170"/>
  <c r="D170"/>
  <c r="N169"/>
  <c r="M169"/>
  <c r="N168"/>
  <c r="M168"/>
  <c r="M167"/>
  <c r="N167" s="1"/>
  <c r="M166"/>
  <c r="M170" s="1"/>
  <c r="N165"/>
  <c r="M165"/>
  <c r="N164"/>
  <c r="M164"/>
  <c r="M171" s="1"/>
  <c r="B164"/>
  <c r="P163"/>
  <c r="O163"/>
  <c r="E163"/>
  <c r="D163"/>
  <c r="K162"/>
  <c r="J162"/>
  <c r="I162"/>
  <c r="H162"/>
  <c r="F163" s="1"/>
  <c r="G162"/>
  <c r="F162"/>
  <c r="E162"/>
  <c r="D162"/>
  <c r="M161"/>
  <c r="N161" s="1"/>
  <c r="N160"/>
  <c r="M160"/>
  <c r="N159"/>
  <c r="M159"/>
  <c r="N158"/>
  <c r="N162" s="1"/>
  <c r="M158"/>
  <c r="M162" s="1"/>
  <c r="N157"/>
  <c r="M157"/>
  <c r="M163" s="1"/>
  <c r="N156"/>
  <c r="N163" s="1"/>
  <c r="M156"/>
  <c r="B156"/>
  <c r="P155"/>
  <c r="O155"/>
  <c r="E155"/>
  <c r="D155"/>
  <c r="K154"/>
  <c r="J154"/>
  <c r="I154"/>
  <c r="F155" s="1"/>
  <c r="H154"/>
  <c r="G154"/>
  <c r="F154"/>
  <c r="E154"/>
  <c r="D154"/>
  <c r="N153"/>
  <c r="M153"/>
  <c r="M152"/>
  <c r="N152" s="1"/>
  <c r="M151"/>
  <c r="M154" s="1"/>
  <c r="N150"/>
  <c r="M150"/>
  <c r="N149"/>
  <c r="M149"/>
  <c r="M155" s="1"/>
  <c r="N148"/>
  <c r="M148"/>
  <c r="B148"/>
  <c r="P147"/>
  <c r="O147"/>
  <c r="E147"/>
  <c r="D147"/>
  <c r="K146"/>
  <c r="J146"/>
  <c r="F147" s="1"/>
  <c r="I146"/>
  <c r="H146"/>
  <c r="G146"/>
  <c r="F146"/>
  <c r="E146"/>
  <c r="D146"/>
  <c r="N145"/>
  <c r="M145"/>
  <c r="N144"/>
  <c r="M144"/>
  <c r="N143"/>
  <c r="M143"/>
  <c r="N142"/>
  <c r="M142"/>
  <c r="M146" s="1"/>
  <c r="N141"/>
  <c r="M141"/>
  <c r="M147" s="1"/>
  <c r="M140"/>
  <c r="N140" s="1"/>
  <c r="B140"/>
  <c r="P139"/>
  <c r="O139"/>
  <c r="F139"/>
  <c r="E139"/>
  <c r="D139"/>
  <c r="K138"/>
  <c r="J138"/>
  <c r="I138"/>
  <c r="H138"/>
  <c r="G138"/>
  <c r="F138"/>
  <c r="E138"/>
  <c r="D138"/>
  <c r="M137"/>
  <c r="N137" s="1"/>
  <c r="M136"/>
  <c r="N136" s="1"/>
  <c r="N135"/>
  <c r="M135"/>
  <c r="M138" s="1"/>
  <c r="N134"/>
  <c r="M134"/>
  <c r="M139" s="1"/>
  <c r="N133"/>
  <c r="M133"/>
  <c r="N132"/>
  <c r="M132"/>
  <c r="B132"/>
  <c r="P131"/>
  <c r="O131"/>
  <c r="F131"/>
  <c r="E131"/>
  <c r="D131"/>
  <c r="K130"/>
  <c r="J130"/>
  <c r="I130"/>
  <c r="H130"/>
  <c r="G130"/>
  <c r="F130"/>
  <c r="E130"/>
  <c r="D130"/>
  <c r="N129"/>
  <c r="M129"/>
  <c r="N128"/>
  <c r="M128"/>
  <c r="N127"/>
  <c r="M127"/>
  <c r="N126"/>
  <c r="M126"/>
  <c r="M130" s="1"/>
  <c r="M125"/>
  <c r="N125" s="1"/>
  <c r="M124"/>
  <c r="N124" s="1"/>
  <c r="B124"/>
  <c r="P123"/>
  <c r="O123"/>
  <c r="F123"/>
  <c r="E123"/>
  <c r="D123"/>
  <c r="K122"/>
  <c r="J122"/>
  <c r="I122"/>
  <c r="H122"/>
  <c r="G122"/>
  <c r="F122"/>
  <c r="E122"/>
  <c r="D122"/>
  <c r="M121"/>
  <c r="M123" s="1"/>
  <c r="N120"/>
  <c r="M120"/>
  <c r="N119"/>
  <c r="M119"/>
  <c r="N118"/>
  <c r="M118"/>
  <c r="M122" s="1"/>
  <c r="N117"/>
  <c r="M117"/>
  <c r="N116"/>
  <c r="M116"/>
  <c r="B116"/>
  <c r="P115"/>
  <c r="O115"/>
  <c r="M115"/>
  <c r="F115"/>
  <c r="E115"/>
  <c r="D115"/>
  <c r="K114"/>
  <c r="J114"/>
  <c r="I114"/>
  <c r="H114"/>
  <c r="G114"/>
  <c r="F114"/>
  <c r="E114"/>
  <c r="D114"/>
  <c r="N113"/>
  <c r="M113"/>
  <c r="N112"/>
  <c r="M112"/>
  <c r="N111"/>
  <c r="M111"/>
  <c r="M110"/>
  <c r="N110" s="1"/>
  <c r="M109"/>
  <c r="N109" s="1"/>
  <c r="M108"/>
  <c r="N108" s="1"/>
  <c r="B108"/>
  <c r="P107"/>
  <c r="O107"/>
  <c r="M107"/>
  <c r="E107"/>
  <c r="D107"/>
  <c r="K106"/>
  <c r="J106"/>
  <c r="I106"/>
  <c r="F107" s="1"/>
  <c r="H106"/>
  <c r="G106"/>
  <c r="F106"/>
  <c r="E106"/>
  <c r="D106"/>
  <c r="N105"/>
  <c r="N107" s="1"/>
  <c r="M105"/>
  <c r="N104"/>
  <c r="M104"/>
  <c r="N103"/>
  <c r="M103"/>
  <c r="N102"/>
  <c r="M102"/>
  <c r="N101"/>
  <c r="M101"/>
  <c r="N100"/>
  <c r="N106" s="1"/>
  <c r="M100"/>
  <c r="M106" s="1"/>
  <c r="B100"/>
  <c r="P99"/>
  <c r="O99"/>
  <c r="M99"/>
  <c r="E99"/>
  <c r="D99"/>
  <c r="K98"/>
  <c r="J98"/>
  <c r="I98"/>
  <c r="F99" s="1"/>
  <c r="H98"/>
  <c r="G98"/>
  <c r="F98"/>
  <c r="E98"/>
  <c r="D98"/>
  <c r="N97"/>
  <c r="M97"/>
  <c r="N96"/>
  <c r="M96"/>
  <c r="M95"/>
  <c r="N95" s="1"/>
  <c r="M94"/>
  <c r="N94" s="1"/>
  <c r="M93"/>
  <c r="N93" s="1"/>
  <c r="N92"/>
  <c r="M92"/>
  <c r="M98" s="1"/>
  <c r="B92"/>
  <c r="P91"/>
  <c r="O91"/>
  <c r="E91"/>
  <c r="D91"/>
  <c r="K90"/>
  <c r="J90"/>
  <c r="I90"/>
  <c r="H90"/>
  <c r="G90"/>
  <c r="F90"/>
  <c r="F91" s="1"/>
  <c r="E90"/>
  <c r="D90"/>
  <c r="N89"/>
  <c r="M89"/>
  <c r="M91" s="1"/>
  <c r="N88"/>
  <c r="M88"/>
  <c r="N87"/>
  <c r="M87"/>
  <c r="N86"/>
  <c r="M86"/>
  <c r="N85"/>
  <c r="M85"/>
  <c r="M84"/>
  <c r="M90" s="1"/>
  <c r="B84"/>
  <c r="P83"/>
  <c r="O83"/>
  <c r="E83"/>
  <c r="D83"/>
  <c r="K82"/>
  <c r="J82"/>
  <c r="I82"/>
  <c r="H82"/>
  <c r="G82"/>
  <c r="F82"/>
  <c r="F83" s="1"/>
  <c r="E82"/>
  <c r="D82"/>
  <c r="N81"/>
  <c r="M81"/>
  <c r="M80"/>
  <c r="N80" s="1"/>
  <c r="M79"/>
  <c r="N79" s="1"/>
  <c r="M78"/>
  <c r="N78" s="1"/>
  <c r="N77"/>
  <c r="M77"/>
  <c r="N76"/>
  <c r="M76"/>
  <c r="B76"/>
  <c r="P75"/>
  <c r="O75"/>
  <c r="E75"/>
  <c r="D75"/>
  <c r="K74"/>
  <c r="J74"/>
  <c r="I74"/>
  <c r="H74"/>
  <c r="G74"/>
  <c r="F74"/>
  <c r="F75" s="1"/>
  <c r="E74"/>
  <c r="D74"/>
  <c r="N73"/>
  <c r="M73"/>
  <c r="N72"/>
  <c r="M72"/>
  <c r="N71"/>
  <c r="M71"/>
  <c r="N70"/>
  <c r="M70"/>
  <c r="M69"/>
  <c r="N69" s="1"/>
  <c r="M68"/>
  <c r="M75" s="1"/>
  <c r="B68"/>
  <c r="P67"/>
  <c r="O67"/>
  <c r="E67"/>
  <c r="D67"/>
  <c r="K66"/>
  <c r="J66"/>
  <c r="I66"/>
  <c r="H66"/>
  <c r="G66"/>
  <c r="F66"/>
  <c r="F67" s="1"/>
  <c r="E66"/>
  <c r="D66"/>
  <c r="N65"/>
  <c r="M65"/>
  <c r="M64"/>
  <c r="N64" s="1"/>
  <c r="M63"/>
  <c r="N63" s="1"/>
  <c r="N62"/>
  <c r="M62"/>
  <c r="N61"/>
  <c r="M61"/>
  <c r="N60"/>
  <c r="M60"/>
  <c r="M67" s="1"/>
  <c r="B60"/>
  <c r="P59"/>
  <c r="O59"/>
  <c r="E59"/>
  <c r="D59"/>
  <c r="K58"/>
  <c r="J58"/>
  <c r="I58"/>
  <c r="H58"/>
  <c r="G58"/>
  <c r="F58"/>
  <c r="F59" s="1"/>
  <c r="E58"/>
  <c r="D58"/>
  <c r="N57"/>
  <c r="M57"/>
  <c r="N56"/>
  <c r="M56"/>
  <c r="N55"/>
  <c r="M55"/>
  <c r="M54"/>
  <c r="N54" s="1"/>
  <c r="M53"/>
  <c r="N53" s="1"/>
  <c r="N52"/>
  <c r="M52"/>
  <c r="M59" s="1"/>
  <c r="B52"/>
  <c r="P51"/>
  <c r="O51"/>
  <c r="E51"/>
  <c r="D51"/>
  <c r="K50"/>
  <c r="J50"/>
  <c r="I50"/>
  <c r="H50"/>
  <c r="F51" s="1"/>
  <c r="G50"/>
  <c r="F50"/>
  <c r="E50"/>
  <c r="D50"/>
  <c r="M49"/>
  <c r="N49" s="1"/>
  <c r="M48"/>
  <c r="N48" s="1"/>
  <c r="N47"/>
  <c r="M47"/>
  <c r="N46"/>
  <c r="M46"/>
  <c r="N45"/>
  <c r="M45"/>
  <c r="N44"/>
  <c r="M44"/>
  <c r="M51" s="1"/>
  <c r="B44"/>
  <c r="P43"/>
  <c r="O43"/>
  <c r="E43"/>
  <c r="D43"/>
  <c r="M42"/>
  <c r="K42"/>
  <c r="J42"/>
  <c r="I42"/>
  <c r="H42"/>
  <c r="F43" s="1"/>
  <c r="G42"/>
  <c r="F42"/>
  <c r="E42"/>
  <c r="D42"/>
  <c r="N41"/>
  <c r="M41"/>
  <c r="N40"/>
  <c r="M40"/>
  <c r="M39"/>
  <c r="N39" s="1"/>
  <c r="M38"/>
  <c r="N38" s="1"/>
  <c r="N37"/>
  <c r="M37"/>
  <c r="N36"/>
  <c r="M36"/>
  <c r="M43" s="1"/>
  <c r="B36"/>
  <c r="P35"/>
  <c r="O35"/>
  <c r="E35"/>
  <c r="D35"/>
  <c r="K34"/>
  <c r="J34"/>
  <c r="I34"/>
  <c r="H34"/>
  <c r="F35" s="1"/>
  <c r="G34"/>
  <c r="F34"/>
  <c r="E34"/>
  <c r="D34"/>
  <c r="M33"/>
  <c r="N33" s="1"/>
  <c r="N32"/>
  <c r="M32"/>
  <c r="N31"/>
  <c r="M31"/>
  <c r="N30"/>
  <c r="M30"/>
  <c r="M34" s="1"/>
  <c r="N29"/>
  <c r="M29"/>
  <c r="M35" s="1"/>
  <c r="N28"/>
  <c r="N35" s="1"/>
  <c r="M28"/>
  <c r="B28"/>
  <c r="P27"/>
  <c r="O27"/>
  <c r="E27"/>
  <c r="D27"/>
  <c r="K26"/>
  <c r="J26"/>
  <c r="I26"/>
  <c r="F27" s="1"/>
  <c r="H26"/>
  <c r="G26"/>
  <c r="F26"/>
  <c r="E26"/>
  <c r="D26"/>
  <c r="N25"/>
  <c r="M25"/>
  <c r="M24"/>
  <c r="N24" s="1"/>
  <c r="M23"/>
  <c r="M26" s="1"/>
  <c r="N22"/>
  <c r="M22"/>
  <c r="N21"/>
  <c r="M21"/>
  <c r="M27" s="1"/>
  <c r="N20"/>
  <c r="M20"/>
  <c r="B20"/>
  <c r="P19"/>
  <c r="O19"/>
  <c r="E19"/>
  <c r="D19"/>
  <c r="K18"/>
  <c r="J18"/>
  <c r="F19" s="1"/>
  <c r="I18"/>
  <c r="H18"/>
  <c r="G18"/>
  <c r="F18"/>
  <c r="E18"/>
  <c r="D18"/>
  <c r="N17"/>
  <c r="M17"/>
  <c r="N16"/>
  <c r="M16"/>
  <c r="N15"/>
  <c r="M15"/>
  <c r="M18" s="1"/>
  <c r="N14"/>
  <c r="N18" s="1"/>
  <c r="M14"/>
  <c r="N13"/>
  <c r="N19" s="1"/>
  <c r="M13"/>
  <c r="M19" s="1"/>
  <c r="N12"/>
  <c r="M12"/>
  <c r="B12"/>
  <c r="P11"/>
  <c r="O11"/>
  <c r="F11"/>
  <c r="E11"/>
  <c r="D11"/>
  <c r="K10"/>
  <c r="J10"/>
  <c r="I10"/>
  <c r="H10"/>
  <c r="G10"/>
  <c r="F10"/>
  <c r="E10"/>
  <c r="D10"/>
  <c r="M9"/>
  <c r="N9" s="1"/>
  <c r="M8"/>
  <c r="N8" s="1"/>
  <c r="N7"/>
  <c r="M7"/>
  <c r="M10" s="1"/>
  <c r="N6"/>
  <c r="M6"/>
  <c r="M5"/>
  <c r="N5" s="1"/>
  <c r="N4"/>
  <c r="M4"/>
  <c r="B4"/>
  <c r="P251" i="19"/>
  <c r="P243"/>
  <c r="P235"/>
  <c r="P227"/>
  <c r="P219"/>
  <c r="P211"/>
  <c r="P203"/>
  <c r="P195"/>
  <c r="P187"/>
  <c r="P179"/>
  <c r="P171"/>
  <c r="P163"/>
  <c r="P155"/>
  <c r="P147"/>
  <c r="P139"/>
  <c r="P131"/>
  <c r="P123"/>
  <c r="P115"/>
  <c r="P107"/>
  <c r="P99"/>
  <c r="P91"/>
  <c r="P83"/>
  <c r="P75"/>
  <c r="P67"/>
  <c r="P59"/>
  <c r="P51"/>
  <c r="P43"/>
  <c r="P35"/>
  <c r="P27"/>
  <c r="P19"/>
  <c r="P11"/>
  <c r="O251"/>
  <c r="O243"/>
  <c r="O235"/>
  <c r="O227"/>
  <c r="O219"/>
  <c r="O211"/>
  <c r="O203"/>
  <c r="O195"/>
  <c r="O187"/>
  <c r="O179"/>
  <c r="O171"/>
  <c r="O163"/>
  <c r="O155"/>
  <c r="O147"/>
  <c r="O139"/>
  <c r="O131"/>
  <c r="O123"/>
  <c r="O115"/>
  <c r="O107"/>
  <c r="O99"/>
  <c r="O91"/>
  <c r="O83"/>
  <c r="O75"/>
  <c r="O67"/>
  <c r="O59"/>
  <c r="O51"/>
  <c r="O43"/>
  <c r="O35"/>
  <c r="O27"/>
  <c r="O11"/>
  <c r="O19"/>
  <c r="AF123" i="10"/>
  <c r="AE123"/>
  <c r="AD123"/>
  <c r="AC123"/>
  <c r="AB123"/>
  <c r="AA123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A123"/>
  <c r="C7" i="1"/>
  <c r="L253" i="43" l="1"/>
  <c r="L254" s="1"/>
  <c r="V12" i="47" s="1"/>
  <c r="L253" i="37"/>
  <c r="L254" s="1"/>
  <c r="V6" i="42" s="1"/>
  <c r="V7" i="40"/>
  <c r="V7" i="42"/>
  <c r="V7" i="48"/>
  <c r="V7" i="44"/>
  <c r="V7" i="39"/>
  <c r="V7" i="41"/>
  <c r="V7" i="46"/>
  <c r="V7" i="47"/>
  <c r="V7" i="45"/>
  <c r="V7" i="38"/>
  <c r="V7" i="43"/>
  <c r="V13" i="47"/>
  <c r="V13" i="45"/>
  <c r="V13" i="46"/>
  <c r="V13" i="48"/>
  <c r="V11" i="47"/>
  <c r="V11" i="46"/>
  <c r="V11" i="43"/>
  <c r="V11" i="48"/>
  <c r="V11" i="45"/>
  <c r="V11" i="44"/>
  <c r="V8" i="43"/>
  <c r="V8" i="40"/>
  <c r="V8" i="45"/>
  <c r="V8" i="48"/>
  <c r="V8" i="39"/>
  <c r="V8" i="44"/>
  <c r="V8" i="41"/>
  <c r="V8" i="42"/>
  <c r="V8" i="46"/>
  <c r="V8" i="47"/>
  <c r="V14" i="46"/>
  <c r="V14" i="47"/>
  <c r="V14" i="48"/>
  <c r="V9"/>
  <c r="V9" i="42"/>
  <c r="V9" i="46"/>
  <c r="V9" i="44"/>
  <c r="V9" i="43"/>
  <c r="V9" i="40"/>
  <c r="V9" i="45"/>
  <c r="V9" i="47"/>
  <c r="V9" i="41"/>
  <c r="V10" i="46"/>
  <c r="V10" i="42"/>
  <c r="V10" i="43"/>
  <c r="V10" i="48"/>
  <c r="V10" i="45"/>
  <c r="V10" i="47"/>
  <c r="V10" i="44"/>
  <c r="V15" i="48"/>
  <c r="V6" i="47"/>
  <c r="N26" i="48"/>
  <c r="N43"/>
  <c r="N250"/>
  <c r="N242"/>
  <c r="N243"/>
  <c r="N10"/>
  <c r="N11"/>
  <c r="F254"/>
  <c r="N75"/>
  <c r="N179"/>
  <c r="N195"/>
  <c r="N35"/>
  <c r="N51"/>
  <c r="N19"/>
  <c r="N18"/>
  <c r="N67"/>
  <c r="N138"/>
  <c r="N170"/>
  <c r="N99"/>
  <c r="N171"/>
  <c r="N114"/>
  <c r="N115"/>
  <c r="N98"/>
  <c r="N139"/>
  <c r="M26"/>
  <c r="M107"/>
  <c r="N74"/>
  <c r="M82"/>
  <c r="N202"/>
  <c r="M210"/>
  <c r="N66"/>
  <c r="M74"/>
  <c r="N194"/>
  <c r="M202"/>
  <c r="M66"/>
  <c r="N84"/>
  <c r="M194"/>
  <c r="M11"/>
  <c r="N46"/>
  <c r="N50"/>
  <c r="M58"/>
  <c r="N76"/>
  <c r="N129"/>
  <c r="N130" s="1"/>
  <c r="N131"/>
  <c r="M139"/>
  <c r="N174"/>
  <c r="N178" s="1"/>
  <c r="M186"/>
  <c r="N204"/>
  <c r="N34"/>
  <c r="M42"/>
  <c r="N162"/>
  <c r="M170"/>
  <c r="N52"/>
  <c r="N107"/>
  <c r="M115"/>
  <c r="N150"/>
  <c r="N154" s="1"/>
  <c r="N180"/>
  <c r="N233"/>
  <c r="N234" s="1"/>
  <c r="N235"/>
  <c r="M243"/>
  <c r="I253"/>
  <c r="M114"/>
  <c r="M242"/>
  <c r="M253" s="1"/>
  <c r="N138" i="47"/>
  <c r="N131"/>
  <c r="N203"/>
  <c r="N218"/>
  <c r="N219"/>
  <c r="N59"/>
  <c r="N91"/>
  <c r="N90"/>
  <c r="N115"/>
  <c r="N114"/>
  <c r="N146"/>
  <c r="N34"/>
  <c r="N163"/>
  <c r="N250"/>
  <c r="N251"/>
  <c r="N162"/>
  <c r="N195"/>
  <c r="N98"/>
  <c r="N147"/>
  <c r="F254"/>
  <c r="N18"/>
  <c r="N51"/>
  <c r="N67"/>
  <c r="N242"/>
  <c r="N243"/>
  <c r="N35"/>
  <c r="N227"/>
  <c r="N19"/>
  <c r="N130"/>
  <c r="N226"/>
  <c r="N154"/>
  <c r="N74"/>
  <c r="M82"/>
  <c r="N202"/>
  <c r="M210"/>
  <c r="N66"/>
  <c r="M74"/>
  <c r="N194"/>
  <c r="M202"/>
  <c r="N58"/>
  <c r="M66"/>
  <c r="N186"/>
  <c r="M194"/>
  <c r="N50"/>
  <c r="M58"/>
  <c r="M253" s="1"/>
  <c r="N76"/>
  <c r="N174"/>
  <c r="N178" s="1"/>
  <c r="M186"/>
  <c r="N204"/>
  <c r="M114"/>
  <c r="M242"/>
  <c r="M98"/>
  <c r="M226"/>
  <c r="N242" i="46"/>
  <c r="N243"/>
  <c r="N26"/>
  <c r="N27"/>
  <c r="N114"/>
  <c r="N115"/>
  <c r="N66"/>
  <c r="N98"/>
  <c r="N226"/>
  <c r="N154"/>
  <c r="N155"/>
  <c r="N51"/>
  <c r="N202"/>
  <c r="N234"/>
  <c r="N35"/>
  <c r="N34"/>
  <c r="N19"/>
  <c r="N106"/>
  <c r="N146"/>
  <c r="N147"/>
  <c r="N163"/>
  <c r="N162"/>
  <c r="N18"/>
  <c r="N75"/>
  <c r="N90"/>
  <c r="N218"/>
  <c r="N203"/>
  <c r="N10"/>
  <c r="N11"/>
  <c r="N138"/>
  <c r="N139"/>
  <c r="N195"/>
  <c r="N179"/>
  <c r="N58"/>
  <c r="M66"/>
  <c r="N186"/>
  <c r="M194"/>
  <c r="M11"/>
  <c r="N46"/>
  <c r="N50" s="1"/>
  <c r="M58"/>
  <c r="N76"/>
  <c r="M139"/>
  <c r="N174"/>
  <c r="N178" s="1"/>
  <c r="M186"/>
  <c r="N204"/>
  <c r="M35"/>
  <c r="N107"/>
  <c r="M115"/>
  <c r="M26"/>
  <c r="N99"/>
  <c r="F251"/>
  <c r="F254" s="1"/>
  <c r="M18"/>
  <c r="N91"/>
  <c r="M99"/>
  <c r="M146"/>
  <c r="N219"/>
  <c r="M227"/>
  <c r="M107"/>
  <c r="N227"/>
  <c r="M235"/>
  <c r="M10"/>
  <c r="M91"/>
  <c r="N126"/>
  <c r="N131" s="1"/>
  <c r="M138"/>
  <c r="M219"/>
  <c r="N118"/>
  <c r="N246"/>
  <c r="N235"/>
  <c r="M114"/>
  <c r="M242"/>
  <c r="M253" s="1"/>
  <c r="M82"/>
  <c r="M243"/>
  <c r="M163"/>
  <c r="M210"/>
  <c r="N10" i="45"/>
  <c r="N11"/>
  <c r="N242"/>
  <c r="N243"/>
  <c r="N138"/>
  <c r="N139"/>
  <c r="N226"/>
  <c r="N179"/>
  <c r="N91"/>
  <c r="N107"/>
  <c r="N106"/>
  <c r="N123"/>
  <c r="N26"/>
  <c r="N90"/>
  <c r="N59"/>
  <c r="N219"/>
  <c r="N251"/>
  <c r="N43"/>
  <c r="N234"/>
  <c r="N187"/>
  <c r="N218"/>
  <c r="F254"/>
  <c r="N171"/>
  <c r="N82"/>
  <c r="N115"/>
  <c r="N114"/>
  <c r="M11"/>
  <c r="N50"/>
  <c r="M58"/>
  <c r="M139"/>
  <c r="N178"/>
  <c r="M186"/>
  <c r="N27"/>
  <c r="M35"/>
  <c r="M82"/>
  <c r="M163"/>
  <c r="M210"/>
  <c r="N19"/>
  <c r="M27"/>
  <c r="N66"/>
  <c r="M74"/>
  <c r="N147"/>
  <c r="M155"/>
  <c r="N194"/>
  <c r="M202"/>
  <c r="M19"/>
  <c r="N58"/>
  <c r="M66"/>
  <c r="M147"/>
  <c r="N186"/>
  <c r="M194"/>
  <c r="N38"/>
  <c r="N42"/>
  <c r="M50"/>
  <c r="N68"/>
  <c r="N166"/>
  <c r="N170" s="1"/>
  <c r="M178"/>
  <c r="N196"/>
  <c r="N249"/>
  <c r="N250" s="1"/>
  <c r="N83"/>
  <c r="M122"/>
  <c r="M250"/>
  <c r="M253" s="1"/>
  <c r="M99"/>
  <c r="M227"/>
  <c r="M91"/>
  <c r="N211"/>
  <c r="M219"/>
  <c r="M114"/>
  <c r="M242"/>
  <c r="H253"/>
  <c r="N82" i="44"/>
  <c r="N83"/>
  <c r="N10"/>
  <c r="N11"/>
  <c r="N243"/>
  <c r="N242"/>
  <c r="N19"/>
  <c r="N34"/>
  <c r="N163"/>
  <c r="N18"/>
  <c r="N227"/>
  <c r="N250"/>
  <c r="N26"/>
  <c r="N138"/>
  <c r="N115"/>
  <c r="N114"/>
  <c r="N211"/>
  <c r="N154"/>
  <c r="N171"/>
  <c r="N59"/>
  <c r="N210"/>
  <c r="N139"/>
  <c r="N195"/>
  <c r="N98"/>
  <c r="N162"/>
  <c r="N179"/>
  <c r="M27"/>
  <c r="M155"/>
  <c r="N194"/>
  <c r="M202"/>
  <c r="N186"/>
  <c r="M194"/>
  <c r="M11"/>
  <c r="N50"/>
  <c r="M58"/>
  <c r="M253" s="1"/>
  <c r="N131"/>
  <c r="M139"/>
  <c r="N178"/>
  <c r="M186"/>
  <c r="N66"/>
  <c r="M74"/>
  <c r="N58"/>
  <c r="M66"/>
  <c r="N38"/>
  <c r="N42" s="1"/>
  <c r="M50"/>
  <c r="N68"/>
  <c r="N121"/>
  <c r="N122" s="1"/>
  <c r="M131"/>
  <c r="N166"/>
  <c r="N170" s="1"/>
  <c r="M178"/>
  <c r="N196"/>
  <c r="N249"/>
  <c r="N251" s="1"/>
  <c r="M35"/>
  <c r="M82"/>
  <c r="N107"/>
  <c r="M115"/>
  <c r="N99"/>
  <c r="M107"/>
  <c r="N219"/>
  <c r="M227"/>
  <c r="M114"/>
  <c r="N234"/>
  <c r="M242"/>
  <c r="N226"/>
  <c r="M234"/>
  <c r="M243"/>
  <c r="F251"/>
  <c r="F254" s="1"/>
  <c r="N91"/>
  <c r="M99"/>
  <c r="N58" i="43"/>
  <c r="N163"/>
  <c r="N59"/>
  <c r="N187"/>
  <c r="N243"/>
  <c r="N242"/>
  <c r="N34"/>
  <c r="N51"/>
  <c r="N114"/>
  <c r="N115"/>
  <c r="N82"/>
  <c r="N138"/>
  <c r="N162"/>
  <c r="N179"/>
  <c r="N26"/>
  <c r="N27"/>
  <c r="N10"/>
  <c r="N11"/>
  <c r="N43"/>
  <c r="N98"/>
  <c r="N130"/>
  <c r="N131"/>
  <c r="N154"/>
  <c r="N171"/>
  <c r="N35"/>
  <c r="M11"/>
  <c r="N50"/>
  <c r="M58"/>
  <c r="N178"/>
  <c r="M186"/>
  <c r="N38"/>
  <c r="N42" s="1"/>
  <c r="M50"/>
  <c r="N68"/>
  <c r="N121"/>
  <c r="N122" s="1"/>
  <c r="N166"/>
  <c r="N170" s="1"/>
  <c r="M178"/>
  <c r="N196"/>
  <c r="N251"/>
  <c r="M82"/>
  <c r="M243"/>
  <c r="N91"/>
  <c r="N219"/>
  <c r="M227"/>
  <c r="N83"/>
  <c r="M91"/>
  <c r="N211"/>
  <c r="M219"/>
  <c r="N107"/>
  <c r="N99"/>
  <c r="N227"/>
  <c r="M35"/>
  <c r="M163"/>
  <c r="M210"/>
  <c r="M253" s="1"/>
  <c r="F251"/>
  <c r="F254" s="1"/>
  <c r="M114"/>
  <c r="N234"/>
  <c r="M242"/>
  <c r="M235"/>
  <c r="M106"/>
  <c r="M98"/>
  <c r="M115"/>
  <c r="N27" i="42"/>
  <c r="N26"/>
  <c r="N50"/>
  <c r="N194"/>
  <c r="N226"/>
  <c r="N210"/>
  <c r="N106"/>
  <c r="N250"/>
  <c r="N253" s="1"/>
  <c r="N51"/>
  <c r="N178"/>
  <c r="N195"/>
  <c r="N34"/>
  <c r="N90"/>
  <c r="N122"/>
  <c r="N179"/>
  <c r="N10"/>
  <c r="N75"/>
  <c r="N202"/>
  <c r="N234"/>
  <c r="N35"/>
  <c r="N218"/>
  <c r="N243"/>
  <c r="N242"/>
  <c r="N155"/>
  <c r="N154"/>
  <c r="N162"/>
  <c r="N114"/>
  <c r="N115"/>
  <c r="N138"/>
  <c r="N203"/>
  <c r="N107"/>
  <c r="M115"/>
  <c r="N235"/>
  <c r="M243"/>
  <c r="M26"/>
  <c r="N99"/>
  <c r="M107"/>
  <c r="N227"/>
  <c r="N83"/>
  <c r="M91"/>
  <c r="N211"/>
  <c r="M219"/>
  <c r="M82"/>
  <c r="M154"/>
  <c r="M235"/>
  <c r="F251"/>
  <c r="F254" s="1"/>
  <c r="N91"/>
  <c r="M99"/>
  <c r="N219"/>
  <c r="M227"/>
  <c r="N118"/>
  <c r="N123" s="1"/>
  <c r="N246"/>
  <c r="N251" s="1"/>
  <c r="M35"/>
  <c r="M242"/>
  <c r="M253" s="1"/>
  <c r="M210"/>
  <c r="M114"/>
  <c r="N27" i="41"/>
  <c r="N26"/>
  <c r="N243"/>
  <c r="N242"/>
  <c r="N51"/>
  <c r="N98"/>
  <c r="N195"/>
  <c r="N114"/>
  <c r="N115"/>
  <c r="N35"/>
  <c r="N34"/>
  <c r="N75"/>
  <c r="N234"/>
  <c r="N130"/>
  <c r="N131"/>
  <c r="N250"/>
  <c r="N90"/>
  <c r="N163"/>
  <c r="N19"/>
  <c r="N18"/>
  <c r="N66"/>
  <c r="N106"/>
  <c r="N122"/>
  <c r="N50"/>
  <c r="N194"/>
  <c r="N227"/>
  <c r="M235"/>
  <c r="F251"/>
  <c r="F254" s="1"/>
  <c r="M18"/>
  <c r="N91"/>
  <c r="M99"/>
  <c r="N219"/>
  <c r="M227"/>
  <c r="N107"/>
  <c r="M115"/>
  <c r="N235"/>
  <c r="N99"/>
  <c r="N83"/>
  <c r="M91"/>
  <c r="N211"/>
  <c r="M219"/>
  <c r="M243"/>
  <c r="M130"/>
  <c r="M82"/>
  <c r="M210"/>
  <c r="M107"/>
  <c r="M122"/>
  <c r="M114"/>
  <c r="M242"/>
  <c r="M253" s="1"/>
  <c r="N210" i="40"/>
  <c r="N211"/>
  <c r="N195"/>
  <c r="N251"/>
  <c r="N27"/>
  <c r="N26"/>
  <c r="N147"/>
  <c r="N146"/>
  <c r="N163"/>
  <c r="N162"/>
  <c r="N250"/>
  <c r="N106"/>
  <c r="N90"/>
  <c r="N59"/>
  <c r="N35"/>
  <c r="N34"/>
  <c r="N19"/>
  <c r="N18"/>
  <c r="N122"/>
  <c r="N154"/>
  <c r="N242"/>
  <c r="N243"/>
  <c r="N82"/>
  <c r="N83"/>
  <c r="N114"/>
  <c r="N115"/>
  <c r="M253"/>
  <c r="N66"/>
  <c r="N98"/>
  <c r="M11"/>
  <c r="N50"/>
  <c r="M58"/>
  <c r="M139"/>
  <c r="N178"/>
  <c r="M186"/>
  <c r="N38"/>
  <c r="N42" s="1"/>
  <c r="M50"/>
  <c r="N68"/>
  <c r="M131"/>
  <c r="N166"/>
  <c r="N170" s="1"/>
  <c r="M178"/>
  <c r="N196"/>
  <c r="N249"/>
  <c r="N107"/>
  <c r="M115"/>
  <c r="M243"/>
  <c r="N99"/>
  <c r="M107"/>
  <c r="N227"/>
  <c r="M235"/>
  <c r="M18"/>
  <c r="N91"/>
  <c r="M99"/>
  <c r="M146"/>
  <c r="N219"/>
  <c r="M227"/>
  <c r="N235"/>
  <c r="F251"/>
  <c r="F254" s="1"/>
  <c r="N126"/>
  <c r="N130" s="1"/>
  <c r="M114"/>
  <c r="M242"/>
  <c r="N243" i="39"/>
  <c r="N242"/>
  <c r="N26"/>
  <c r="N59"/>
  <c r="N122"/>
  <c r="N43"/>
  <c r="N138"/>
  <c r="N139"/>
  <c r="N114"/>
  <c r="N115"/>
  <c r="N187"/>
  <c r="N82"/>
  <c r="N51"/>
  <c r="N10"/>
  <c r="N11"/>
  <c r="N83"/>
  <c r="N250"/>
  <c r="N99"/>
  <c r="N131"/>
  <c r="N154"/>
  <c r="N35"/>
  <c r="N234"/>
  <c r="N91"/>
  <c r="N162"/>
  <c r="N211"/>
  <c r="M35"/>
  <c r="M82"/>
  <c r="M163"/>
  <c r="M210"/>
  <c r="M155"/>
  <c r="N58"/>
  <c r="M11"/>
  <c r="N50"/>
  <c r="M58"/>
  <c r="M139"/>
  <c r="N178"/>
  <c r="M186"/>
  <c r="M27"/>
  <c r="N66"/>
  <c r="M74"/>
  <c r="N194"/>
  <c r="M202"/>
  <c r="M19"/>
  <c r="M66"/>
  <c r="N186"/>
  <c r="M194"/>
  <c r="N38"/>
  <c r="N42" s="1"/>
  <c r="M50"/>
  <c r="N68"/>
  <c r="N123"/>
  <c r="M131"/>
  <c r="N166"/>
  <c r="N171" s="1"/>
  <c r="N170"/>
  <c r="M178"/>
  <c r="N196"/>
  <c r="N249"/>
  <c r="N251" s="1"/>
  <c r="N107"/>
  <c r="N235"/>
  <c r="N227"/>
  <c r="M235"/>
  <c r="F251"/>
  <c r="F254" s="1"/>
  <c r="M227"/>
  <c r="M99"/>
  <c r="M122"/>
  <c r="M250"/>
  <c r="M114"/>
  <c r="M242"/>
  <c r="N98"/>
  <c r="M106"/>
  <c r="M243"/>
  <c r="M115"/>
  <c r="N243" i="38"/>
  <c r="N242"/>
  <c r="N122"/>
  <c r="N123"/>
  <c r="N162"/>
  <c r="N59"/>
  <c r="N106"/>
  <c r="N250"/>
  <c r="N251"/>
  <c r="N26"/>
  <c r="N66"/>
  <c r="N163"/>
  <c r="N187"/>
  <c r="N83"/>
  <c r="N138"/>
  <c r="N139"/>
  <c r="N147"/>
  <c r="N146"/>
  <c r="N67"/>
  <c r="N98"/>
  <c r="N114"/>
  <c r="N115"/>
  <c r="N34"/>
  <c r="N51"/>
  <c r="N82"/>
  <c r="N131"/>
  <c r="N90"/>
  <c r="N154"/>
  <c r="N194"/>
  <c r="N19"/>
  <c r="N18"/>
  <c r="N10"/>
  <c r="N11"/>
  <c r="N58"/>
  <c r="M66"/>
  <c r="N186"/>
  <c r="M194"/>
  <c r="M11"/>
  <c r="N50"/>
  <c r="M58"/>
  <c r="M139"/>
  <c r="N178"/>
  <c r="M186"/>
  <c r="N38"/>
  <c r="N42" s="1"/>
  <c r="M50"/>
  <c r="N68"/>
  <c r="N121"/>
  <c r="N151"/>
  <c r="N155" s="1"/>
  <c r="N166"/>
  <c r="N171" s="1"/>
  <c r="M178"/>
  <c r="N196"/>
  <c r="M82"/>
  <c r="F251"/>
  <c r="F254" s="1"/>
  <c r="N219"/>
  <c r="M130"/>
  <c r="N107"/>
  <c r="M115"/>
  <c r="N99"/>
  <c r="M99"/>
  <c r="M122"/>
  <c r="M250"/>
  <c r="M107"/>
  <c r="N227"/>
  <c r="N91"/>
  <c r="M227"/>
  <c r="M114"/>
  <c r="M242"/>
  <c r="N228"/>
  <c r="M243"/>
  <c r="M234"/>
  <c r="N242" i="37"/>
  <c r="N243"/>
  <c r="N211"/>
  <c r="N250"/>
  <c r="N130"/>
  <c r="N131"/>
  <c r="F254"/>
  <c r="N251"/>
  <c r="N146"/>
  <c r="N147"/>
  <c r="T139"/>
  <c r="T11"/>
  <c r="T75"/>
  <c r="T147"/>
  <c r="T19"/>
  <c r="T179"/>
  <c r="T203"/>
  <c r="T155"/>
  <c r="T27"/>
  <c r="T51"/>
  <c r="T59"/>
  <c r="T67"/>
  <c r="T211"/>
  <c r="T219"/>
  <c r="T163"/>
  <c r="T35"/>
  <c r="T171"/>
  <c r="T43"/>
  <c r="T187"/>
  <c r="T195"/>
  <c r="T83"/>
  <c r="T91"/>
  <c r="T227"/>
  <c r="T99"/>
  <c r="T235"/>
  <c r="T107"/>
  <c r="T243"/>
  <c r="T115"/>
  <c r="T251"/>
  <c r="T123"/>
  <c r="T131"/>
  <c r="N26"/>
  <c r="N210"/>
  <c r="N226"/>
  <c r="N10"/>
  <c r="N11"/>
  <c r="N83"/>
  <c r="N138"/>
  <c r="N155"/>
  <c r="N114"/>
  <c r="N115"/>
  <c r="N43"/>
  <c r="N34"/>
  <c r="N171"/>
  <c r="N187"/>
  <c r="N195"/>
  <c r="N99"/>
  <c r="N139"/>
  <c r="N59"/>
  <c r="N51"/>
  <c r="N67"/>
  <c r="N82"/>
  <c r="N98"/>
  <c r="N122"/>
  <c r="M82"/>
  <c r="M210"/>
  <c r="N66"/>
  <c r="M74"/>
  <c r="N194"/>
  <c r="M202"/>
  <c r="N58"/>
  <c r="M66"/>
  <c r="N84"/>
  <c r="N186"/>
  <c r="M194"/>
  <c r="N212"/>
  <c r="M11"/>
  <c r="N50"/>
  <c r="M58"/>
  <c r="N178"/>
  <c r="M186"/>
  <c r="N23"/>
  <c r="N27" s="1"/>
  <c r="N42"/>
  <c r="M50"/>
  <c r="N68"/>
  <c r="N121"/>
  <c r="N123"/>
  <c r="M131"/>
  <c r="N151"/>
  <c r="N154" s="1"/>
  <c r="N166"/>
  <c r="N170"/>
  <c r="M178"/>
  <c r="N196"/>
  <c r="M114"/>
  <c r="M242"/>
  <c r="M253" s="1"/>
  <c r="M83"/>
  <c r="M211"/>
  <c r="P253" i="19"/>
  <c r="O253"/>
  <c r="F26" i="1"/>
  <c r="F25"/>
  <c r="E26"/>
  <c r="E25"/>
  <c r="E19" i="19"/>
  <c r="E11"/>
  <c r="L253"/>
  <c r="E18"/>
  <c r="E10"/>
  <c r="M9"/>
  <c r="N9" s="1"/>
  <c r="AF143" i="10"/>
  <c r="AE143"/>
  <c r="AD143"/>
  <c r="AC143"/>
  <c r="AB143"/>
  <c r="AA143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V12" i="45" l="1"/>
  <c r="V12" i="44"/>
  <c r="V12" i="48"/>
  <c r="V12" i="46"/>
  <c r="V6" i="43"/>
  <c r="V3" s="1"/>
  <c r="T139" s="1"/>
  <c r="V6" i="39"/>
  <c r="V3" s="1"/>
  <c r="T131" s="1"/>
  <c r="V6" i="40"/>
  <c r="V3" s="1"/>
  <c r="V6" i="41"/>
  <c r="V3" s="1"/>
  <c r="V6" i="46"/>
  <c r="V3" s="1"/>
  <c r="V6" i="38"/>
  <c r="V3" s="1"/>
  <c r="T107" s="1"/>
  <c r="V6" i="44"/>
  <c r="V6" i="37"/>
  <c r="V6" i="45"/>
  <c r="V6" i="48"/>
  <c r="V3" i="42"/>
  <c r="T139" s="1"/>
  <c r="V3" i="47"/>
  <c r="T163" s="1"/>
  <c r="T171" i="38"/>
  <c r="T147"/>
  <c r="T51"/>
  <c r="T131" i="42"/>
  <c r="N187" i="48"/>
  <c r="N186"/>
  <c r="N82"/>
  <c r="N83"/>
  <c r="N155"/>
  <c r="N210"/>
  <c r="N253" s="1"/>
  <c r="N211"/>
  <c r="N90"/>
  <c r="N91"/>
  <c r="N59"/>
  <c r="N58"/>
  <c r="N82" i="47"/>
  <c r="N83"/>
  <c r="N179"/>
  <c r="N210"/>
  <c r="N253" s="1"/>
  <c r="N211"/>
  <c r="N123" i="46"/>
  <c r="N122"/>
  <c r="N130"/>
  <c r="N210"/>
  <c r="N211"/>
  <c r="N250"/>
  <c r="N251"/>
  <c r="N82"/>
  <c r="N83"/>
  <c r="N253" i="45"/>
  <c r="N203"/>
  <c r="N202"/>
  <c r="N75"/>
  <c r="N74"/>
  <c r="N123" i="44"/>
  <c r="N202"/>
  <c r="N253" s="1"/>
  <c r="N203"/>
  <c r="N43"/>
  <c r="N74"/>
  <c r="N75"/>
  <c r="N123" i="43"/>
  <c r="N74"/>
  <c r="N75"/>
  <c r="N203"/>
  <c r="N202"/>
  <c r="N253" i="41"/>
  <c r="N75" i="40"/>
  <c r="N74"/>
  <c r="N253" s="1"/>
  <c r="N171"/>
  <c r="N203"/>
  <c r="N202"/>
  <c r="N131"/>
  <c r="N43"/>
  <c r="N253" i="39"/>
  <c r="N75"/>
  <c r="N74"/>
  <c r="N203"/>
  <c r="N202"/>
  <c r="M253"/>
  <c r="N202" i="38"/>
  <c r="N253" s="1"/>
  <c r="N203"/>
  <c r="N170"/>
  <c r="N43"/>
  <c r="M253"/>
  <c r="N74"/>
  <c r="N75"/>
  <c r="N235"/>
  <c r="N234"/>
  <c r="N90" i="37"/>
  <c r="N91"/>
  <c r="N218"/>
  <c r="N253" s="1"/>
  <c r="N219"/>
  <c r="N203"/>
  <c r="N202"/>
  <c r="N75"/>
  <c r="N74"/>
  <c r="E29" i="1"/>
  <c r="E31"/>
  <c r="E33"/>
  <c r="E28"/>
  <c r="F24"/>
  <c r="F29"/>
  <c r="F31"/>
  <c r="F33"/>
  <c r="E24"/>
  <c r="E30"/>
  <c r="E32"/>
  <c r="F23"/>
  <c r="F28"/>
  <c r="F30"/>
  <c r="F32"/>
  <c r="V7"/>
  <c r="E23"/>
  <c r="D11" i="31"/>
  <c r="D1"/>
  <c r="V3" i="44" l="1"/>
  <c r="T43" s="1"/>
  <c r="V3" i="45"/>
  <c r="T51" s="1"/>
  <c r="V3" i="48"/>
  <c r="T107" s="1"/>
  <c r="T27" i="42"/>
  <c r="T187"/>
  <c r="T35" i="43"/>
  <c r="T59" i="42"/>
  <c r="T91" i="39"/>
  <c r="T235" i="43"/>
  <c r="T155" i="39"/>
  <c r="T51" i="47"/>
  <c r="T211" i="41"/>
  <c r="T203"/>
  <c r="T27"/>
  <c r="T107"/>
  <c r="T195"/>
  <c r="T35"/>
  <c r="T51"/>
  <c r="T43"/>
  <c r="T155"/>
  <c r="T227"/>
  <c r="T163"/>
  <c r="T139"/>
  <c r="T99"/>
  <c r="T75"/>
  <c r="T171"/>
  <c r="T251"/>
  <c r="T115"/>
  <c r="T59"/>
  <c r="T147"/>
  <c r="T67"/>
  <c r="T43" i="40"/>
  <c r="T35"/>
  <c r="T67"/>
  <c r="T147"/>
  <c r="T155"/>
  <c r="T203"/>
  <c r="T243"/>
  <c r="T19"/>
  <c r="T51"/>
  <c r="T139"/>
  <c r="T179"/>
  <c r="T75"/>
  <c r="T139" i="46"/>
  <c r="T203"/>
  <c r="T11"/>
  <c r="T99"/>
  <c r="T219"/>
  <c r="T83"/>
  <c r="T147"/>
  <c r="T187"/>
  <c r="T59"/>
  <c r="T75"/>
  <c r="T27"/>
  <c r="T91"/>
  <c r="T163"/>
  <c r="T115"/>
  <c r="T43"/>
  <c r="T155"/>
  <c r="T123"/>
  <c r="T179"/>
  <c r="T35"/>
  <c r="T107"/>
  <c r="T131"/>
  <c r="T243"/>
  <c r="T195"/>
  <c r="T51"/>
  <c r="T67" i="39"/>
  <c r="T195" i="43"/>
  <c r="T227"/>
  <c r="T27" i="47"/>
  <c r="T163" i="38"/>
  <c r="T139"/>
  <c r="T235" i="39"/>
  <c r="T211"/>
  <c r="T131" i="43"/>
  <c r="T243"/>
  <c r="T131" i="47"/>
  <c r="T67" i="38"/>
  <c r="T19"/>
  <c r="T99" i="39"/>
  <c r="T123"/>
  <c r="T147" i="43"/>
  <c r="T187"/>
  <c r="T91" i="47"/>
  <c r="T187" i="39"/>
  <c r="T83" i="43"/>
  <c r="T179" i="38"/>
  <c r="T115"/>
  <c r="T83"/>
  <c r="T243" i="39"/>
  <c r="T43" i="43"/>
  <c r="T43" i="39"/>
  <c r="T107"/>
  <c r="T107" i="43"/>
  <c r="T75"/>
  <c r="T251" i="38"/>
  <c r="T211"/>
  <c r="T59"/>
  <c r="T187"/>
  <c r="T155"/>
  <c r="T27"/>
  <c r="T43"/>
  <c r="T67" i="43"/>
  <c r="T139" i="39"/>
  <c r="T171"/>
  <c r="T147"/>
  <c r="T227"/>
  <c r="T219" i="43"/>
  <c r="T203" i="39"/>
  <c r="T131" i="38"/>
  <c r="T27" i="43"/>
  <c r="T51" i="39"/>
  <c r="T195"/>
  <c r="T91" i="38"/>
  <c r="T163" i="43"/>
  <c r="T227" i="38"/>
  <c r="T35" i="39"/>
  <c r="T179" i="43"/>
  <c r="T91"/>
  <c r="T123" i="38"/>
  <c r="T11"/>
  <c r="T115" i="43"/>
  <c r="T59" i="47"/>
  <c r="T83" i="39"/>
  <c r="T203" i="43"/>
  <c r="T195" i="38"/>
  <c r="T75" i="39"/>
  <c r="T19" i="43"/>
  <c r="T235" i="38"/>
  <c r="T251" i="39"/>
  <c r="T251" i="43"/>
  <c r="T219" i="39"/>
  <c r="T51" i="43"/>
  <c r="T211"/>
  <c r="T219" i="38"/>
  <c r="T35"/>
  <c r="T19" i="39"/>
  <c r="T179"/>
  <c r="T171" i="43"/>
  <c r="T59"/>
  <c r="T171" i="47"/>
  <c r="T99" i="38"/>
  <c r="T123" i="43"/>
  <c r="T27" i="39"/>
  <c r="T11"/>
  <c r="T99" i="43"/>
  <c r="T115" i="39"/>
  <c r="T59"/>
  <c r="T75" i="38"/>
  <c r="T163" i="39"/>
  <c r="T203" i="38"/>
  <c r="T155" i="43"/>
  <c r="T11"/>
  <c r="T43" i="47"/>
  <c r="T243" i="38"/>
  <c r="T11" i="42"/>
  <c r="T195" i="47"/>
  <c r="T35"/>
  <c r="T211" i="40"/>
  <c r="T11"/>
  <c r="T51" i="42"/>
  <c r="T235" i="47"/>
  <c r="T147" i="42"/>
  <c r="T19"/>
  <c r="T243" i="44"/>
  <c r="T99" i="47"/>
  <c r="T139"/>
  <c r="T251" i="40"/>
  <c r="T195"/>
  <c r="T91" i="41"/>
  <c r="T243"/>
  <c r="T11" i="47"/>
  <c r="T99" i="42"/>
  <c r="T67" i="47"/>
  <c r="T91" i="40"/>
  <c r="T171" i="42"/>
  <c r="T251"/>
  <c r="T179" i="44"/>
  <c r="T187" i="47"/>
  <c r="T83"/>
  <c r="T123" i="40"/>
  <c r="T131"/>
  <c r="T19" i="41"/>
  <c r="T11"/>
  <c r="T179" i="42"/>
  <c r="T203"/>
  <c r="T91"/>
  <c r="T155"/>
  <c r="T67"/>
  <c r="T235"/>
  <c r="T227" i="46"/>
  <c r="T211"/>
  <c r="T147" i="47"/>
  <c r="T219"/>
  <c r="T59" i="40"/>
  <c r="T187"/>
  <c r="T131" i="41"/>
  <c r="T219"/>
  <c r="T243" i="42"/>
  <c r="T203" i="47"/>
  <c r="T19"/>
  <c r="T219" i="40"/>
  <c r="T35" i="42"/>
  <c r="T219"/>
  <c r="T235" i="46"/>
  <c r="T171"/>
  <c r="T243" i="47"/>
  <c r="T107"/>
  <c r="T75" i="42"/>
  <c r="T227" i="40"/>
  <c r="T235"/>
  <c r="T123" i="41"/>
  <c r="T187"/>
  <c r="T227" i="42"/>
  <c r="T75" i="47"/>
  <c r="T107" i="42"/>
  <c r="T27" i="40"/>
  <c r="T179" i="47"/>
  <c r="T195" i="42"/>
  <c r="T83"/>
  <c r="T251" i="46"/>
  <c r="T67"/>
  <c r="T123" i="47"/>
  <c r="T115"/>
  <c r="T99" i="40"/>
  <c r="T83"/>
  <c r="T83" i="41"/>
  <c r="T235"/>
  <c r="T131" i="44"/>
  <c r="T115" i="42"/>
  <c r="T227" i="47"/>
  <c r="T43" i="42"/>
  <c r="T171" i="40"/>
  <c r="T251" i="47"/>
  <c r="T107" i="40"/>
  <c r="T163"/>
  <c r="T163" i="42"/>
  <c r="T123"/>
  <c r="T19" i="46"/>
  <c r="T211" i="47"/>
  <c r="T155"/>
  <c r="T211" i="42"/>
  <c r="T115" i="40"/>
  <c r="T179" i="41"/>
  <c r="N253" i="46"/>
  <c r="N253" i="43"/>
  <c r="F34" i="1"/>
  <c r="E27"/>
  <c r="F27"/>
  <c r="A183" i="10"/>
  <c r="A193"/>
  <c r="A203"/>
  <c r="A213"/>
  <c r="A223"/>
  <c r="A173"/>
  <c r="A163"/>
  <c r="A153"/>
  <c r="A143"/>
  <c r="A133"/>
  <c r="A113"/>
  <c r="D14" i="28" s="1"/>
  <c r="E11" i="31"/>
  <c r="F11"/>
  <c r="G11"/>
  <c r="H11"/>
  <c r="I11"/>
  <c r="J11"/>
  <c r="K11"/>
  <c r="L11"/>
  <c r="M11"/>
  <c r="N11"/>
  <c r="O11"/>
  <c r="F12" i="28"/>
  <c r="T195" i="48" l="1"/>
  <c r="T155"/>
  <c r="T51"/>
  <c r="T19"/>
  <c r="T139"/>
  <c r="T251"/>
  <c r="T131"/>
  <c r="T187"/>
  <c r="T83"/>
  <c r="T91"/>
  <c r="T211"/>
  <c r="T35" i="45"/>
  <c r="T171"/>
  <c r="T83"/>
  <c r="T11"/>
  <c r="T107" i="44"/>
  <c r="T195"/>
  <c r="T59"/>
  <c r="T99" i="48"/>
  <c r="T67"/>
  <c r="T163" i="44"/>
  <c r="T251" i="45"/>
  <c r="T171" i="48"/>
  <c r="T139" i="45"/>
  <c r="T107"/>
  <c r="T187" i="44"/>
  <c r="T211" i="45"/>
  <c r="T123" i="48"/>
  <c r="T99" i="44"/>
  <c r="T171"/>
  <c r="T243" i="48"/>
  <c r="T27"/>
  <c r="T219" i="45"/>
  <c r="T147" i="48"/>
  <c r="T147" i="45"/>
  <c r="T187"/>
  <c r="T211" i="44"/>
  <c r="T115" i="45"/>
  <c r="T59"/>
  <c r="T235"/>
  <c r="T147" i="44"/>
  <c r="T123"/>
  <c r="T51"/>
  <c r="T131" i="45"/>
  <c r="T11" i="48"/>
  <c r="T227"/>
  <c r="T179"/>
  <c r="T75" i="44"/>
  <c r="T11"/>
  <c r="T155" i="45"/>
  <c r="T195"/>
  <c r="T91" i="44"/>
  <c r="T179" i="45"/>
  <c r="T19" i="44"/>
  <c r="T243" i="45"/>
  <c r="T99"/>
  <c r="T43" i="48"/>
  <c r="T203"/>
  <c r="T219" i="44"/>
  <c r="T91" i="45"/>
  <c r="T139" i="44"/>
  <c r="T59" i="48"/>
  <c r="T27" i="44"/>
  <c r="T251"/>
  <c r="T43" i="45"/>
  <c r="T163" i="48"/>
  <c r="T35"/>
  <c r="T155" i="44"/>
  <c r="T35"/>
  <c r="T163" i="45"/>
  <c r="T27"/>
  <c r="T67"/>
  <c r="T75" i="48"/>
  <c r="T19" i="45"/>
  <c r="T235" i="44"/>
  <c r="T115"/>
  <c r="T203"/>
  <c r="T67"/>
  <c r="T227"/>
  <c r="T203" i="45"/>
  <c r="T123"/>
  <c r="T219" i="48"/>
  <c r="T115"/>
  <c r="T75" i="45"/>
  <c r="T235" i="48"/>
  <c r="T83" i="44"/>
  <c r="T227" i="45"/>
  <c r="D12" i="28"/>
  <c r="B19" i="10"/>
  <c r="A220"/>
  <c r="A210"/>
  <c r="A200"/>
  <c r="A190"/>
  <c r="A180"/>
  <c r="A170"/>
  <c r="A160"/>
  <c r="A150"/>
  <c r="A140"/>
  <c r="A130"/>
  <c r="A120"/>
  <c r="A110"/>
  <c r="C31" i="30"/>
  <c r="C17"/>
  <c r="C11"/>
  <c r="I52" i="31"/>
  <c r="D7" i="32" l="1"/>
  <c r="D8" s="1"/>
  <c r="I17" i="31"/>
  <c r="I2" i="30"/>
  <c r="I1"/>
  <c r="I17"/>
  <c r="I52"/>
  <c r="E11" l="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D11"/>
  <c r="D10" i="28"/>
  <c r="B113" i="10"/>
  <c r="D17" i="28" s="1"/>
  <c r="D7"/>
  <c r="C14" i="30" l="1"/>
  <c r="C13"/>
  <c r="C12"/>
  <c r="E130" i="19"/>
  <c r="E51"/>
  <c r="D50"/>
  <c r="D51"/>
  <c r="B5" i="1"/>
  <c r="B7" i="28"/>
  <c r="B163" i="10"/>
  <c r="AF153"/>
  <c r="AE153"/>
  <c r="AD153"/>
  <c r="AC153"/>
  <c r="AB153"/>
  <c r="AA153"/>
  <c r="Z153"/>
  <c r="Y153"/>
  <c r="X153"/>
  <c r="W153"/>
  <c r="V153"/>
  <c r="U153"/>
  <c r="T153"/>
  <c r="S153"/>
  <c r="R153"/>
  <c r="Q153"/>
  <c r="P153"/>
  <c r="O153"/>
  <c r="N153"/>
  <c r="M153"/>
  <c r="L153"/>
  <c r="K153"/>
  <c r="J153"/>
  <c r="I153"/>
  <c r="H153"/>
  <c r="G153"/>
  <c r="F153"/>
  <c r="E153"/>
  <c r="D153"/>
  <c r="C153"/>
  <c r="B153"/>
  <c r="AF133"/>
  <c r="AE133"/>
  <c r="AD133"/>
  <c r="AC133"/>
  <c r="AB133"/>
  <c r="AA133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AF113"/>
  <c r="AE113"/>
  <c r="AD113"/>
  <c r="AC113"/>
  <c r="AB113"/>
  <c r="AA113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E17" i="28" s="1"/>
  <c r="AF223" i="10"/>
  <c r="AE223"/>
  <c r="AD223"/>
  <c r="AC223"/>
  <c r="AB223"/>
  <c r="AA223"/>
  <c r="Z223"/>
  <c r="Y223"/>
  <c r="X223"/>
  <c r="W223"/>
  <c r="V223"/>
  <c r="U223"/>
  <c r="T223"/>
  <c r="S223"/>
  <c r="R223"/>
  <c r="Q223"/>
  <c r="P223"/>
  <c r="O223"/>
  <c r="N223"/>
  <c r="M223"/>
  <c r="L223"/>
  <c r="K223"/>
  <c r="J223"/>
  <c r="I223"/>
  <c r="H223"/>
  <c r="G223"/>
  <c r="F223"/>
  <c r="E223"/>
  <c r="D223"/>
  <c r="C223"/>
  <c r="B223"/>
  <c r="AF213"/>
  <c r="AE213"/>
  <c r="AD213"/>
  <c r="AC213"/>
  <c r="AB213"/>
  <c r="AA213"/>
  <c r="Z213"/>
  <c r="Y213"/>
  <c r="X213"/>
  <c r="W213"/>
  <c r="V213"/>
  <c r="U213"/>
  <c r="T213"/>
  <c r="S213"/>
  <c r="R213"/>
  <c r="Q213"/>
  <c r="P213"/>
  <c r="O213"/>
  <c r="N213"/>
  <c r="M213"/>
  <c r="L213"/>
  <c r="K213"/>
  <c r="J213"/>
  <c r="I213"/>
  <c r="H213"/>
  <c r="G213"/>
  <c r="F213"/>
  <c r="E213"/>
  <c r="D213"/>
  <c r="C213"/>
  <c r="B213"/>
  <c r="AF203"/>
  <c r="AE203"/>
  <c r="AD203"/>
  <c r="AC203"/>
  <c r="AB203"/>
  <c r="AA203"/>
  <c r="Z203"/>
  <c r="Y203"/>
  <c r="X203"/>
  <c r="W203"/>
  <c r="V203"/>
  <c r="U203"/>
  <c r="T203"/>
  <c r="S203"/>
  <c r="R203"/>
  <c r="Q203"/>
  <c r="P203"/>
  <c r="O203"/>
  <c r="N203"/>
  <c r="M203"/>
  <c r="L203"/>
  <c r="K203"/>
  <c r="J203"/>
  <c r="I203"/>
  <c r="H203"/>
  <c r="G203"/>
  <c r="F203"/>
  <c r="E203"/>
  <c r="D203"/>
  <c r="C203"/>
  <c r="B203"/>
  <c r="AF193"/>
  <c r="AE193"/>
  <c r="AD193"/>
  <c r="AC193"/>
  <c r="AB193"/>
  <c r="AA193"/>
  <c r="Z193"/>
  <c r="Y193"/>
  <c r="X193"/>
  <c r="W193"/>
  <c r="V193"/>
  <c r="U193"/>
  <c r="T193"/>
  <c r="S193"/>
  <c r="R193"/>
  <c r="Q193"/>
  <c r="P193"/>
  <c r="O193"/>
  <c r="N193"/>
  <c r="M193"/>
  <c r="L193"/>
  <c r="K193"/>
  <c r="J193"/>
  <c r="I193"/>
  <c r="H193"/>
  <c r="G193"/>
  <c r="F193"/>
  <c r="E193"/>
  <c r="D193"/>
  <c r="C193"/>
  <c r="B193"/>
  <c r="AF183"/>
  <c r="AE183"/>
  <c r="AD183"/>
  <c r="AC183"/>
  <c r="AB183"/>
  <c r="AA183"/>
  <c r="Z183"/>
  <c r="Y183"/>
  <c r="X183"/>
  <c r="W183"/>
  <c r="V183"/>
  <c r="U183"/>
  <c r="T183"/>
  <c r="S183"/>
  <c r="R183"/>
  <c r="Q183"/>
  <c r="P183"/>
  <c r="O183"/>
  <c r="N183"/>
  <c r="M183"/>
  <c r="L183"/>
  <c r="K183"/>
  <c r="J183"/>
  <c r="I183"/>
  <c r="H183"/>
  <c r="G183"/>
  <c r="F183"/>
  <c r="E183"/>
  <c r="D183"/>
  <c r="C183"/>
  <c r="B183"/>
  <c r="AF173"/>
  <c r="AE173"/>
  <c r="AD173"/>
  <c r="AC173"/>
  <c r="AB173"/>
  <c r="AA173"/>
  <c r="Z173"/>
  <c r="Y173"/>
  <c r="X173"/>
  <c r="W173"/>
  <c r="V173"/>
  <c r="U173"/>
  <c r="T173"/>
  <c r="S173"/>
  <c r="R173"/>
  <c r="Q173"/>
  <c r="P173"/>
  <c r="O173"/>
  <c r="N173"/>
  <c r="M173"/>
  <c r="L173"/>
  <c r="K173"/>
  <c r="J173"/>
  <c r="I173"/>
  <c r="H173"/>
  <c r="G173"/>
  <c r="F173"/>
  <c r="E173"/>
  <c r="D173"/>
  <c r="C173"/>
  <c r="B173"/>
  <c r="AF163"/>
  <c r="AE163"/>
  <c r="AD163"/>
  <c r="AC163"/>
  <c r="AB163"/>
  <c r="AA163"/>
  <c r="Z163"/>
  <c r="Y163"/>
  <c r="X163"/>
  <c r="W163"/>
  <c r="V163"/>
  <c r="U163"/>
  <c r="T163"/>
  <c r="S163"/>
  <c r="R163"/>
  <c r="Q163"/>
  <c r="P163"/>
  <c r="O163"/>
  <c r="N163"/>
  <c r="M163"/>
  <c r="L163"/>
  <c r="K163"/>
  <c r="J163"/>
  <c r="I163"/>
  <c r="H163"/>
  <c r="G163"/>
  <c r="F163"/>
  <c r="E163"/>
  <c r="D163"/>
  <c r="C163"/>
  <c r="A8" i="28"/>
  <c r="P26" i="1"/>
  <c r="O26"/>
  <c r="N26"/>
  <c r="M26"/>
  <c r="L26"/>
  <c r="K26"/>
  <c r="O25"/>
  <c r="N25"/>
  <c r="M25"/>
  <c r="L25"/>
  <c r="K25"/>
  <c r="J26"/>
  <c r="G26"/>
  <c r="G28"/>
  <c r="J25"/>
  <c r="J13" i="31"/>
  <c r="AE12" i="30"/>
  <c r="N13" i="31"/>
  <c r="C8" i="1"/>
  <c r="C15"/>
  <c r="M13" i="31"/>
  <c r="C12" i="1"/>
  <c r="I13" i="31"/>
  <c r="C17" i="1"/>
  <c r="O13" i="31"/>
  <c r="K13"/>
  <c r="C18" i="1"/>
  <c r="C13"/>
  <c r="C14"/>
  <c r="C16"/>
  <c r="C9"/>
  <c r="C10"/>
  <c r="L13" i="31"/>
  <c r="K28" i="1" l="1"/>
  <c r="K30"/>
  <c r="K32"/>
  <c r="L28"/>
  <c r="L30"/>
  <c r="L32"/>
  <c r="M28"/>
  <c r="M30"/>
  <c r="M32"/>
  <c r="N28"/>
  <c r="N30"/>
  <c r="N32"/>
  <c r="O28"/>
  <c r="O30"/>
  <c r="O32"/>
  <c r="P28"/>
  <c r="P30"/>
  <c r="P32"/>
  <c r="J30"/>
  <c r="J29"/>
  <c r="J31"/>
  <c r="J33"/>
  <c r="K24"/>
  <c r="K29"/>
  <c r="K33"/>
  <c r="L29"/>
  <c r="L31"/>
  <c r="L33"/>
  <c r="M29"/>
  <c r="M31"/>
  <c r="M33"/>
  <c r="N29"/>
  <c r="N31"/>
  <c r="N33"/>
  <c r="O29"/>
  <c r="O31"/>
  <c r="O33"/>
  <c r="P29"/>
  <c r="K31"/>
  <c r="I14" i="31"/>
  <c r="K14"/>
  <c r="J14"/>
  <c r="L14"/>
  <c r="M14"/>
  <c r="N14"/>
  <c r="O14"/>
  <c r="V13" i="1"/>
  <c r="P31"/>
  <c r="P33"/>
  <c r="P25"/>
  <c r="V12"/>
  <c r="V14"/>
  <c r="V15"/>
  <c r="V16"/>
  <c r="P34"/>
  <c r="B10" i="28"/>
  <c r="I16" s="1"/>
  <c r="J28" i="1"/>
  <c r="J32"/>
  <c r="P24"/>
  <c r="O24"/>
  <c r="O27"/>
  <c r="N24"/>
  <c r="N27"/>
  <c r="M24"/>
  <c r="M27"/>
  <c r="L24"/>
  <c r="L27"/>
  <c r="J24"/>
  <c r="M249" i="19"/>
  <c r="M248"/>
  <c r="N248" s="1"/>
  <c r="M247"/>
  <c r="N247" s="1"/>
  <c r="M246"/>
  <c r="M245"/>
  <c r="N245" s="1"/>
  <c r="M244"/>
  <c r="N244" s="1"/>
  <c r="M241"/>
  <c r="N241" s="1"/>
  <c r="M240"/>
  <c r="N240" s="1"/>
  <c r="M239"/>
  <c r="N239" s="1"/>
  <c r="M238"/>
  <c r="M237"/>
  <c r="N237" s="1"/>
  <c r="M236"/>
  <c r="N236" s="1"/>
  <c r="M233"/>
  <c r="N233" s="1"/>
  <c r="M232"/>
  <c r="N232" s="1"/>
  <c r="M231"/>
  <c r="N231" s="1"/>
  <c r="M230"/>
  <c r="N230" s="1"/>
  <c r="M229"/>
  <c r="N229" s="1"/>
  <c r="M228"/>
  <c r="N228" s="1"/>
  <c r="M225"/>
  <c r="N225" s="1"/>
  <c r="M224"/>
  <c r="N224" s="1"/>
  <c r="M223"/>
  <c r="M222"/>
  <c r="M221"/>
  <c r="M220"/>
  <c r="M217"/>
  <c r="M216"/>
  <c r="N216" s="1"/>
  <c r="M215"/>
  <c r="N215" s="1"/>
  <c r="M214"/>
  <c r="N214" s="1"/>
  <c r="M213"/>
  <c r="N213" s="1"/>
  <c r="M212"/>
  <c r="N212" s="1"/>
  <c r="M209"/>
  <c r="N209" s="1"/>
  <c r="M208"/>
  <c r="N208" s="1"/>
  <c r="M207"/>
  <c r="N207" s="1"/>
  <c r="M206"/>
  <c r="N206" s="1"/>
  <c r="M205"/>
  <c r="N205" s="1"/>
  <c r="M204"/>
  <c r="N204" s="1"/>
  <c r="M201"/>
  <c r="N201" s="1"/>
  <c r="M200"/>
  <c r="M199"/>
  <c r="N199" s="1"/>
  <c r="M198"/>
  <c r="N198" s="1"/>
  <c r="M197"/>
  <c r="N197" s="1"/>
  <c r="M196"/>
  <c r="M193"/>
  <c r="N193" s="1"/>
  <c r="M192"/>
  <c r="N192" s="1"/>
  <c r="M191"/>
  <c r="N191" s="1"/>
  <c r="M190"/>
  <c r="N190" s="1"/>
  <c r="M189"/>
  <c r="N189" s="1"/>
  <c r="M188"/>
  <c r="N188" s="1"/>
  <c r="M185"/>
  <c r="N185" s="1"/>
  <c r="M184"/>
  <c r="N184" s="1"/>
  <c r="M183"/>
  <c r="N183" s="1"/>
  <c r="M182"/>
  <c r="N182" s="1"/>
  <c r="M181"/>
  <c r="N181" s="1"/>
  <c r="M180"/>
  <c r="M177"/>
  <c r="N177" s="1"/>
  <c r="M176"/>
  <c r="N176" s="1"/>
  <c r="M175"/>
  <c r="M174"/>
  <c r="M173"/>
  <c r="N173" s="1"/>
  <c r="M172"/>
  <c r="N172" s="1"/>
  <c r="M169"/>
  <c r="N169" s="1"/>
  <c r="M168"/>
  <c r="N168" s="1"/>
  <c r="M167"/>
  <c r="N167" s="1"/>
  <c r="M166"/>
  <c r="N166" s="1"/>
  <c r="M165"/>
  <c r="N165" s="1"/>
  <c r="M164"/>
  <c r="N164" s="1"/>
  <c r="M161"/>
  <c r="N161" s="1"/>
  <c r="M160"/>
  <c r="N160" s="1"/>
  <c r="M159"/>
  <c r="M158"/>
  <c r="M157"/>
  <c r="M156"/>
  <c r="M153"/>
  <c r="N153" s="1"/>
  <c r="M152"/>
  <c r="N152" s="1"/>
  <c r="M151"/>
  <c r="N151" s="1"/>
  <c r="M150"/>
  <c r="N150" s="1"/>
  <c r="M149"/>
  <c r="N149" s="1"/>
  <c r="M148"/>
  <c r="N148" s="1"/>
  <c r="M145"/>
  <c r="M144"/>
  <c r="M143"/>
  <c r="M142"/>
  <c r="M141"/>
  <c r="M140"/>
  <c r="M137"/>
  <c r="N137" s="1"/>
  <c r="M136"/>
  <c r="N136" s="1"/>
  <c r="M135"/>
  <c r="N135" s="1"/>
  <c r="M134"/>
  <c r="N134" s="1"/>
  <c r="M133"/>
  <c r="N133" s="1"/>
  <c r="M132"/>
  <c r="M129"/>
  <c r="M128"/>
  <c r="N128" s="1"/>
  <c r="M127"/>
  <c r="N127" s="1"/>
  <c r="M126"/>
  <c r="N126" s="1"/>
  <c r="M125"/>
  <c r="N125" s="1"/>
  <c r="M124"/>
  <c r="M121"/>
  <c r="N121" s="1"/>
  <c r="M120"/>
  <c r="N120" s="1"/>
  <c r="M119"/>
  <c r="N119" s="1"/>
  <c r="M118"/>
  <c r="N118" s="1"/>
  <c r="M117"/>
  <c r="M116"/>
  <c r="N116" s="1"/>
  <c r="M113"/>
  <c r="N113" s="1"/>
  <c r="M112"/>
  <c r="N112" s="1"/>
  <c r="M111"/>
  <c r="N111" s="1"/>
  <c r="M110"/>
  <c r="N110" s="1"/>
  <c r="M109"/>
  <c r="N109" s="1"/>
  <c r="M108"/>
  <c r="N108" s="1"/>
  <c r="N114" s="1"/>
  <c r="M105"/>
  <c r="N105" s="1"/>
  <c r="M104"/>
  <c r="N104" s="1"/>
  <c r="M103"/>
  <c r="N103" s="1"/>
  <c r="M102"/>
  <c r="N102" s="1"/>
  <c r="M101"/>
  <c r="M100"/>
  <c r="M97"/>
  <c r="N97" s="1"/>
  <c r="M96"/>
  <c r="N96" s="1"/>
  <c r="M95"/>
  <c r="N95" s="1"/>
  <c r="M94"/>
  <c r="N94" s="1"/>
  <c r="M93"/>
  <c r="N93" s="1"/>
  <c r="M92"/>
  <c r="M89"/>
  <c r="N89" s="1"/>
  <c r="M88"/>
  <c r="N88" s="1"/>
  <c r="M87"/>
  <c r="N87" s="1"/>
  <c r="M86"/>
  <c r="N86" s="1"/>
  <c r="M85"/>
  <c r="N85" s="1"/>
  <c r="M84"/>
  <c r="M81"/>
  <c r="N81" s="1"/>
  <c r="M80"/>
  <c r="N80" s="1"/>
  <c r="M79"/>
  <c r="N79" s="1"/>
  <c r="M78"/>
  <c r="N78" s="1"/>
  <c r="M77"/>
  <c r="N77" s="1"/>
  <c r="M76"/>
  <c r="N76" s="1"/>
  <c r="N82" s="1"/>
  <c r="M73"/>
  <c r="N73" s="1"/>
  <c r="M72"/>
  <c r="N72" s="1"/>
  <c r="M71"/>
  <c r="N71" s="1"/>
  <c r="M70"/>
  <c r="N70" s="1"/>
  <c r="M69"/>
  <c r="M68"/>
  <c r="M65"/>
  <c r="N65" s="1"/>
  <c r="M64"/>
  <c r="N64" s="1"/>
  <c r="M63"/>
  <c r="N63" s="1"/>
  <c r="M62"/>
  <c r="N62" s="1"/>
  <c r="M61"/>
  <c r="N61" s="1"/>
  <c r="M60"/>
  <c r="M57"/>
  <c r="N57" s="1"/>
  <c r="M56"/>
  <c r="N56" s="1"/>
  <c r="M55"/>
  <c r="N55" s="1"/>
  <c r="M54"/>
  <c r="N54" s="1"/>
  <c r="M53"/>
  <c r="M52"/>
  <c r="N52" s="1"/>
  <c r="M49"/>
  <c r="N49" s="1"/>
  <c r="M48"/>
  <c r="N48" s="1"/>
  <c r="M47"/>
  <c r="N47" s="1"/>
  <c r="M46"/>
  <c r="N46" s="1"/>
  <c r="M45"/>
  <c r="N45" s="1"/>
  <c r="M44"/>
  <c r="M51" s="1"/>
  <c r="M41"/>
  <c r="N41" s="1"/>
  <c r="M40"/>
  <c r="M39"/>
  <c r="N39" s="1"/>
  <c r="M38"/>
  <c r="N38" s="1"/>
  <c r="M37"/>
  <c r="N37" s="1"/>
  <c r="M36"/>
  <c r="N36" s="1"/>
  <c r="M33"/>
  <c r="N33" s="1"/>
  <c r="M32"/>
  <c r="N32" s="1"/>
  <c r="M31"/>
  <c r="N31" s="1"/>
  <c r="M30"/>
  <c r="N30" s="1"/>
  <c r="M29"/>
  <c r="N29" s="1"/>
  <c r="M28"/>
  <c r="M25"/>
  <c r="N25" s="1"/>
  <c r="M24"/>
  <c r="N24" s="1"/>
  <c r="M23"/>
  <c r="N23" s="1"/>
  <c r="M22"/>
  <c r="N22" s="1"/>
  <c r="M21"/>
  <c r="N21" s="1"/>
  <c r="M20"/>
  <c r="N20" s="1"/>
  <c r="M17"/>
  <c r="N17" s="1"/>
  <c r="M16"/>
  <c r="N16" s="1"/>
  <c r="M15"/>
  <c r="M14"/>
  <c r="N14" s="1"/>
  <c r="M13"/>
  <c r="N13" s="1"/>
  <c r="M12"/>
  <c r="M6"/>
  <c r="N6" s="1"/>
  <c r="M7"/>
  <c r="N7" s="1"/>
  <c r="M8"/>
  <c r="N8" s="1"/>
  <c r="M5"/>
  <c r="N5" s="1"/>
  <c r="M4"/>
  <c r="K250"/>
  <c r="J250"/>
  <c r="I250"/>
  <c r="H250"/>
  <c r="G250"/>
  <c r="F250"/>
  <c r="E250"/>
  <c r="D250"/>
  <c r="K242"/>
  <c r="J242"/>
  <c r="I242"/>
  <c r="H242"/>
  <c r="G242"/>
  <c r="F242"/>
  <c r="E242"/>
  <c r="D242"/>
  <c r="K234"/>
  <c r="J234"/>
  <c r="I234"/>
  <c r="H234"/>
  <c r="G234"/>
  <c r="F234"/>
  <c r="E234"/>
  <c r="D234"/>
  <c r="K226"/>
  <c r="J226"/>
  <c r="I226"/>
  <c r="H226"/>
  <c r="G226"/>
  <c r="F226"/>
  <c r="E226"/>
  <c r="D226"/>
  <c r="K218"/>
  <c r="J218"/>
  <c r="I218"/>
  <c r="H218"/>
  <c r="G218"/>
  <c r="F218"/>
  <c r="E218"/>
  <c r="D218"/>
  <c r="K210"/>
  <c r="J210"/>
  <c r="I210"/>
  <c r="H210"/>
  <c r="G210"/>
  <c r="F210"/>
  <c r="E210"/>
  <c r="D210"/>
  <c r="K202"/>
  <c r="J202"/>
  <c r="I202"/>
  <c r="H202"/>
  <c r="G202"/>
  <c r="F202"/>
  <c r="E202"/>
  <c r="D202"/>
  <c r="K194"/>
  <c r="J194"/>
  <c r="I194"/>
  <c r="H194"/>
  <c r="G194"/>
  <c r="F194"/>
  <c r="E194"/>
  <c r="D194"/>
  <c r="K186"/>
  <c r="J186"/>
  <c r="I186"/>
  <c r="H186"/>
  <c r="G186"/>
  <c r="F186"/>
  <c r="E186"/>
  <c r="D186"/>
  <c r="K178"/>
  <c r="J178"/>
  <c r="I178"/>
  <c r="H178"/>
  <c r="G178"/>
  <c r="F178"/>
  <c r="E178"/>
  <c r="D178"/>
  <c r="K170"/>
  <c r="J170"/>
  <c r="I170"/>
  <c r="H170"/>
  <c r="G170"/>
  <c r="F170"/>
  <c r="E170"/>
  <c r="D170"/>
  <c r="K162"/>
  <c r="J162"/>
  <c r="I162"/>
  <c r="H162"/>
  <c r="G162"/>
  <c r="F162"/>
  <c r="E162"/>
  <c r="D162"/>
  <c r="K154"/>
  <c r="J154"/>
  <c r="I154"/>
  <c r="H154"/>
  <c r="G154"/>
  <c r="F154"/>
  <c r="E154"/>
  <c r="D154"/>
  <c r="K146"/>
  <c r="J146"/>
  <c r="I146"/>
  <c r="H146"/>
  <c r="G146"/>
  <c r="F146"/>
  <c r="E146"/>
  <c r="D146"/>
  <c r="K138"/>
  <c r="J138"/>
  <c r="I138"/>
  <c r="H138"/>
  <c r="G138"/>
  <c r="F138"/>
  <c r="E138"/>
  <c r="D138"/>
  <c r="K130"/>
  <c r="J130"/>
  <c r="I130"/>
  <c r="H130"/>
  <c r="G130"/>
  <c r="F130"/>
  <c r="D130"/>
  <c r="K122"/>
  <c r="J122"/>
  <c r="I122"/>
  <c r="H122"/>
  <c r="G122"/>
  <c r="F122"/>
  <c r="E122"/>
  <c r="D122"/>
  <c r="K114"/>
  <c r="J114"/>
  <c r="I114"/>
  <c r="H114"/>
  <c r="G114"/>
  <c r="F114"/>
  <c r="E114"/>
  <c r="D114"/>
  <c r="K106"/>
  <c r="J106"/>
  <c r="I106"/>
  <c r="H106"/>
  <c r="G106"/>
  <c r="F106"/>
  <c r="E106"/>
  <c r="D106"/>
  <c r="K98"/>
  <c r="J98"/>
  <c r="I98"/>
  <c r="H98"/>
  <c r="G98"/>
  <c r="F98"/>
  <c r="E98"/>
  <c r="D98"/>
  <c r="K90"/>
  <c r="J90"/>
  <c r="I90"/>
  <c r="H90"/>
  <c r="G90"/>
  <c r="F90"/>
  <c r="E90"/>
  <c r="D90"/>
  <c r="K82"/>
  <c r="J82"/>
  <c r="I82"/>
  <c r="H82"/>
  <c r="G82"/>
  <c r="F82"/>
  <c r="E82"/>
  <c r="D82"/>
  <c r="K74"/>
  <c r="J74"/>
  <c r="I74"/>
  <c r="H74"/>
  <c r="G74"/>
  <c r="F74"/>
  <c r="E74"/>
  <c r="D74"/>
  <c r="K66"/>
  <c r="J66"/>
  <c r="I66"/>
  <c r="H66"/>
  <c r="G66"/>
  <c r="F66"/>
  <c r="E66"/>
  <c r="D66"/>
  <c r="K58"/>
  <c r="J58"/>
  <c r="I58"/>
  <c r="H58"/>
  <c r="G58"/>
  <c r="F58"/>
  <c r="E58"/>
  <c r="D58"/>
  <c r="K50"/>
  <c r="J50"/>
  <c r="I50"/>
  <c r="H50"/>
  <c r="G50"/>
  <c r="F50"/>
  <c r="E50"/>
  <c r="K42"/>
  <c r="J42"/>
  <c r="I42"/>
  <c r="H42"/>
  <c r="G42"/>
  <c r="F42"/>
  <c r="E42"/>
  <c r="D42"/>
  <c r="K34"/>
  <c r="J34"/>
  <c r="I34"/>
  <c r="H34"/>
  <c r="G34"/>
  <c r="F34"/>
  <c r="E34"/>
  <c r="D34"/>
  <c r="K26"/>
  <c r="J26"/>
  <c r="I26"/>
  <c r="H26"/>
  <c r="G26"/>
  <c r="F26"/>
  <c r="E26"/>
  <c r="D26"/>
  <c r="K18"/>
  <c r="J18"/>
  <c r="I18"/>
  <c r="H18"/>
  <c r="G18"/>
  <c r="F18"/>
  <c r="D18"/>
  <c r="K10"/>
  <c r="G10"/>
  <c r="H10"/>
  <c r="I10"/>
  <c r="J10"/>
  <c r="F10"/>
  <c r="D10"/>
  <c r="L251"/>
  <c r="E251"/>
  <c r="D251"/>
  <c r="L243"/>
  <c r="E243"/>
  <c r="D243"/>
  <c r="N238"/>
  <c r="L235"/>
  <c r="E235"/>
  <c r="D235"/>
  <c r="L227"/>
  <c r="E227"/>
  <c r="D227"/>
  <c r="N223"/>
  <c r="N222"/>
  <c r="N221"/>
  <c r="N220"/>
  <c r="L219"/>
  <c r="E219"/>
  <c r="D219"/>
  <c r="L211"/>
  <c r="E211"/>
  <c r="D211"/>
  <c r="L203"/>
  <c r="E203"/>
  <c r="D203"/>
  <c r="L195"/>
  <c r="E195"/>
  <c r="D195"/>
  <c r="L187"/>
  <c r="E187"/>
  <c r="D187"/>
  <c r="L179"/>
  <c r="E179"/>
  <c r="D179"/>
  <c r="N175"/>
  <c r="N174"/>
  <c r="L171"/>
  <c r="E171"/>
  <c r="D171"/>
  <c r="L163"/>
  <c r="E163"/>
  <c r="D163"/>
  <c r="N159"/>
  <c r="N158"/>
  <c r="N157"/>
  <c r="N156"/>
  <c r="L155"/>
  <c r="E155"/>
  <c r="D155"/>
  <c r="L147"/>
  <c r="E147"/>
  <c r="D147"/>
  <c r="N145"/>
  <c r="N144"/>
  <c r="N143"/>
  <c r="N142"/>
  <c r="N141"/>
  <c r="N140"/>
  <c r="L139"/>
  <c r="E139"/>
  <c r="D139"/>
  <c r="L131"/>
  <c r="E131"/>
  <c r="D131"/>
  <c r="L123"/>
  <c r="E123"/>
  <c r="D123"/>
  <c r="N117"/>
  <c r="L115"/>
  <c r="E115"/>
  <c r="D115"/>
  <c r="L107"/>
  <c r="E107"/>
  <c r="D107"/>
  <c r="N101"/>
  <c r="N100"/>
  <c r="L99"/>
  <c r="E99"/>
  <c r="D99"/>
  <c r="L91"/>
  <c r="E91"/>
  <c r="D91"/>
  <c r="L83"/>
  <c r="E83"/>
  <c r="D83"/>
  <c r="L75"/>
  <c r="E75"/>
  <c r="D75"/>
  <c r="N69"/>
  <c r="N68"/>
  <c r="L67"/>
  <c r="E67"/>
  <c r="D67"/>
  <c r="L59"/>
  <c r="E59"/>
  <c r="D59"/>
  <c r="N53"/>
  <c r="L51"/>
  <c r="L43"/>
  <c r="E43"/>
  <c r="D43"/>
  <c r="L35"/>
  <c r="E35"/>
  <c r="D35"/>
  <c r="L27"/>
  <c r="E27"/>
  <c r="D27"/>
  <c r="L19"/>
  <c r="D19"/>
  <c r="L11"/>
  <c r="D11"/>
  <c r="B4"/>
  <c r="M12" i="30"/>
  <c r="P12"/>
  <c r="I12" i="31"/>
  <c r="AF13" i="30"/>
  <c r="O12"/>
  <c r="S12"/>
  <c r="D12"/>
  <c r="N12" i="31"/>
  <c r="D5" i="28"/>
  <c r="AH12" i="30"/>
  <c r="N12"/>
  <c r="F12"/>
  <c r="AG13"/>
  <c r="AH13"/>
  <c r="X12"/>
  <c r="H12"/>
  <c r="AB12"/>
  <c r="AC12"/>
  <c r="AF12"/>
  <c r="AE13"/>
  <c r="AG12"/>
  <c r="G12"/>
  <c r="C11" i="1"/>
  <c r="V12" i="30"/>
  <c r="J12"/>
  <c r="B5" i="28"/>
  <c r="I12" i="30"/>
  <c r="J12" i="31"/>
  <c r="Q12" i="30"/>
  <c r="AA12"/>
  <c r="O12" i="31"/>
  <c r="T12" i="30"/>
  <c r="E12"/>
  <c r="M12" i="31"/>
  <c r="K12"/>
  <c r="L12" i="30"/>
  <c r="Y12"/>
  <c r="R12"/>
  <c r="K12"/>
  <c r="W12"/>
  <c r="AD12"/>
  <c r="U12"/>
  <c r="AD13"/>
  <c r="L12" i="31"/>
  <c r="Z12" i="30"/>
  <c r="H13" i="31"/>
  <c r="J34" i="1" l="1"/>
  <c r="V11"/>
  <c r="F243" i="19"/>
  <c r="N12"/>
  <c r="M19"/>
  <c r="N74"/>
  <c r="N106"/>
  <c r="N146"/>
  <c r="N162"/>
  <c r="N226"/>
  <c r="E253"/>
  <c r="G253"/>
  <c r="I253"/>
  <c r="K253"/>
  <c r="N26"/>
  <c r="N58"/>
  <c r="N122"/>
  <c r="N154"/>
  <c r="N170"/>
  <c r="N178"/>
  <c r="N194"/>
  <c r="N210"/>
  <c r="N234"/>
  <c r="N242"/>
  <c r="P27" i="1"/>
  <c r="D253" i="19"/>
  <c r="F253"/>
  <c r="H253"/>
  <c r="J253"/>
  <c r="M99"/>
  <c r="M123"/>
  <c r="F51"/>
  <c r="F227"/>
  <c r="F139"/>
  <c r="M66"/>
  <c r="F131"/>
  <c r="M50"/>
  <c r="M27"/>
  <c r="F59"/>
  <c r="F155"/>
  <c r="M131"/>
  <c r="M43"/>
  <c r="M106"/>
  <c r="M115"/>
  <c r="F147"/>
  <c r="M35"/>
  <c r="M98"/>
  <c r="M218"/>
  <c r="M74"/>
  <c r="AH14" i="30"/>
  <c r="AD14"/>
  <c r="AF14"/>
  <c r="AE14"/>
  <c r="AG14"/>
  <c r="F19" i="19"/>
  <c r="F163"/>
  <c r="F171"/>
  <c r="F179"/>
  <c r="F187"/>
  <c r="F195"/>
  <c r="M59"/>
  <c r="F67"/>
  <c r="F75"/>
  <c r="K27" i="1"/>
  <c r="H14" i="31"/>
  <c r="J23" i="1"/>
  <c r="O23"/>
  <c r="N23"/>
  <c r="L23"/>
  <c r="N34"/>
  <c r="K34"/>
  <c r="L34"/>
  <c r="F27" i="19"/>
  <c r="F35"/>
  <c r="F43"/>
  <c r="M91"/>
  <c r="M138"/>
  <c r="M146"/>
  <c r="M163"/>
  <c r="M178"/>
  <c r="M186"/>
  <c r="M195"/>
  <c r="M202"/>
  <c r="M211"/>
  <c r="M226"/>
  <c r="M243"/>
  <c r="V10" i="1"/>
  <c r="P23"/>
  <c r="M23"/>
  <c r="K23"/>
  <c r="O34"/>
  <c r="M34"/>
  <c r="F83" i="19"/>
  <c r="F91"/>
  <c r="F99"/>
  <c r="F107"/>
  <c r="F115"/>
  <c r="F123"/>
  <c r="F203"/>
  <c r="F211"/>
  <c r="F219"/>
  <c r="F11"/>
  <c r="F235"/>
  <c r="F251"/>
  <c r="J27" i="1"/>
  <c r="N147" i="19"/>
  <c r="M42"/>
  <c r="M203"/>
  <c r="M250"/>
  <c r="D254"/>
  <c r="M18"/>
  <c r="M130"/>
  <c r="M162"/>
  <c r="M210"/>
  <c r="M219"/>
  <c r="M251"/>
  <c r="I25" i="1"/>
  <c r="I26"/>
  <c r="I31"/>
  <c r="I28"/>
  <c r="I33"/>
  <c r="I30"/>
  <c r="I29"/>
  <c r="I24"/>
  <c r="I32"/>
  <c r="I27"/>
  <c r="N249" i="19"/>
  <c r="N246"/>
  <c r="N250" s="1"/>
  <c r="M242"/>
  <c r="N235"/>
  <c r="M235"/>
  <c r="M234"/>
  <c r="M227"/>
  <c r="N227"/>
  <c r="N217"/>
  <c r="N219" s="1"/>
  <c r="N211"/>
  <c r="N200"/>
  <c r="N196"/>
  <c r="N202" s="1"/>
  <c r="M194"/>
  <c r="N195"/>
  <c r="M187"/>
  <c r="N180"/>
  <c r="M179"/>
  <c r="N179"/>
  <c r="N171"/>
  <c r="M171"/>
  <c r="M170"/>
  <c r="N163"/>
  <c r="N155"/>
  <c r="M155"/>
  <c r="M154"/>
  <c r="M147"/>
  <c r="M139"/>
  <c r="N132"/>
  <c r="N129"/>
  <c r="N124"/>
  <c r="N130" s="1"/>
  <c r="N123"/>
  <c r="M122"/>
  <c r="N115"/>
  <c r="M114"/>
  <c r="M107"/>
  <c r="N107"/>
  <c r="N92"/>
  <c r="N84"/>
  <c r="M90"/>
  <c r="N83"/>
  <c r="M83"/>
  <c r="M82"/>
  <c r="M75"/>
  <c r="N75"/>
  <c r="M67"/>
  <c r="N60"/>
  <c r="M58"/>
  <c r="N59"/>
  <c r="N44"/>
  <c r="N40"/>
  <c r="N43" s="1"/>
  <c r="N28"/>
  <c r="M34"/>
  <c r="N27"/>
  <c r="M26"/>
  <c r="N15"/>
  <c r="N19" s="1"/>
  <c r="M10"/>
  <c r="N4"/>
  <c r="M11"/>
  <c r="E254"/>
  <c r="L254"/>
  <c r="N243"/>
  <c r="H12" i="31"/>
  <c r="N67" i="19" l="1"/>
  <c r="N66"/>
  <c r="N91"/>
  <c r="N90"/>
  <c r="N139"/>
  <c r="N138"/>
  <c r="N187"/>
  <c r="N186"/>
  <c r="M253"/>
  <c r="N18"/>
  <c r="N11"/>
  <c r="N10"/>
  <c r="N35"/>
  <c r="N34"/>
  <c r="N50"/>
  <c r="N51"/>
  <c r="N99"/>
  <c r="N98"/>
  <c r="N218"/>
  <c r="N253" s="1"/>
  <c r="N42"/>
  <c r="I34" i="1"/>
  <c r="I23"/>
  <c r="H29"/>
  <c r="H31"/>
  <c r="H33"/>
  <c r="N203" i="19"/>
  <c r="N251"/>
  <c r="F254"/>
  <c r="H30" i="1"/>
  <c r="H32"/>
  <c r="H28"/>
  <c r="N131" i="19"/>
  <c r="H26" i="1"/>
  <c r="H25"/>
  <c r="H24"/>
  <c r="G33"/>
  <c r="G32"/>
  <c r="G31"/>
  <c r="G30"/>
  <c r="G29"/>
  <c r="G25"/>
  <c r="D29" i="9"/>
  <c r="F30"/>
  <c r="G30"/>
  <c r="G29"/>
  <c r="L29"/>
  <c r="M29"/>
  <c r="N30"/>
  <c r="O29"/>
  <c r="P30"/>
  <c r="Q30"/>
  <c r="R30"/>
  <c r="R29"/>
  <c r="S29"/>
  <c r="T29"/>
  <c r="X30"/>
  <c r="Y30"/>
  <c r="Z30"/>
  <c r="AC29"/>
  <c r="AD30"/>
  <c r="AD29"/>
  <c r="AF29"/>
  <c r="C221" i="10"/>
  <c r="A221"/>
  <c r="A222" s="1"/>
  <c r="F220"/>
  <c r="C220"/>
  <c r="B212"/>
  <c r="C211"/>
  <c r="A211"/>
  <c r="A212" s="1"/>
  <c r="F210"/>
  <c r="C210"/>
  <c r="C201"/>
  <c r="A201"/>
  <c r="A202" s="1"/>
  <c r="F200"/>
  <c r="B202"/>
  <c r="C191"/>
  <c r="A191"/>
  <c r="A192" s="1"/>
  <c r="F190"/>
  <c r="B192"/>
  <c r="C181"/>
  <c r="A181"/>
  <c r="A182" s="1"/>
  <c r="F180"/>
  <c r="C171"/>
  <c r="A171"/>
  <c r="A172" s="1"/>
  <c r="F170"/>
  <c r="B172"/>
  <c r="C161"/>
  <c r="A161"/>
  <c r="A162" s="1"/>
  <c r="F160"/>
  <c r="B162"/>
  <c r="C151"/>
  <c r="A151"/>
  <c r="A152" s="1"/>
  <c r="F150"/>
  <c r="C141"/>
  <c r="A141"/>
  <c r="F140"/>
  <c r="C140"/>
  <c r="C131"/>
  <c r="A131"/>
  <c r="F130"/>
  <c r="C130"/>
  <c r="F110"/>
  <c r="A111"/>
  <c r="C111"/>
  <c r="B112"/>
  <c r="C120"/>
  <c r="F120"/>
  <c r="A121"/>
  <c r="A122" s="1"/>
  <c r="C121"/>
  <c r="B20"/>
  <c r="AF157" i="9"/>
  <c r="AE157"/>
  <c r="AD157"/>
  <c r="AC157"/>
  <c r="AB157"/>
  <c r="AA157"/>
  <c r="Z157"/>
  <c r="Y157"/>
  <c r="X157"/>
  <c r="W157"/>
  <c r="V157"/>
  <c r="U157"/>
  <c r="T157"/>
  <c r="S157"/>
  <c r="R157"/>
  <c r="Q157"/>
  <c r="P157"/>
  <c r="O157"/>
  <c r="N157"/>
  <c r="AF156"/>
  <c r="AE156"/>
  <c r="AD156"/>
  <c r="AC156"/>
  <c r="AB156"/>
  <c r="AA156"/>
  <c r="Z156"/>
  <c r="Y156"/>
  <c r="X156"/>
  <c r="W156"/>
  <c r="V156"/>
  <c r="U156"/>
  <c r="T156"/>
  <c r="S156"/>
  <c r="R156"/>
  <c r="Q156"/>
  <c r="P156"/>
  <c r="O156"/>
  <c r="N156"/>
  <c r="M156"/>
  <c r="L156"/>
  <c r="R92"/>
  <c r="B92"/>
  <c r="R91"/>
  <c r="B91"/>
  <c r="R60"/>
  <c r="E60"/>
  <c r="B60"/>
  <c r="R59"/>
  <c r="E59"/>
  <c r="B59"/>
  <c r="B30"/>
  <c r="K156"/>
  <c r="K157"/>
  <c r="J156"/>
  <c r="J157"/>
  <c r="I156"/>
  <c r="I157"/>
  <c r="H156"/>
  <c r="H157"/>
  <c r="G156"/>
  <c r="G157"/>
  <c r="F156"/>
  <c r="F157"/>
  <c r="E156"/>
  <c r="E157"/>
  <c r="D156"/>
  <c r="D157"/>
  <c r="M157"/>
  <c r="C156"/>
  <c r="C157"/>
  <c r="L157"/>
  <c r="B157"/>
  <c r="AF123"/>
  <c r="AF124"/>
  <c r="AE123"/>
  <c r="AD123"/>
  <c r="AD124"/>
  <c r="AC123"/>
  <c r="AC124"/>
  <c r="AB123"/>
  <c r="AB124"/>
  <c r="AA123"/>
  <c r="AA124"/>
  <c r="Z123"/>
  <c r="Z124"/>
  <c r="Y123"/>
  <c r="Y124"/>
  <c r="X123"/>
  <c r="X124"/>
  <c r="W123"/>
  <c r="W124"/>
  <c r="V123"/>
  <c r="V124"/>
  <c r="U123"/>
  <c r="U124"/>
  <c r="T123"/>
  <c r="T124"/>
  <c r="S123"/>
  <c r="S124"/>
  <c r="R123"/>
  <c r="R124"/>
  <c r="Q123"/>
  <c r="Q124"/>
  <c r="P123"/>
  <c r="P124"/>
  <c r="O123"/>
  <c r="O124"/>
  <c r="N123"/>
  <c r="N124"/>
  <c r="M123"/>
  <c r="M124"/>
  <c r="L123"/>
  <c r="L124"/>
  <c r="K123"/>
  <c r="K124"/>
  <c r="J123"/>
  <c r="J124"/>
  <c r="I123"/>
  <c r="I124"/>
  <c r="H123"/>
  <c r="H124"/>
  <c r="G123"/>
  <c r="G124"/>
  <c r="F123"/>
  <c r="F124"/>
  <c r="E123"/>
  <c r="E124"/>
  <c r="D123"/>
  <c r="D124"/>
  <c r="C123"/>
  <c r="C124"/>
  <c r="B124"/>
  <c r="AF91"/>
  <c r="AE91"/>
  <c r="AE92"/>
  <c r="AD91"/>
  <c r="AD92"/>
  <c r="AC91"/>
  <c r="AC92"/>
  <c r="AB91"/>
  <c r="AB92"/>
  <c r="AA91"/>
  <c r="AA92"/>
  <c r="Z91"/>
  <c r="Z92"/>
  <c r="Y91"/>
  <c r="Y92"/>
  <c r="X91"/>
  <c r="X92"/>
  <c r="W91"/>
  <c r="W92"/>
  <c r="V91"/>
  <c r="V92"/>
  <c r="U91"/>
  <c r="U92"/>
  <c r="T91"/>
  <c r="T92"/>
  <c r="S91"/>
  <c r="S92"/>
  <c r="Q91"/>
  <c r="Q92"/>
  <c r="P91"/>
  <c r="P92"/>
  <c r="O91"/>
  <c r="O92"/>
  <c r="N91"/>
  <c r="N92"/>
  <c r="M91"/>
  <c r="M92"/>
  <c r="L91"/>
  <c r="L92"/>
  <c r="K91"/>
  <c r="K92"/>
  <c r="J91"/>
  <c r="J92"/>
  <c r="I91"/>
  <c r="I92"/>
  <c r="H91"/>
  <c r="H92"/>
  <c r="G91"/>
  <c r="G92"/>
  <c r="F91"/>
  <c r="F92"/>
  <c r="E91"/>
  <c r="E92"/>
  <c r="D91"/>
  <c r="D92"/>
  <c r="C91"/>
  <c r="C92"/>
  <c r="AF59"/>
  <c r="AE59"/>
  <c r="AE60"/>
  <c r="AD59"/>
  <c r="AD60"/>
  <c r="AC59"/>
  <c r="AC60"/>
  <c r="AB59"/>
  <c r="AB60"/>
  <c r="AA59"/>
  <c r="AA60"/>
  <c r="Z59"/>
  <c r="Z60"/>
  <c r="Y59"/>
  <c r="Y60"/>
  <c r="X59"/>
  <c r="X60"/>
  <c r="W59"/>
  <c r="W60"/>
  <c r="V59"/>
  <c r="V60"/>
  <c r="U59"/>
  <c r="U60"/>
  <c r="T59"/>
  <c r="T60"/>
  <c r="S59"/>
  <c r="S60"/>
  <c r="Q59"/>
  <c r="Q60"/>
  <c r="P59"/>
  <c r="P60"/>
  <c r="O59"/>
  <c r="O60"/>
  <c r="N59"/>
  <c r="N60"/>
  <c r="M59"/>
  <c r="M60"/>
  <c r="L59"/>
  <c r="L60"/>
  <c r="K59"/>
  <c r="K60"/>
  <c r="J59"/>
  <c r="J60"/>
  <c r="I59"/>
  <c r="I60"/>
  <c r="H59"/>
  <c r="H60"/>
  <c r="G59"/>
  <c r="G60"/>
  <c r="F59"/>
  <c r="F60"/>
  <c r="D59"/>
  <c r="D60"/>
  <c r="C59"/>
  <c r="C60"/>
  <c r="AE29"/>
  <c r="AC30"/>
  <c r="AB29"/>
  <c r="AB30"/>
  <c r="AA29"/>
  <c r="AA30"/>
  <c r="Z29"/>
  <c r="Y29"/>
  <c r="X29"/>
  <c r="W29"/>
  <c r="W30"/>
  <c r="V29"/>
  <c r="V30"/>
  <c r="U29"/>
  <c r="U30"/>
  <c r="T30"/>
  <c r="S30"/>
  <c r="Q29"/>
  <c r="P29"/>
  <c r="O30"/>
  <c r="N29"/>
  <c r="M30"/>
  <c r="L30"/>
  <c r="K29"/>
  <c r="K30"/>
  <c r="J29"/>
  <c r="J30"/>
  <c r="I29"/>
  <c r="I30"/>
  <c r="H30"/>
  <c r="F29"/>
  <c r="E29"/>
  <c r="E30"/>
  <c r="D30"/>
  <c r="C29"/>
  <c r="C30"/>
  <c r="AF3"/>
  <c r="AF4"/>
  <c r="AE3"/>
  <c r="AE4"/>
  <c r="AD3"/>
  <c r="AD4"/>
  <c r="AC3"/>
  <c r="AC4"/>
  <c r="G12" i="31"/>
  <c r="G13"/>
  <c r="D121" i="10" l="1"/>
  <c r="Q33" i="1"/>
  <c r="D17" s="1"/>
  <c r="E20" i="32"/>
  <c r="F20" s="1"/>
  <c r="G20" s="1"/>
  <c r="Q29" i="1"/>
  <c r="D13" s="1"/>
  <c r="E22" i="32"/>
  <c r="F22" s="1"/>
  <c r="G22" s="1"/>
  <c r="Q31" i="1"/>
  <c r="D15" s="1"/>
  <c r="E19" i="32"/>
  <c r="F19" s="1"/>
  <c r="Q28" i="1"/>
  <c r="E21" i="32"/>
  <c r="F21" s="1"/>
  <c r="G21" s="1"/>
  <c r="Q30" i="1"/>
  <c r="D14" s="1"/>
  <c r="E23" i="32"/>
  <c r="F23" s="1"/>
  <c r="G23" s="1"/>
  <c r="Q32" i="1"/>
  <c r="D16" s="1"/>
  <c r="G14" i="31"/>
  <c r="H23" i="1"/>
  <c r="A112" i="10"/>
  <c r="D181"/>
  <c r="D131"/>
  <c r="E131" s="1"/>
  <c r="C212"/>
  <c r="C200"/>
  <c r="D201"/>
  <c r="D202" s="1"/>
  <c r="B222"/>
  <c r="C192"/>
  <c r="C170"/>
  <c r="D111"/>
  <c r="D141"/>
  <c r="B12" i="19"/>
  <c r="D151" i="10"/>
  <c r="AG123" i="9"/>
  <c r="B156"/>
  <c r="AG156" s="1"/>
  <c r="B182" i="10"/>
  <c r="C180"/>
  <c r="C162"/>
  <c r="C222"/>
  <c r="G24" i="1"/>
  <c r="G27"/>
  <c r="AE30" i="9"/>
  <c r="H29"/>
  <c r="D161" i="10"/>
  <c r="C152"/>
  <c r="C172"/>
  <c r="C202"/>
  <c r="C112"/>
  <c r="C150"/>
  <c r="D221"/>
  <c r="C182"/>
  <c r="C160"/>
  <c r="C190"/>
  <c r="D211"/>
  <c r="D182"/>
  <c r="D191"/>
  <c r="D171"/>
  <c r="B152"/>
  <c r="D152"/>
  <c r="E141"/>
  <c r="E121"/>
  <c r="D122"/>
  <c r="C110"/>
  <c r="C122"/>
  <c r="B122"/>
  <c r="B21"/>
  <c r="B22" s="1"/>
  <c r="B23" s="1"/>
  <c r="AG91" i="9"/>
  <c r="AG157"/>
  <c r="AG59"/>
  <c r="AG92"/>
  <c r="AF30"/>
  <c r="AF60"/>
  <c r="AG60" s="1"/>
  <c r="AF92"/>
  <c r="AE124"/>
  <c r="AG124" s="1"/>
  <c r="AB4"/>
  <c r="AG4" s="1"/>
  <c r="AB3"/>
  <c r="AG3" s="1"/>
  <c r="E13" i="31"/>
  <c r="F13"/>
  <c r="E12"/>
  <c r="F12"/>
  <c r="D12"/>
  <c r="D13" i="30"/>
  <c r="A4" i="48" l="1"/>
  <c r="A12" i="47"/>
  <c r="A12" i="48"/>
  <c r="A4" i="46"/>
  <c r="A4" i="47"/>
  <c r="A20" i="46"/>
  <c r="A12" i="45"/>
  <c r="A12" i="46"/>
  <c r="A4" i="44"/>
  <c r="A4" i="45"/>
  <c r="A20" i="44"/>
  <c r="A12" i="43"/>
  <c r="A12" i="44"/>
  <c r="A4" i="42"/>
  <c r="A4" i="43"/>
  <c r="A20" i="41"/>
  <c r="A12"/>
  <c r="A12" i="42"/>
  <c r="A4" i="41"/>
  <c r="A4" i="38"/>
  <c r="A12"/>
  <c r="H34" i="1"/>
  <c r="V9"/>
  <c r="H27"/>
  <c r="Q27" s="1"/>
  <c r="Q26"/>
  <c r="D10" s="1"/>
  <c r="Q24"/>
  <c r="D8" s="1"/>
  <c r="Q25"/>
  <c r="D9" s="1"/>
  <c r="F24" i="32"/>
  <c r="G19"/>
  <c r="P12" i="31"/>
  <c r="A18"/>
  <c r="A50"/>
  <c r="E14"/>
  <c r="F14"/>
  <c r="F131" i="10"/>
  <c r="G23" i="1"/>
  <c r="Q23" s="1"/>
  <c r="V8"/>
  <c r="D112" i="10"/>
  <c r="A20" i="38" s="1"/>
  <c r="E111" i="10"/>
  <c r="D14" i="30"/>
  <c r="F7" i="28"/>
  <c r="E201" i="10"/>
  <c r="E181"/>
  <c r="E161"/>
  <c r="E162" s="1"/>
  <c r="B20" i="19"/>
  <c r="AG29" i="9"/>
  <c r="B28" i="19"/>
  <c r="V7"/>
  <c r="E151" i="10"/>
  <c r="AG30" i="9"/>
  <c r="D162" i="10"/>
  <c r="A20" i="42" s="1"/>
  <c r="E221" i="10"/>
  <c r="D222"/>
  <c r="A20" i="48" s="1"/>
  <c r="D212" i="10"/>
  <c r="A20" i="47" s="1"/>
  <c r="E211" i="10"/>
  <c r="D192"/>
  <c r="A20" i="45" s="1"/>
  <c r="E191" i="10"/>
  <c r="D172"/>
  <c r="A20" i="43" s="1"/>
  <c r="E171" i="10"/>
  <c r="F141"/>
  <c r="F121"/>
  <c r="E122"/>
  <c r="B24"/>
  <c r="B25" s="1"/>
  <c r="B26" s="1"/>
  <c r="B27" s="1"/>
  <c r="B29" s="1"/>
  <c r="K3" s="1"/>
  <c r="F132" s="1"/>
  <c r="D12" i="1"/>
  <c r="F13" i="30"/>
  <c r="G13"/>
  <c r="E13"/>
  <c r="A28" i="47" l="1"/>
  <c r="A28" i="45"/>
  <c r="A28" i="43"/>
  <c r="A28" i="42"/>
  <c r="G131" i="10"/>
  <c r="G34" i="1"/>
  <c r="E112" i="10"/>
  <c r="A28" i="38" s="1"/>
  <c r="F111" i="10"/>
  <c r="G14" i="30"/>
  <c r="F14"/>
  <c r="E14"/>
  <c r="F161" i="10"/>
  <c r="F201"/>
  <c r="E202"/>
  <c r="A28" i="46" s="1"/>
  <c r="F181" i="10"/>
  <c r="E182"/>
  <c r="A28" i="44" s="1"/>
  <c r="B36" i="19"/>
  <c r="F151" i="10"/>
  <c r="E152"/>
  <c r="A28" i="41" s="1"/>
  <c r="E222" i="10"/>
  <c r="A28" i="48" s="1"/>
  <c r="F221" i="10"/>
  <c r="E212"/>
  <c r="F211"/>
  <c r="E192"/>
  <c r="F191"/>
  <c r="E172"/>
  <c r="F171"/>
  <c r="D132"/>
  <c r="A20" i="39" s="1"/>
  <c r="E132" i="10"/>
  <c r="A28" i="39" s="1"/>
  <c r="B132" i="10"/>
  <c r="A4" i="39" s="1"/>
  <c r="C132" i="10"/>
  <c r="A12" i="39" s="1"/>
  <c r="G141" i="10"/>
  <c r="G132"/>
  <c r="H131"/>
  <c r="G121"/>
  <c r="F122"/>
  <c r="B28"/>
  <c r="B31" s="1"/>
  <c r="D11" i="1"/>
  <c r="H13" i="30"/>
  <c r="A36" i="39" l="1"/>
  <c r="F112" i="10"/>
  <c r="A36" i="38" s="1"/>
  <c r="G111" i="10"/>
  <c r="H14" i="30"/>
  <c r="G161" i="10"/>
  <c r="F162"/>
  <c r="A36" i="42" s="1"/>
  <c r="F182" i="10"/>
  <c r="A36" i="44" s="1"/>
  <c r="G181" i="10"/>
  <c r="G201"/>
  <c r="F202"/>
  <c r="A36" i="46" s="1"/>
  <c r="B44" i="19"/>
  <c r="G151" i="10"/>
  <c r="F152"/>
  <c r="A36" i="41" s="1"/>
  <c r="F222" i="10"/>
  <c r="A36" i="48" s="1"/>
  <c r="G221" i="10"/>
  <c r="F212"/>
  <c r="A36" i="47" s="1"/>
  <c r="G211" i="10"/>
  <c r="F192"/>
  <c r="A36" i="45" s="1"/>
  <c r="G191" i="10"/>
  <c r="G171"/>
  <c r="F172"/>
  <c r="A36" i="43" s="1"/>
  <c r="H141" i="10"/>
  <c r="I131"/>
  <c r="H132"/>
  <c r="H121"/>
  <c r="G122"/>
  <c r="K4"/>
  <c r="I13" i="30"/>
  <c r="A44" i="47" l="1"/>
  <c r="A44" i="44"/>
  <c r="A44" i="39"/>
  <c r="A44" i="40"/>
  <c r="G112" i="10"/>
  <c r="A44" i="38" s="1"/>
  <c r="H111" i="10"/>
  <c r="I14" i="30"/>
  <c r="G202" i="10"/>
  <c r="A44" i="46" s="1"/>
  <c r="H201" i="10"/>
  <c r="H181"/>
  <c r="G182"/>
  <c r="H161"/>
  <c r="G162"/>
  <c r="A44" i="42" s="1"/>
  <c r="B52" i="19"/>
  <c r="H151" i="10"/>
  <c r="G152"/>
  <c r="A44" i="41" s="1"/>
  <c r="G222" i="10"/>
  <c r="A44" i="48" s="1"/>
  <c r="H221" i="10"/>
  <c r="H211"/>
  <c r="G212"/>
  <c r="E142"/>
  <c r="B142"/>
  <c r="F142"/>
  <c r="C142"/>
  <c r="D142"/>
  <c r="G142"/>
  <c r="H191"/>
  <c r="G192"/>
  <c r="A44" i="45" s="1"/>
  <c r="H171" i="10"/>
  <c r="G172"/>
  <c r="A44" i="43" s="1"/>
  <c r="H142" i="10"/>
  <c r="I141"/>
  <c r="J131"/>
  <c r="I132"/>
  <c r="I121"/>
  <c r="H122"/>
  <c r="J13" i="30"/>
  <c r="A36" i="37" l="1"/>
  <c r="A36" i="40"/>
  <c r="A28" i="37"/>
  <c r="A28" i="40"/>
  <c r="A4" i="37"/>
  <c r="A4" i="40"/>
  <c r="A20" i="37"/>
  <c r="A20" i="40"/>
  <c r="A12" i="37"/>
  <c r="A12" i="40"/>
  <c r="A52" i="39"/>
  <c r="A52" i="40"/>
  <c r="A44" i="37"/>
  <c r="D10" i="30"/>
  <c r="T21" s="1"/>
  <c r="E10"/>
  <c r="T22" s="1"/>
  <c r="G10"/>
  <c r="T24" s="1"/>
  <c r="H10"/>
  <c r="T25" s="1"/>
  <c r="F10"/>
  <c r="T23" s="1"/>
  <c r="I111" i="10"/>
  <c r="H112"/>
  <c r="A52" i="38" s="1"/>
  <c r="I10" i="30"/>
  <c r="T26" s="1"/>
  <c r="J14"/>
  <c r="H182" i="10"/>
  <c r="A52" i="44" s="1"/>
  <c r="I181" i="10"/>
  <c r="H202"/>
  <c r="A52" i="46" s="1"/>
  <c r="I201" i="10"/>
  <c r="H162"/>
  <c r="A52" i="42" s="1"/>
  <c r="I161" i="10"/>
  <c r="B60" i="19"/>
  <c r="I151" i="10"/>
  <c r="H152"/>
  <c r="A52" i="41" s="1"/>
  <c r="A36" i="19"/>
  <c r="A12"/>
  <c r="A20"/>
  <c r="A52"/>
  <c r="A4"/>
  <c r="A28"/>
  <c r="A44"/>
  <c r="H222" i="10"/>
  <c r="A52" i="48" s="1"/>
  <c r="I221" i="10"/>
  <c r="H212"/>
  <c r="A52" i="47" s="1"/>
  <c r="I211" i="10"/>
  <c r="H192"/>
  <c r="A52" i="45" s="1"/>
  <c r="I191" i="10"/>
  <c r="H172"/>
  <c r="A52" i="43" s="1"/>
  <c r="I171" i="10"/>
  <c r="I142"/>
  <c r="J141"/>
  <c r="J132"/>
  <c r="K131"/>
  <c r="J121"/>
  <c r="I122"/>
  <c r="K13" i="30"/>
  <c r="A60" i="47" l="1"/>
  <c r="A60" i="48"/>
  <c r="A60" i="45"/>
  <c r="A60" i="43"/>
  <c r="A60" i="44"/>
  <c r="A52" i="37"/>
  <c r="A60" i="39"/>
  <c r="A60" i="40"/>
  <c r="J111" i="10"/>
  <c r="I112"/>
  <c r="A60" i="38" s="1"/>
  <c r="J10" i="30"/>
  <c r="T27" s="1"/>
  <c r="K14"/>
  <c r="I162" i="10"/>
  <c r="A60" i="42" s="1"/>
  <c r="J161" i="10"/>
  <c r="I182"/>
  <c r="J181"/>
  <c r="J201"/>
  <c r="I202"/>
  <c r="A60" i="46" s="1"/>
  <c r="B68" i="19"/>
  <c r="J151" i="10"/>
  <c r="I152"/>
  <c r="A60" i="41" s="1"/>
  <c r="A60" i="19"/>
  <c r="I222" i="10"/>
  <c r="J221"/>
  <c r="I212"/>
  <c r="J211"/>
  <c r="I192"/>
  <c r="J191"/>
  <c r="I172"/>
  <c r="J171"/>
  <c r="K141"/>
  <c r="J142"/>
  <c r="K132"/>
  <c r="L131"/>
  <c r="K121"/>
  <c r="J122"/>
  <c r="L13" i="30"/>
  <c r="A68" i="47" l="1"/>
  <c r="A68" i="48"/>
  <c r="A68" i="45"/>
  <c r="A68" i="46"/>
  <c r="A68" i="43"/>
  <c r="A68" i="42"/>
  <c r="A68" i="39"/>
  <c r="A68" i="40"/>
  <c r="A60" i="37"/>
  <c r="J112" i="10"/>
  <c r="A68" i="38" s="1"/>
  <c r="K111" i="10"/>
  <c r="K10" i="30"/>
  <c r="T28" s="1"/>
  <c r="L14"/>
  <c r="K161" i="10"/>
  <c r="J162"/>
  <c r="J202"/>
  <c r="K201"/>
  <c r="J182"/>
  <c r="A68" i="44" s="1"/>
  <c r="K181" i="10"/>
  <c r="B76" i="19"/>
  <c r="K151" i="10"/>
  <c r="J152"/>
  <c r="A68" i="41" s="1"/>
  <c r="A68" i="19"/>
  <c r="K221" i="10"/>
  <c r="J222"/>
  <c r="J212"/>
  <c r="K211"/>
  <c r="K191"/>
  <c r="J192"/>
  <c r="J172"/>
  <c r="K171"/>
  <c r="L141"/>
  <c r="K142"/>
  <c r="L132"/>
  <c r="M131"/>
  <c r="L121"/>
  <c r="K122"/>
  <c r="M13" i="30"/>
  <c r="A76" i="47" l="1"/>
  <c r="A76" i="45"/>
  <c r="A76" i="44"/>
  <c r="A76" i="39"/>
  <c r="A76" i="40"/>
  <c r="A68" i="37"/>
  <c r="L111" i="10"/>
  <c r="K112"/>
  <c r="L10" i="30"/>
  <c r="T29" s="1"/>
  <c r="M14"/>
  <c r="L181" i="10"/>
  <c r="K182"/>
  <c r="L201"/>
  <c r="K202"/>
  <c r="A76" i="46" s="1"/>
  <c r="K162" i="10"/>
  <c r="A76" i="42" s="1"/>
  <c r="L161" i="10"/>
  <c r="B84" i="19"/>
  <c r="L151" i="10"/>
  <c r="K152"/>
  <c r="A76" i="41" s="1"/>
  <c r="A76" i="19"/>
  <c r="K222" i="10"/>
  <c r="A76" i="48" s="1"/>
  <c r="L221" i="10"/>
  <c r="K212"/>
  <c r="L211"/>
  <c r="K192"/>
  <c r="L191"/>
  <c r="K172"/>
  <c r="A76" i="43" s="1"/>
  <c r="L171" i="10"/>
  <c r="M141"/>
  <c r="L142"/>
  <c r="M132"/>
  <c r="N131"/>
  <c r="L122"/>
  <c r="M121"/>
  <c r="N13" i="30"/>
  <c r="A84" i="47" l="1"/>
  <c r="A84" i="43"/>
  <c r="A84" i="42"/>
  <c r="A84" i="39"/>
  <c r="A84" i="40"/>
  <c r="A76" i="37"/>
  <c r="A76" i="38"/>
  <c r="M111" i="10"/>
  <c r="L112"/>
  <c r="M10" i="30"/>
  <c r="T30" s="1"/>
  <c r="N14"/>
  <c r="L162" i="10"/>
  <c r="M161"/>
  <c r="L202"/>
  <c r="A84" i="46" s="1"/>
  <c r="M201" i="10"/>
  <c r="L182"/>
  <c r="A84" i="44" s="1"/>
  <c r="M181" i="10"/>
  <c r="B92" i="19"/>
  <c r="M151" i="10"/>
  <c r="L152"/>
  <c r="A84" i="41" s="1"/>
  <c r="A84" i="19"/>
  <c r="L222" i="10"/>
  <c r="A84" i="48" s="1"/>
  <c r="M221" i="10"/>
  <c r="L212"/>
  <c r="M211"/>
  <c r="M191"/>
  <c r="L192"/>
  <c r="A84" i="45" s="1"/>
  <c r="L172" i="10"/>
  <c r="M171"/>
  <c r="N141"/>
  <c r="M142"/>
  <c r="N132"/>
  <c r="O131"/>
  <c r="M122"/>
  <c r="N121"/>
  <c r="O13" i="30"/>
  <c r="A92" i="47" l="1"/>
  <c r="A92" i="48"/>
  <c r="A92" i="43"/>
  <c r="A92" i="44"/>
  <c r="A92" i="39"/>
  <c r="A92" i="40"/>
  <c r="A84" i="37"/>
  <c r="A84" i="38"/>
  <c r="N111" i="10"/>
  <c r="M112"/>
  <c r="A92" i="38" s="1"/>
  <c r="N10" i="30"/>
  <c r="T31" s="1"/>
  <c r="O14"/>
  <c r="M182" i="10"/>
  <c r="N181"/>
  <c r="M162"/>
  <c r="A92" i="42" s="1"/>
  <c r="N161" i="10"/>
  <c r="M202"/>
  <c r="A92" i="46" s="1"/>
  <c r="N201" i="10"/>
  <c r="B100" i="19"/>
  <c r="N151" i="10"/>
  <c r="M152"/>
  <c r="A92" i="41" s="1"/>
  <c r="A92" i="19"/>
  <c r="N221" i="10"/>
  <c r="M222"/>
  <c r="M212"/>
  <c r="N211"/>
  <c r="M192"/>
  <c r="A92" i="45" s="1"/>
  <c r="N191" i="10"/>
  <c r="M172"/>
  <c r="N171"/>
  <c r="O141"/>
  <c r="N142"/>
  <c r="P131"/>
  <c r="O132"/>
  <c r="O121"/>
  <c r="N122"/>
  <c r="P13" i="30"/>
  <c r="A100" i="47" l="1"/>
  <c r="A100" i="45"/>
  <c r="A100" i="46"/>
  <c r="A100" i="43"/>
  <c r="A100" i="39"/>
  <c r="A100" i="40"/>
  <c r="A92" i="37"/>
  <c r="N112" i="10"/>
  <c r="A100" i="38" s="1"/>
  <c r="O111" i="10"/>
  <c r="O10" i="30"/>
  <c r="T32" s="1"/>
  <c r="P14"/>
  <c r="N202" i="10"/>
  <c r="O201"/>
  <c r="O181"/>
  <c r="N182"/>
  <c r="A100" i="44" s="1"/>
  <c r="N162" i="10"/>
  <c r="A100" i="42" s="1"/>
  <c r="O161" i="10"/>
  <c r="B108" i="19"/>
  <c r="O151" i="10"/>
  <c r="N152"/>
  <c r="A100" i="41" s="1"/>
  <c r="A100" i="19"/>
  <c r="O221" i="10"/>
  <c r="N222"/>
  <c r="A100" i="48" s="1"/>
  <c r="N212" i="10"/>
  <c r="O211"/>
  <c r="O191"/>
  <c r="N192"/>
  <c r="O171"/>
  <c r="N172"/>
  <c r="P141"/>
  <c r="O142"/>
  <c r="Q131"/>
  <c r="P132"/>
  <c r="P121"/>
  <c r="O122"/>
  <c r="Q13" i="30"/>
  <c r="A108" i="47" l="1"/>
  <c r="A108" i="48"/>
  <c r="A108" i="45"/>
  <c r="A108" i="43"/>
  <c r="A108" i="42"/>
  <c r="A108" i="39"/>
  <c r="A108" i="40"/>
  <c r="A100" i="37"/>
  <c r="O112" i="10"/>
  <c r="A108" i="38" s="1"/>
  <c r="P111" i="10"/>
  <c r="P10" i="30"/>
  <c r="T33" s="1"/>
  <c r="Q14"/>
  <c r="O162" i="10"/>
  <c r="P161"/>
  <c r="O182"/>
  <c r="A108" i="44" s="1"/>
  <c r="P181" i="10"/>
  <c r="O202"/>
  <c r="A108" i="46" s="1"/>
  <c r="P201" i="10"/>
  <c r="B116" i="19"/>
  <c r="P151" i="10"/>
  <c r="O152"/>
  <c r="A108" i="41" s="1"/>
  <c r="A108" i="19"/>
  <c r="O222" i="10"/>
  <c r="P221"/>
  <c r="O212"/>
  <c r="P211"/>
  <c r="O192"/>
  <c r="P191"/>
  <c r="O172"/>
  <c r="P171"/>
  <c r="P142"/>
  <c r="Q141"/>
  <c r="Q132"/>
  <c r="R131"/>
  <c r="P122"/>
  <c r="Q121"/>
  <c r="R13" i="30"/>
  <c r="A116" i="48" l="1"/>
  <c r="A116" i="45"/>
  <c r="A116" i="46"/>
  <c r="A116" i="43"/>
  <c r="A116" i="39"/>
  <c r="A116" i="40"/>
  <c r="A108" i="37"/>
  <c r="Q111" i="10"/>
  <c r="P112"/>
  <c r="A116" i="38" s="1"/>
  <c r="Q10" i="30"/>
  <c r="T34" s="1"/>
  <c r="R14"/>
  <c r="Q201" i="10"/>
  <c r="P202"/>
  <c r="P162"/>
  <c r="A116" i="42" s="1"/>
  <c r="Q161" i="10"/>
  <c r="P182"/>
  <c r="A116" i="44" s="1"/>
  <c r="Q181" i="10"/>
  <c r="B124" i="19"/>
  <c r="Q151" i="10"/>
  <c r="P152"/>
  <c r="A116" i="41" s="1"/>
  <c r="A116" i="19"/>
  <c r="Q221" i="10"/>
  <c r="P222"/>
  <c r="Q211"/>
  <c r="P212"/>
  <c r="A116" i="47" s="1"/>
  <c r="Q191" i="10"/>
  <c r="P192"/>
  <c r="Q171"/>
  <c r="P172"/>
  <c r="Q142"/>
  <c r="R141"/>
  <c r="R132"/>
  <c r="S131"/>
  <c r="Q122"/>
  <c r="R121"/>
  <c r="S13" i="30"/>
  <c r="A124" i="47" l="1"/>
  <c r="A124" i="43"/>
  <c r="A124" i="44"/>
  <c r="A124" i="39"/>
  <c r="A124" i="40"/>
  <c r="A116" i="37"/>
  <c r="R111" i="10"/>
  <c r="Q112"/>
  <c r="R10" i="30"/>
  <c r="T35" s="1"/>
  <c r="S14"/>
  <c r="R181" i="10"/>
  <c r="Q182"/>
  <c r="Q162"/>
  <c r="A124" i="42" s="1"/>
  <c r="R161" i="10"/>
  <c r="R201"/>
  <c r="Q202"/>
  <c r="A124" i="46" s="1"/>
  <c r="B132" i="19"/>
  <c r="Q152" i="10"/>
  <c r="A124" i="41" s="1"/>
  <c r="R151" i="10"/>
  <c r="A124" i="19"/>
  <c r="Q222" i="10"/>
  <c r="A124" i="48" s="1"/>
  <c r="R221" i="10"/>
  <c r="Q212"/>
  <c r="R211"/>
  <c r="Q192"/>
  <c r="A124" i="45" s="1"/>
  <c r="R191" i="10"/>
  <c r="Q172"/>
  <c r="R171"/>
  <c r="R142"/>
  <c r="S141"/>
  <c r="S132"/>
  <c r="T131"/>
  <c r="R122"/>
  <c r="S121"/>
  <c r="T13" i="30"/>
  <c r="A132" i="39" l="1"/>
  <c r="A132" i="40"/>
  <c r="A124" i="37"/>
  <c r="A124" i="38"/>
  <c r="S111" i="10"/>
  <c r="R112"/>
  <c r="A132" i="38" s="1"/>
  <c r="S10" i="30"/>
  <c r="T36" s="1"/>
  <c r="T14"/>
  <c r="R202" i="10"/>
  <c r="A132" i="46" s="1"/>
  <c r="S201" i="10"/>
  <c r="R162"/>
  <c r="A132" i="42" s="1"/>
  <c r="S161" i="10"/>
  <c r="S181"/>
  <c r="R182"/>
  <c r="A132" i="44" s="1"/>
  <c r="B140" i="19"/>
  <c r="S151" i="10"/>
  <c r="R152"/>
  <c r="A132" i="41" s="1"/>
  <c r="A132" i="19"/>
  <c r="R222" i="10"/>
  <c r="A132" i="48" s="1"/>
  <c r="S221" i="10"/>
  <c r="R212"/>
  <c r="A132" i="47" s="1"/>
  <c r="S211" i="10"/>
  <c r="R192"/>
  <c r="A132" i="45" s="1"/>
  <c r="S191" i="10"/>
  <c r="R172"/>
  <c r="A132" i="43" s="1"/>
  <c r="S171" i="10"/>
  <c r="S142"/>
  <c r="T141"/>
  <c r="T132"/>
  <c r="U131"/>
  <c r="T121"/>
  <c r="S122"/>
  <c r="U13" i="30"/>
  <c r="A140" i="39" l="1"/>
  <c r="A140" i="40"/>
  <c r="A132" i="37"/>
  <c r="S112" i="10"/>
  <c r="T111"/>
  <c r="T10" i="30"/>
  <c r="T37" s="1"/>
  <c r="U14"/>
  <c r="T201" i="10"/>
  <c r="S202"/>
  <c r="A140" i="46" s="1"/>
  <c r="S182" i="10"/>
  <c r="A140" i="44" s="1"/>
  <c r="T181" i="10"/>
  <c r="S162"/>
  <c r="A140" i="42" s="1"/>
  <c r="T161" i="10"/>
  <c r="B148" i="19"/>
  <c r="T151" i="10"/>
  <c r="S152"/>
  <c r="A140" i="41" s="1"/>
  <c r="A140" i="19"/>
  <c r="S222" i="10"/>
  <c r="A140" i="48" s="1"/>
  <c r="T221" i="10"/>
  <c r="S212"/>
  <c r="A140" i="47" s="1"/>
  <c r="T211" i="10"/>
  <c r="S192"/>
  <c r="A140" i="45" s="1"/>
  <c r="T191" i="10"/>
  <c r="S172"/>
  <c r="A140" i="43" s="1"/>
  <c r="T171" i="10"/>
  <c r="T142"/>
  <c r="U141"/>
  <c r="U132"/>
  <c r="V131"/>
  <c r="U121"/>
  <c r="T122"/>
  <c r="V13" i="30"/>
  <c r="A148" i="48" l="1"/>
  <c r="A148" i="43"/>
  <c r="A148" i="39"/>
  <c r="A148" i="40"/>
  <c r="A140" i="37"/>
  <c r="A140" i="38"/>
  <c r="U111" i="10"/>
  <c r="T112"/>
  <c r="A148" i="38" s="1"/>
  <c r="U10" i="30"/>
  <c r="T38" s="1"/>
  <c r="V14"/>
  <c r="U161" i="10"/>
  <c r="T162"/>
  <c r="A148" i="42" s="1"/>
  <c r="T182" i="10"/>
  <c r="A148" i="44" s="1"/>
  <c r="U181" i="10"/>
  <c r="U201"/>
  <c r="T202"/>
  <c r="A148" i="46" s="1"/>
  <c r="U151" i="10"/>
  <c r="T152"/>
  <c r="A148" i="41" s="1"/>
  <c r="B156" i="19"/>
  <c r="A148"/>
  <c r="U221" i="10"/>
  <c r="T222"/>
  <c r="T212"/>
  <c r="A148" i="47" s="1"/>
  <c r="U211" i="10"/>
  <c r="T192"/>
  <c r="A148" i="45" s="1"/>
  <c r="U191" i="10"/>
  <c r="T172"/>
  <c r="U171"/>
  <c r="U142"/>
  <c r="V141"/>
  <c r="V132"/>
  <c r="W131"/>
  <c r="V121"/>
  <c r="U122"/>
  <c r="W13" i="30"/>
  <c r="A156" i="45" l="1"/>
  <c r="A156" i="46"/>
  <c r="A156" i="43"/>
  <c r="A156" i="39"/>
  <c r="A156" i="40"/>
  <c r="A148" i="37"/>
  <c r="U112" i="10"/>
  <c r="V111"/>
  <c r="V10" i="30"/>
  <c r="T39" s="1"/>
  <c r="W14"/>
  <c r="V201" i="10"/>
  <c r="U202"/>
  <c r="V181"/>
  <c r="U182"/>
  <c r="A156" i="44" s="1"/>
  <c r="V161" i="10"/>
  <c r="U162"/>
  <c r="A156" i="42" s="1"/>
  <c r="B164" i="19"/>
  <c r="U152" i="10"/>
  <c r="A156" i="41" s="1"/>
  <c r="V151" i="10"/>
  <c r="A156" i="19"/>
  <c r="V221" i="10"/>
  <c r="U222"/>
  <c r="A156" i="48" s="1"/>
  <c r="U212" i="10"/>
  <c r="A156" i="47" s="1"/>
  <c r="V211" i="10"/>
  <c r="U192"/>
  <c r="V191"/>
  <c r="U172"/>
  <c r="V171"/>
  <c r="V142"/>
  <c r="W141"/>
  <c r="W132"/>
  <c r="X131"/>
  <c r="W121"/>
  <c r="V122"/>
  <c r="X13" i="30"/>
  <c r="A164" i="47" l="1"/>
  <c r="A164" i="45"/>
  <c r="A164" i="43"/>
  <c r="A164" i="39"/>
  <c r="A164" i="40"/>
  <c r="A156" i="37"/>
  <c r="A156" i="38"/>
  <c r="W111" i="10"/>
  <c r="V112"/>
  <c r="A164" i="38" s="1"/>
  <c r="W10" i="30"/>
  <c r="T40" s="1"/>
  <c r="X14"/>
  <c r="W181" i="10"/>
  <c r="V182"/>
  <c r="A164" i="44" s="1"/>
  <c r="V162" i="10"/>
  <c r="A164" i="42" s="1"/>
  <c r="W161" i="10"/>
  <c r="W201"/>
  <c r="V202"/>
  <c r="A164" i="46" s="1"/>
  <c r="W151" i="10"/>
  <c r="V152"/>
  <c r="A164" i="41" s="1"/>
  <c r="B172" i="19"/>
  <c r="A164"/>
  <c r="W221" i="10"/>
  <c r="V222"/>
  <c r="A164" i="48" s="1"/>
  <c r="V212" i="10"/>
  <c r="W211"/>
  <c r="V192"/>
  <c r="W191"/>
  <c r="W171"/>
  <c r="V172"/>
  <c r="X141"/>
  <c r="W142"/>
  <c r="Y131"/>
  <c r="X132"/>
  <c r="X121"/>
  <c r="W122"/>
  <c r="Y13" i="30"/>
  <c r="A172" i="47" l="1"/>
  <c r="A172" i="45"/>
  <c r="A172" i="46"/>
  <c r="A172" i="39"/>
  <c r="A172" i="40"/>
  <c r="A164" i="37"/>
  <c r="W112" i="10"/>
  <c r="A172" i="38" s="1"/>
  <c r="X111" i="10"/>
  <c r="X10" i="30"/>
  <c r="T41" s="1"/>
  <c r="Y14"/>
  <c r="X201" i="10"/>
  <c r="W202"/>
  <c r="W162"/>
  <c r="A172" i="42" s="1"/>
  <c r="X161" i="10"/>
  <c r="X181"/>
  <c r="W182"/>
  <c r="A172" i="44" s="1"/>
  <c r="B180" i="19"/>
  <c r="W152" i="10"/>
  <c r="A172" i="41" s="1"/>
  <c r="X151" i="10"/>
  <c r="A172" i="19"/>
  <c r="W222" i="10"/>
  <c r="A172" i="48" s="1"/>
  <c r="X221" i="10"/>
  <c r="X211"/>
  <c r="W212"/>
  <c r="X191"/>
  <c r="W192"/>
  <c r="W172"/>
  <c r="A172" i="43" s="1"/>
  <c r="X171" i="10"/>
  <c r="Y141"/>
  <c r="X142"/>
  <c r="Z131"/>
  <c r="Y132"/>
  <c r="Y121"/>
  <c r="X122"/>
  <c r="Z13" i="30"/>
  <c r="A180" i="47" l="1"/>
  <c r="A180" i="48"/>
  <c r="A180" i="45"/>
  <c r="A180" i="43"/>
  <c r="A180" i="44"/>
  <c r="A180" i="39"/>
  <c r="A180" i="40"/>
  <c r="A172" i="37"/>
  <c r="X112" i="10"/>
  <c r="A180" i="38" s="1"/>
  <c r="Y111" i="10"/>
  <c r="Y10" i="30"/>
  <c r="T42" s="1"/>
  <c r="Z14"/>
  <c r="X182" i="10"/>
  <c r="Y181"/>
  <c r="X162"/>
  <c r="A180" i="42" s="1"/>
  <c r="Y161" i="10"/>
  <c r="Y201"/>
  <c r="X202"/>
  <c r="A180" i="46" s="1"/>
  <c r="B188" i="19"/>
  <c r="Y151" i="10"/>
  <c r="X152"/>
  <c r="A180" i="41" s="1"/>
  <c r="A180" i="19"/>
  <c r="Y221" i="10"/>
  <c r="X222"/>
  <c r="Y211"/>
  <c r="X212"/>
  <c r="Y191"/>
  <c r="X192"/>
  <c r="Y171"/>
  <c r="X172"/>
  <c r="Y142"/>
  <c r="Z141"/>
  <c r="AA131"/>
  <c r="Z132"/>
  <c r="Z121"/>
  <c r="Y122"/>
  <c r="AA13" i="30"/>
  <c r="A188" i="48" l="1"/>
  <c r="A188" i="45"/>
  <c r="A188" i="43"/>
  <c r="A188" i="44"/>
  <c r="A188" i="39"/>
  <c r="A188" i="40"/>
  <c r="A180" i="37"/>
  <c r="Z111" i="10"/>
  <c r="Y112"/>
  <c r="A188" i="38" s="1"/>
  <c r="Z10" i="30"/>
  <c r="T43" s="1"/>
  <c r="AA14"/>
  <c r="Y182" i="10"/>
  <c r="Z181"/>
  <c r="Z201"/>
  <c r="Y202"/>
  <c r="A188" i="46" s="1"/>
  <c r="Y162" i="10"/>
  <c r="A188" i="42" s="1"/>
  <c r="Z161" i="10"/>
  <c r="Z151"/>
  <c r="Y152"/>
  <c r="A188" i="41" s="1"/>
  <c r="B196" i="19"/>
  <c r="A188"/>
  <c r="Y222" i="10"/>
  <c r="Z221"/>
  <c r="Z211"/>
  <c r="Y212"/>
  <c r="A188" i="47" s="1"/>
  <c r="Z191" i="10"/>
  <c r="Y192"/>
  <c r="Z171"/>
  <c r="Y172"/>
  <c r="Z142"/>
  <c r="AA141"/>
  <c r="AB131"/>
  <c r="AA132"/>
  <c r="AA121"/>
  <c r="Z122"/>
  <c r="AB13" i="30"/>
  <c r="A196" i="47" l="1"/>
  <c r="A196" i="48"/>
  <c r="A196" i="45"/>
  <c r="A196" i="43"/>
  <c r="A196" i="42"/>
  <c r="A196" i="39"/>
  <c r="A196" i="40"/>
  <c r="A188" i="37"/>
  <c r="AA111" i="10"/>
  <c r="Z112"/>
  <c r="AA10" i="30"/>
  <c r="T44" s="1"/>
  <c r="AB14"/>
  <c r="Z162" i="10"/>
  <c r="AA161"/>
  <c r="Z202"/>
  <c r="A196" i="46" s="1"/>
  <c r="AA201" i="10"/>
  <c r="Z182"/>
  <c r="A196" i="44" s="1"/>
  <c r="AA181" i="10"/>
  <c r="B204" i="19"/>
  <c r="AA151" i="10"/>
  <c r="Z152"/>
  <c r="A196" i="41" s="1"/>
  <c r="A196" i="19"/>
  <c r="Z222" i="10"/>
  <c r="AA221"/>
  <c r="Z212"/>
  <c r="AA211"/>
  <c r="Z192"/>
  <c r="AA191"/>
  <c r="Z172"/>
  <c r="AA171"/>
  <c r="AA142"/>
  <c r="AB141"/>
  <c r="AB132"/>
  <c r="AC131"/>
  <c r="AB121"/>
  <c r="AA122"/>
  <c r="AC13" i="30"/>
  <c r="A204" i="45" l="1"/>
  <c r="A204" i="44"/>
  <c r="A204" i="39"/>
  <c r="A204" i="40"/>
  <c r="A196" i="37"/>
  <c r="A196" i="38"/>
  <c r="AA112" i="10"/>
  <c r="A204" i="38" s="1"/>
  <c r="AB111" i="10"/>
  <c r="AB10" i="30"/>
  <c r="T45" s="1"/>
  <c r="AC14"/>
  <c r="AI14" s="1"/>
  <c r="AI13"/>
  <c r="A52" s="1"/>
  <c r="AA182" i="10"/>
  <c r="AB181"/>
  <c r="AB161"/>
  <c r="AA162"/>
  <c r="A204" i="42" s="1"/>
  <c r="AA202" i="10"/>
  <c r="A204" i="46" s="1"/>
  <c r="AB201" i="10"/>
  <c r="B212" i="19"/>
  <c r="AA152" i="10"/>
  <c r="A204" i="41" s="1"/>
  <c r="AB151" i="10"/>
  <c r="A204" i="19"/>
  <c r="AA222" i="10"/>
  <c r="A204" i="48" s="1"/>
  <c r="AB221" i="10"/>
  <c r="AA212"/>
  <c r="A204" i="47" s="1"/>
  <c r="AB211" i="10"/>
  <c r="AA192"/>
  <c r="AB191"/>
  <c r="AA172"/>
  <c r="A204" i="43" s="1"/>
  <c r="AB171" i="10"/>
  <c r="AC141"/>
  <c r="AB142"/>
  <c r="AC132"/>
  <c r="AD131"/>
  <c r="AB122"/>
  <c r="AC121"/>
  <c r="D13" i="31"/>
  <c r="A212" i="47" l="1"/>
  <c r="A212" i="48"/>
  <c r="A212" i="45"/>
  <c r="A212" i="39"/>
  <c r="A212" i="40"/>
  <c r="A204" i="37"/>
  <c r="A53" i="31"/>
  <c r="AB112" i="10"/>
  <c r="A212" i="38" s="1"/>
  <c r="AC111" i="10"/>
  <c r="D14" i="31"/>
  <c r="P14" s="1"/>
  <c r="P13"/>
  <c r="V6" i="1"/>
  <c r="I5" i="28"/>
  <c r="AC10" i="30"/>
  <c r="T46" s="1"/>
  <c r="AB202" i="10"/>
  <c r="A212" i="46" s="1"/>
  <c r="AC201" i="10"/>
  <c r="AB162"/>
  <c r="A212" i="42" s="1"/>
  <c r="AC161" i="10"/>
  <c r="AC181"/>
  <c r="AB182"/>
  <c r="A212" i="44" s="1"/>
  <c r="B220" i="19"/>
  <c r="AC151" i="10"/>
  <c r="AB152"/>
  <c r="A212" i="41" s="1"/>
  <c r="A212" i="19"/>
  <c r="AC221" i="10"/>
  <c r="AB222"/>
  <c r="AB212"/>
  <c r="AC211"/>
  <c r="AB192"/>
  <c r="AC191"/>
  <c r="AB172"/>
  <c r="A212" i="43" s="1"/>
  <c r="AC171" i="10"/>
  <c r="AD141"/>
  <c r="AC142"/>
  <c r="AD132"/>
  <c r="AE131"/>
  <c r="AD121"/>
  <c r="AC122"/>
  <c r="B228" i="48" l="1"/>
  <c r="B228" i="39"/>
  <c r="A228" s="1"/>
  <c r="B228" i="38"/>
  <c r="B228" i="40"/>
  <c r="B228" i="43"/>
  <c r="B228" i="41"/>
  <c r="B228" i="42"/>
  <c r="A220" i="39"/>
  <c r="A220" i="40"/>
  <c r="A212" i="37"/>
  <c r="V3" i="1"/>
  <c r="AD111" i="10"/>
  <c r="B228" i="37" s="1"/>
  <c r="AC112" i="10"/>
  <c r="E34" i="1"/>
  <c r="Q34" s="1"/>
  <c r="V6" i="19"/>
  <c r="V3" s="1"/>
  <c r="T227" s="1"/>
  <c r="AD10" i="30"/>
  <c r="T47" s="1"/>
  <c r="AC202" i="10"/>
  <c r="A220" i="46" s="1"/>
  <c r="AD201" i="10"/>
  <c r="B228" i="46" s="1"/>
  <c r="AD181" i="10"/>
  <c r="B228" i="44" s="1"/>
  <c r="AC182" i="10"/>
  <c r="A220" i="44" s="1"/>
  <c r="AC162" i="10"/>
  <c r="A220" i="42" s="1"/>
  <c r="AD161" i="10"/>
  <c r="B228" i="19"/>
  <c r="AD151" i="10"/>
  <c r="AC152"/>
  <c r="A220" i="41" s="1"/>
  <c r="A220" i="19"/>
  <c r="AD221" i="10"/>
  <c r="AC222"/>
  <c r="A220" i="48" s="1"/>
  <c r="AC212" i="10"/>
  <c r="A220" i="47" s="1"/>
  <c r="AD211" i="10"/>
  <c r="B228" i="47" s="1"/>
  <c r="AC192" i="10"/>
  <c r="A220" i="45" s="1"/>
  <c r="AD191" i="10"/>
  <c r="B228" i="45" s="1"/>
  <c r="AC172" i="10"/>
  <c r="A220" i="43" s="1"/>
  <c r="AD171" i="10"/>
  <c r="AE141"/>
  <c r="AD142"/>
  <c r="AF131"/>
  <c r="AE132"/>
  <c r="AE121"/>
  <c r="AD122"/>
  <c r="A228" i="40" l="1"/>
  <c r="A228" i="43"/>
  <c r="B236" i="41"/>
  <c r="B236" i="39"/>
  <c r="A236" s="1"/>
  <c r="B236" i="38"/>
  <c r="B236" i="40"/>
  <c r="A220" i="37"/>
  <c r="A220" i="38"/>
  <c r="D18" i="1"/>
  <c r="AD112" i="10"/>
  <c r="AE111"/>
  <c r="B236" i="37" s="1"/>
  <c r="T27" i="19"/>
  <c r="T147"/>
  <c r="T203"/>
  <c r="T123"/>
  <c r="T179"/>
  <c r="T99"/>
  <c r="T59"/>
  <c r="T131"/>
  <c r="T171"/>
  <c r="T83"/>
  <c r="T67"/>
  <c r="T251"/>
  <c r="T43"/>
  <c r="T163"/>
  <c r="T19"/>
  <c r="T115"/>
  <c r="T211"/>
  <c r="T187"/>
  <c r="T235"/>
  <c r="T243"/>
  <c r="T139"/>
  <c r="T51"/>
  <c r="T91"/>
  <c r="T35"/>
  <c r="T107"/>
  <c r="T11"/>
  <c r="T195"/>
  <c r="T155"/>
  <c r="T75"/>
  <c r="T219"/>
  <c r="AE10" i="30"/>
  <c r="T48" s="1"/>
  <c r="AE161" i="10"/>
  <c r="B236" i="42" s="1"/>
  <c r="AD162" i="10"/>
  <c r="A228" i="42" s="1"/>
  <c r="AE181" i="10"/>
  <c r="B236" i="44" s="1"/>
  <c r="AD182" i="10"/>
  <c r="A228" i="44" s="1"/>
  <c r="AE201" i="10"/>
  <c r="B236" i="46" s="1"/>
  <c r="AD202" i="10"/>
  <c r="A228" i="46" s="1"/>
  <c r="AF132" i="10"/>
  <c r="B236" i="19"/>
  <c r="AE151" i="10"/>
  <c r="AD152"/>
  <c r="A228" i="41" s="1"/>
  <c r="A228" i="19"/>
  <c r="AD222" i="10"/>
  <c r="A228" i="48" s="1"/>
  <c r="AE221" i="10"/>
  <c r="B236" i="48" s="1"/>
  <c r="AE211" i="10"/>
  <c r="B236" i="47" s="1"/>
  <c r="AD212" i="10"/>
  <c r="A228" i="47" s="1"/>
  <c r="AD192" i="10"/>
  <c r="A228" i="45" s="1"/>
  <c r="AE191" i="10"/>
  <c r="B236" i="45" s="1"/>
  <c r="AE171" i="10"/>
  <c r="B236" i="43" s="1"/>
  <c r="AD172" i="10"/>
  <c r="AE142"/>
  <c r="AF141"/>
  <c r="AE122"/>
  <c r="AF121"/>
  <c r="A236" i="46" l="1"/>
  <c r="A236" i="45"/>
  <c r="A236" i="44"/>
  <c r="A236" i="40"/>
  <c r="B244" i="39"/>
  <c r="A244" s="1"/>
  <c r="B244" i="38"/>
  <c r="B244" i="40"/>
  <c r="A244" s="1"/>
  <c r="A228" i="37"/>
  <c r="A228" i="38"/>
  <c r="AE112" i="10"/>
  <c r="AF111"/>
  <c r="AF10" i="30"/>
  <c r="AF181" i="10"/>
  <c r="B244" i="44" s="1"/>
  <c r="AE182" i="10"/>
  <c r="AE202"/>
  <c r="AF201"/>
  <c r="B244" i="46" s="1"/>
  <c r="AF161" i="10"/>
  <c r="B244" i="42" s="1"/>
  <c r="A244" s="1"/>
  <c r="AE162" i="10"/>
  <c r="A236" i="42" s="1"/>
  <c r="AF122" i="10"/>
  <c r="AF142"/>
  <c r="B244" i="19"/>
  <c r="A244" s="1"/>
  <c r="AE152" i="10"/>
  <c r="A236" i="41" s="1"/>
  <c r="AF151" i="10"/>
  <c r="B244" i="41" s="1"/>
  <c r="A236" i="19"/>
  <c r="AE222" i="10"/>
  <c r="A236" i="48" s="1"/>
  <c r="AF221" i="10"/>
  <c r="B244" i="48" s="1"/>
  <c r="AE212" i="10"/>
  <c r="A236" i="47" s="1"/>
  <c r="AF211" i="10"/>
  <c r="B244" i="47" s="1"/>
  <c r="A244" s="1"/>
  <c r="AE192" i="10"/>
  <c r="AF191"/>
  <c r="B244" i="45" s="1"/>
  <c r="A244" s="1"/>
  <c r="AF171" i="10"/>
  <c r="B244" i="43" s="1"/>
  <c r="AE172" i="10"/>
  <c r="A236" i="43" s="1"/>
  <c r="A244" i="46" l="1"/>
  <c r="A244" i="44"/>
  <c r="AF112" i="10"/>
  <c r="B244" i="37"/>
  <c r="A244" i="38"/>
  <c r="A236" i="37"/>
  <c r="A236" i="38"/>
  <c r="AF11" i="30"/>
  <c r="T49"/>
  <c r="AG10"/>
  <c r="AF162" i="10"/>
  <c r="AF202"/>
  <c r="AF182"/>
  <c r="AF172"/>
  <c r="A244" i="43" s="1"/>
  <c r="AF222" i="10"/>
  <c r="A244" i="48" s="1"/>
  <c r="AF212" i="10"/>
  <c r="AF192"/>
  <c r="AF152"/>
  <c r="A244" i="41" s="1"/>
  <c r="A244" i="37" l="1"/>
  <c r="AG11" i="30"/>
  <c r="T50"/>
  <c r="AH10"/>
  <c r="AH11" l="1"/>
  <c r="T51"/>
  <c r="Q48" s="1"/>
  <c r="AI12"/>
  <c r="A18" s="1"/>
  <c r="Q45" l="1"/>
  <c r="Q50"/>
  <c r="Q51"/>
  <c r="Q21"/>
  <c r="Q23"/>
  <c r="Q22"/>
  <c r="Q24"/>
  <c r="Q26"/>
  <c r="Q25"/>
  <c r="Q27"/>
  <c r="Q28"/>
  <c r="Q29"/>
  <c r="Q30"/>
  <c r="Q31"/>
  <c r="Q32"/>
  <c r="Q33"/>
  <c r="Q34"/>
  <c r="Q38"/>
  <c r="Q35"/>
  <c r="Q36"/>
  <c r="Q37"/>
  <c r="Q39"/>
  <c r="Q40"/>
  <c r="Q41"/>
  <c r="Q42"/>
  <c r="Q43"/>
  <c r="Q46"/>
  <c r="Q44"/>
  <c r="Q49"/>
  <c r="Q47"/>
  <c r="D7" i="1"/>
</calcChain>
</file>

<file path=xl/comments1.xml><?xml version="1.0" encoding="utf-8"?>
<comments xmlns="http://schemas.openxmlformats.org/spreadsheetml/2006/main">
  <authors>
    <author>Darius` Cerniavskis</author>
  </authors>
  <commentList>
    <comment ref="AG1" authorId="0">
      <text>
        <r>
          <rPr>
            <b/>
            <sz val="9"/>
            <color indexed="81"/>
            <rFont val="Tahoma"/>
            <family val="2"/>
          </rPr>
          <t xml:space="preserve">Prioritetas:
0- aukščiausias
9- žemiausias
</t>
        </r>
      </text>
    </comment>
    <comment ref="AH1" authorId="0">
      <text>
        <r>
          <rPr>
            <b/>
            <sz val="9"/>
            <color indexed="81"/>
            <rFont val="Tahoma"/>
            <family val="2"/>
          </rPr>
          <t>Pavardes santrupa rūšoiavimui</t>
        </r>
      </text>
    </comment>
    <comment ref="D19" authorId="0">
      <text>
        <r>
          <rPr>
            <b/>
            <sz val="9"/>
            <color indexed="81"/>
            <rFont val="Tahoma"/>
            <family val="2"/>
          </rPr>
          <t xml:space="preserve">Eilučių skaičius mėnesaių skiltyse skirtų vienai dienai (standartas)
</t>
        </r>
      </text>
    </comment>
  </commentList>
</comments>
</file>

<file path=xl/comments2.xml><?xml version="1.0" encoding="utf-8"?>
<comments xmlns="http://schemas.openxmlformats.org/spreadsheetml/2006/main">
  <authors>
    <author>Darius` Cerniavskis</author>
  </authors>
  <commentList>
    <comment ref="C6" authorId="0">
      <text>
        <r>
          <rPr>
            <b/>
            <sz val="9"/>
            <color indexed="81"/>
            <rFont val="Tahoma"/>
            <charset val="1"/>
          </rPr>
          <t>Norint perkelti duomenis reikia:
1. pažymėti duomenis;
2. Nukopijuoti (ctrl + C)
3. Pastatyti kursorių naujon vieton;
4. Paspausti dešinį pelės mygtuką;
5. Pasirinkti "Paste special"
6. Išsirinkti "Values"
7. OK</t>
        </r>
      </text>
    </comment>
  </commentList>
</comments>
</file>

<file path=xl/comments3.xml><?xml version="1.0" encoding="utf-8"?>
<comments xmlns="http://schemas.openxmlformats.org/spreadsheetml/2006/main">
  <authors>
    <author>Darius` Cerniavskis</author>
  </authors>
  <commentList>
    <comment ref="F17" authorId="0">
      <text>
        <r>
          <rPr>
            <b/>
            <sz val="9"/>
            <color indexed="81"/>
            <rFont val="Tahoma"/>
            <family val="2"/>
          </rPr>
          <t>Ant diagramos paspausti dešinį pelės mygtuką
Pasirinkti "Select Data"
Virš laukelio "Legend...." paspausti "Edit"
Diapazoną nukopijuoti į "Series value"
OK</t>
        </r>
      </text>
    </comment>
    <comment ref="F52" authorId="0">
      <text>
        <r>
          <rPr>
            <b/>
            <sz val="9"/>
            <color indexed="81"/>
            <rFont val="Tahoma"/>
            <family val="2"/>
          </rPr>
          <t>Ant diagramos paspausti dešinį pelės mygtuką
Pasirinkti "Select Data"
Virš laukelio "Legend...." paspausti "Edit"
Diapazoną nukopijuoti į "Series value"
OK</t>
        </r>
      </text>
    </comment>
  </commentList>
</comments>
</file>

<file path=xl/comments4.xml><?xml version="1.0" encoding="utf-8"?>
<comments xmlns="http://schemas.openxmlformats.org/spreadsheetml/2006/main">
  <authors>
    <author>Darius` Cerniavskis</author>
  </authors>
  <commentList>
    <comment ref="F17" authorId="0">
      <text>
        <r>
          <rPr>
            <b/>
            <sz val="9"/>
            <color indexed="81"/>
            <rFont val="Tahoma"/>
            <family val="2"/>
          </rPr>
          <t>Ant diagramos paspausti dešinį pelės mygtuką
Pasirinkti "Select Data"
Virš laukelio "Legend...." paspausti "Edit"
Diapazoną nukopijuoti į "Series value"
OK</t>
        </r>
      </text>
    </comment>
    <comment ref="F52" authorId="0">
      <text>
        <r>
          <rPr>
            <b/>
            <sz val="9"/>
            <color indexed="81"/>
            <rFont val="Tahoma"/>
            <family val="2"/>
          </rPr>
          <t>Ant diagramos paspausti dešinį pelės mygtuką
Pasirinkti "Select Data"
Virš laukelio "Legend...." paspausti "Edit"
Diapazoną nukopijuoti į "Series value"
OK</t>
        </r>
      </text>
    </comment>
  </commentList>
</comments>
</file>

<file path=xl/sharedStrings.xml><?xml version="1.0" encoding="utf-8"?>
<sst xmlns="http://schemas.openxmlformats.org/spreadsheetml/2006/main" count="1543" uniqueCount="202">
  <si>
    <t>Psw:sukciai</t>
  </si>
  <si>
    <t>Sukčiavimo pranešimų apdorojimas</t>
  </si>
  <si>
    <t>per praėjusią parą</t>
  </si>
  <si>
    <t>Paimti ROIK pranešimai (skaičius)</t>
  </si>
  <si>
    <t>C5, C7, C8, C9, C10, C11, C12, C13, C14, C15, C16, C17, C18</t>
  </si>
  <si>
    <t>Apdorota įvykių nuotoliu</t>
  </si>
  <si>
    <t>Tikslinamos aplinkybės (M)</t>
  </si>
  <si>
    <t>Pradėta IT</t>
  </si>
  <si>
    <t>Informuotos kitos institucijos, iš jų:</t>
  </si>
  <si>
    <t>Bankas</t>
  </si>
  <si>
    <t>RRT</t>
  </si>
  <si>
    <t>FNTT</t>
  </si>
  <si>
    <t>NKSC</t>
  </si>
  <si>
    <t>Facebook</t>
  </si>
  <si>
    <t>Kita</t>
  </si>
  <si>
    <t>Pasisavintų lėšų suma, Eur (visų pranešimų) *</t>
  </si>
  <si>
    <t>* Preliminari žala, pateikta pagal pirminę pranešėjų informaciją</t>
  </si>
  <si>
    <t>METŲ REZULTATAS</t>
  </si>
  <si>
    <t>Sausis</t>
  </si>
  <si>
    <t>Vasaris</t>
  </si>
  <si>
    <t>Kovas</t>
  </si>
  <si>
    <t>Balandis</t>
  </si>
  <si>
    <t>Gegužė</t>
  </si>
  <si>
    <t>Birželis</t>
  </si>
  <si>
    <t>Liepa</t>
  </si>
  <si>
    <t>Rugpjūtis</t>
  </si>
  <si>
    <t>Rugsėjis</t>
  </si>
  <si>
    <t>Spalis</t>
  </si>
  <si>
    <t>Lapkritis</t>
  </si>
  <si>
    <t>Gruodis</t>
  </si>
  <si>
    <t>VISO</t>
  </si>
  <si>
    <t>Informuotos kitos institucijos</t>
  </si>
  <si>
    <t>Pasisavintų lėšų suma       (visų pranešimų)</t>
  </si>
  <si>
    <r>
      <rPr>
        <b/>
        <sz val="20"/>
        <color rgb="FF000000"/>
        <rFont val="Calibri"/>
        <family val="2"/>
        <charset val="186"/>
      </rPr>
      <t xml:space="preserve">METŲ REZULTATŲ LENTELĖS
PVV3 DARBUOTOJAMS NEPILDYTI
</t>
    </r>
    <r>
      <rPr>
        <b/>
        <sz val="14"/>
        <color rgb="FFFFFFFF"/>
        <rFont val="Calibri"/>
        <family val="2"/>
        <charset val="186"/>
      </rPr>
      <t>(turėtų skaičiuoti automatiškai)</t>
    </r>
  </si>
  <si>
    <t>Mėnesio
diena</t>
  </si>
  <si>
    <t>Vardas, pavardė. Pamaina D/N</t>
  </si>
  <si>
    <t>Apdorota</t>
  </si>
  <si>
    <t>INFORMUOTA</t>
  </si>
  <si>
    <t>Pasisavintų lėšų suma (visų pranešimų)</t>
  </si>
  <si>
    <t>Neapdorota (siųstos pajėgos)</t>
  </si>
  <si>
    <t>Kontrolinis</t>
  </si>
  <si>
    <t>Pastabos</t>
  </si>
  <si>
    <t>Kontr.
Kasdienė eilutė
(Žalos)</t>
  </si>
  <si>
    <t>Kita/įrašyti</t>
  </si>
  <si>
    <t>dienos foto</t>
  </si>
  <si>
    <t>Saulius Merkininkas, D.</t>
  </si>
  <si>
    <t>Vitalija Jokubynienė, N.</t>
  </si>
  <si>
    <t>Laura Mendelienė, D.</t>
  </si>
  <si>
    <t>Vaidas Šeduikis, D.</t>
  </si>
  <si>
    <t>Jurgita Pilypaitienė, D.</t>
  </si>
  <si>
    <t>Laura Mendelienė, N.</t>
  </si>
  <si>
    <t>Agnė Čepukė, D.</t>
  </si>
  <si>
    <t>Tomas Žuramskas, N.</t>
  </si>
  <si>
    <t>Saulius Merkininkas, N.</t>
  </si>
  <si>
    <t>Giedrė Sajetaitė, D.</t>
  </si>
  <si>
    <t>Tomas Žuramskas, D.</t>
  </si>
  <si>
    <t>Mėnesio foto</t>
  </si>
  <si>
    <t>Vitalija Jokubynienė, D.</t>
  </si>
  <si>
    <t>Jurgita Pilypaitienė, N.</t>
  </si>
  <si>
    <t>Vaidas Šeduikis, N.</t>
  </si>
  <si>
    <t>Giedrė Sajetaitė, N.</t>
  </si>
  <si>
    <t xml:space="preserve">Vilniaus apskr. VPK </t>
  </si>
  <si>
    <t xml:space="preserve">Marijampolės apskr. VPK Vilkaviškio r. PK </t>
  </si>
  <si>
    <t>Panevėžio apskr. VPK</t>
  </si>
  <si>
    <t xml:space="preserve">Kauno apskr. VPK </t>
  </si>
  <si>
    <t>Iš viso Lietuvoje:</t>
  </si>
  <si>
    <t>1 d.</t>
  </si>
  <si>
    <t>2 d.</t>
  </si>
  <si>
    <t>3 d.</t>
  </si>
  <si>
    <t>4 d.</t>
  </si>
  <si>
    <t>5 d.</t>
  </si>
  <si>
    <t>6 d.</t>
  </si>
  <si>
    <t>7 d.</t>
  </si>
  <si>
    <t>8 d.</t>
  </si>
  <si>
    <t>9 d.</t>
  </si>
  <si>
    <t>10 d.</t>
  </si>
  <si>
    <t>11 d.</t>
  </si>
  <si>
    <t>12 d.</t>
  </si>
  <si>
    <t>13 d.</t>
  </si>
  <si>
    <t>14 d.</t>
  </si>
  <si>
    <t>15 d.</t>
  </si>
  <si>
    <t>16 d.</t>
  </si>
  <si>
    <t>17 d.</t>
  </si>
  <si>
    <t>18 d.</t>
  </si>
  <si>
    <t>19 d.</t>
  </si>
  <si>
    <t>20 d.</t>
  </si>
  <si>
    <t>21 d.</t>
  </si>
  <si>
    <t>22 d.</t>
  </si>
  <si>
    <t>23 d.</t>
  </si>
  <si>
    <t>24 d.</t>
  </si>
  <si>
    <t>25 d.</t>
  </si>
  <si>
    <t>26 d.</t>
  </si>
  <si>
    <t>27 d.</t>
  </si>
  <si>
    <t>28 d.</t>
  </si>
  <si>
    <t>29 d.</t>
  </si>
  <si>
    <t>30 d.</t>
  </si>
  <si>
    <t>31 d.</t>
  </si>
  <si>
    <t>Iš viso</t>
  </si>
  <si>
    <t>sausio</t>
  </si>
  <si>
    <t>I</t>
  </si>
  <si>
    <t>vasario</t>
  </si>
  <si>
    <t>II</t>
  </si>
  <si>
    <t>kovo</t>
  </si>
  <si>
    <t>III</t>
  </si>
  <si>
    <t>balandžio</t>
  </si>
  <si>
    <t>IV</t>
  </si>
  <si>
    <t>gegužės</t>
  </si>
  <si>
    <t>birželio</t>
  </si>
  <si>
    <t>liepos</t>
  </si>
  <si>
    <t>rugpjūčio</t>
  </si>
  <si>
    <t>rugsėjo</t>
  </si>
  <si>
    <t>spalio</t>
  </si>
  <si>
    <t>lapkričio</t>
  </si>
  <si>
    <t>gruodžio</t>
  </si>
  <si>
    <t>Velyku skaiciuokle</t>
  </si>
  <si>
    <t>Metai</t>
  </si>
  <si>
    <t>a</t>
  </si>
  <si>
    <t>b</t>
  </si>
  <si>
    <t>c</t>
  </si>
  <si>
    <t>d</t>
  </si>
  <si>
    <t>e1</t>
  </si>
  <si>
    <t>e2</t>
  </si>
  <si>
    <t>e3</t>
  </si>
  <si>
    <t>diena</t>
  </si>
  <si>
    <t>menuo</t>
  </si>
  <si>
    <t>Velykos</t>
  </si>
  <si>
    <t>Metai:</t>
  </si>
  <si>
    <t>PASAULIO PAB.</t>
  </si>
  <si>
    <t>Menuo</t>
  </si>
  <si>
    <t>Dienų sk.</t>
  </si>
  <si>
    <t>Menuo skaičium</t>
  </si>
  <si>
    <t>Dienos eilutes</t>
  </si>
  <si>
    <t>Agnė Čepukė, N.</t>
  </si>
  <si>
    <t>pil</t>
  </si>
  <si>
    <t>saj</t>
  </si>
  <si>
    <t>žur</t>
  </si>
  <si>
    <t>mer</t>
  </si>
  <si>
    <t>jok</t>
  </si>
  <si>
    <t>men</t>
  </si>
  <si>
    <t>šed</t>
  </si>
  <si>
    <t>čep</t>
  </si>
  <si>
    <t>vil</t>
  </si>
  <si>
    <t>pan</t>
  </si>
  <si>
    <t>kau</t>
  </si>
  <si>
    <t>Aidas Kiukys, N.</t>
  </si>
  <si>
    <t>Aidas Kiukys, D.</t>
  </si>
  <si>
    <t>kiu</t>
  </si>
  <si>
    <t>Jurijus Aleksejevas,  D.</t>
  </si>
  <si>
    <t>Jurijus Aleksejevas,  N.</t>
  </si>
  <si>
    <t>ale</t>
  </si>
  <si>
    <t>Dalius Bacevičius, N.</t>
  </si>
  <si>
    <t>Dalius Bacevičius, D.</t>
  </si>
  <si>
    <t>bac</t>
  </si>
  <si>
    <t>mar</t>
  </si>
  <si>
    <t xml:space="preserve">mėn. </t>
  </si>
  <si>
    <t>Praeitų mėn. Žalos</t>
  </si>
  <si>
    <t>Evaldas Maskeliūnas, D.</t>
  </si>
  <si>
    <t>Evaldas Maskeliūnas, N.</t>
  </si>
  <si>
    <t>mas</t>
  </si>
  <si>
    <t>&lt;==    +    - prie šiandienos</t>
  </si>
  <si>
    <t>Reg. įvykiai</t>
  </si>
  <si>
    <t>Žala</t>
  </si>
  <si>
    <t>Žala tūkst.</t>
  </si>
  <si>
    <t>langelius nepildyti naktį dirbančiam darbuotojui nuo 00 val iki 5 val ryto</t>
  </si>
  <si>
    <t>Duomenys automatiškai persikelia iš kitų lentelių</t>
  </si>
  <si>
    <t xml:space="preserve">Registruota pranešimų (iš viso </t>
  </si>
  <si>
    <t xml:space="preserve">Patirtos žalos** (iš viso </t>
  </si>
  <si>
    <t xml:space="preserve"> €)</t>
  </si>
  <si>
    <t>Žalos diagramos duomenys:</t>
  </si>
  <si>
    <t>Pranešimų diag. duomenys:</t>
  </si>
  <si>
    <t>Mėnuo:</t>
  </si>
  <si>
    <t>Iš viso per metus</t>
  </si>
  <si>
    <t>2025 m. sausio 27 d. – 2025 m. Gegužės 31 d. registruota pranešimų</t>
  </si>
  <si>
    <t xml:space="preserve">(iš viso 7 491) </t>
  </si>
  <si>
    <t xml:space="preserve">2025 m. sausio 27 d. – </t>
  </si>
  <si>
    <t xml:space="preserve"> d. registruota pranešimų (iš viso: </t>
  </si>
  <si>
    <t>Pranešimų suvestinės diag. duomenys:</t>
  </si>
  <si>
    <t>Žalos suvestinės diagramos duomenys:</t>
  </si>
  <si>
    <r>
      <t xml:space="preserve">SUKČIAVIMŲ </t>
    </r>
    <r>
      <rPr>
        <sz val="40"/>
        <color rgb="FF000000"/>
        <rFont val="Arial"/>
        <family val="2"/>
      </rPr>
      <t xml:space="preserve"> </t>
    </r>
  </si>
  <si>
    <r>
      <t xml:space="preserve">PREVENCIJOS CENTRO </t>
    </r>
    <r>
      <rPr>
        <sz val="40"/>
        <color rgb="FF000000"/>
        <rFont val="Arial"/>
        <family val="2"/>
      </rPr>
      <t xml:space="preserve"> </t>
    </r>
  </si>
  <si>
    <t>VEIKLOS APŽVALGA</t>
  </si>
  <si>
    <t xml:space="preserve">Lietuvos bankai – </t>
  </si>
  <si>
    <t xml:space="preserve">LR ryšių reguliavimo tarnyba – </t>
  </si>
  <si>
    <t xml:space="preserve">Finansinių nusikaltimų tyrimo tarnyba prie LR VRM – </t>
  </si>
  <si>
    <t xml:space="preserve">Nacionalinis kibernetinio saugumo centras prie KAM – </t>
  </si>
  <si>
    <t xml:space="preserve">„Facebook“ – </t>
  </si>
  <si>
    <t xml:space="preserve"> d. registruota pranešimų</t>
  </si>
  <si>
    <t xml:space="preserve"> (iš viso: </t>
  </si>
  <si>
    <t xml:space="preserve"> d. patirta žalų </t>
  </si>
  <si>
    <t xml:space="preserve">(iš viso </t>
  </si>
  <si>
    <t xml:space="preserve">Skiltyje "Diagrama" atsirado stulpelis su šventinėmis dienomis, kad būtų papraščiau spalvinti diagramos stulpelius.  </t>
  </si>
  <si>
    <t>Atnaujinta skiltis "0"</t>
  </si>
  <si>
    <t>Skiltyje "Bendras metų" prie stulpelio "iš viso " atsirado stulpelis "Iš viso akščiau"</t>
  </si>
  <si>
    <t>Į šį stulpeli bus perkelaimi duomenys pasibaigus metams. Tam reikia:</t>
  </si>
  <si>
    <t>Nukopijuoti praeitų metų stulpelį "Iš viso" (CTRL+C)</t>
  </si>
  <si>
    <t>Pereiti į šių metų failą</t>
  </si>
  <si>
    <t xml:space="preserve">Atsistoti į laukellį "R23" </t>
  </si>
  <si>
    <t>Paspausti dešinį pelės mygtuką (DPM)</t>
  </si>
  <si>
    <t>Pasirinkti "Paste special" meniu punktą "Values" + OK (tam,kad  nukopijuotų reikšmes, o ne formules).</t>
  </si>
  <si>
    <t>VISO
ANKŠČIAU</t>
  </si>
  <si>
    <t>Klausimas? Lapo Bendras stulpeliuose  D7:D18, rodyti šių metų duomenis ar nuo veiklos pradžios (dabar neaktualu, bet laikas bėga greitai).</t>
  </si>
  <si>
    <t>Iš viso nuo 2026-01-01 d.</t>
  </si>
</sst>
</file>

<file path=xl/styles.xml><?xml version="1.0" encoding="utf-8"?>
<styleSheet xmlns="http://schemas.openxmlformats.org/spreadsheetml/2006/main">
  <numFmts count="3">
    <numFmt numFmtId="164" formatCode="#,##0&quot; €&quot;;[Red]\-#,##0&quot; €&quot;"/>
    <numFmt numFmtId="165" formatCode="0.0"/>
    <numFmt numFmtId="166" formatCode="#,##0.0"/>
  </numFmts>
  <fonts count="32">
    <font>
      <sz val="11"/>
      <color rgb="FF000000"/>
      <name val="Calibri"/>
      <family val="2"/>
      <charset val="186"/>
    </font>
    <font>
      <b/>
      <sz val="11"/>
      <color rgb="FF000000"/>
      <name val="Times New Roman"/>
      <family val="1"/>
      <charset val="186"/>
    </font>
    <font>
      <b/>
      <sz val="11"/>
      <color rgb="FF000000"/>
      <name val="Calibri"/>
      <family val="2"/>
      <charset val="186"/>
    </font>
    <font>
      <sz val="11"/>
      <color rgb="FF000000"/>
      <name val="Times New Roman"/>
      <family val="1"/>
      <charset val="186"/>
    </font>
    <font>
      <sz val="10.5"/>
      <color rgb="FF000000"/>
      <name val="Times New Roman"/>
      <family val="1"/>
      <charset val="186"/>
    </font>
    <font>
      <b/>
      <sz val="20"/>
      <color rgb="FF000000"/>
      <name val="Calibri"/>
      <family val="2"/>
      <charset val="186"/>
    </font>
    <font>
      <b/>
      <sz val="14"/>
      <color rgb="FFFFFFFF"/>
      <name val="Calibri"/>
      <family val="2"/>
      <charset val="186"/>
    </font>
    <font>
      <sz val="10"/>
      <color rgb="FF000000"/>
      <name val="Times New Roman"/>
      <family val="1"/>
      <charset val="186"/>
    </font>
    <font>
      <sz val="8"/>
      <color rgb="FF000000"/>
      <name val="Times New Roman"/>
      <family val="1"/>
      <charset val="186"/>
    </font>
    <font>
      <sz val="18"/>
      <color rgb="FF000000"/>
      <name val="Calibri"/>
      <family val="2"/>
      <charset val="186"/>
    </font>
    <font>
      <sz val="12"/>
      <name val="Courier New"/>
      <family val="3"/>
      <charset val="186"/>
    </font>
    <font>
      <b/>
      <sz val="9"/>
      <color indexed="81"/>
      <name val="Tahoma"/>
      <family val="2"/>
    </font>
    <font>
      <sz val="11"/>
      <name val="Calibri"/>
      <family val="2"/>
      <charset val="186"/>
    </font>
    <font>
      <sz val="11"/>
      <color theme="0"/>
      <name val="Calibri"/>
      <family val="2"/>
      <charset val="186"/>
    </font>
    <font>
      <b/>
      <sz val="11"/>
      <color rgb="FF000000"/>
      <name val="Calibri"/>
      <family val="2"/>
    </font>
    <font>
      <b/>
      <u/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4"/>
      <color rgb="FF000000"/>
      <name val="Times New Roman"/>
      <family val="1"/>
    </font>
    <font>
      <b/>
      <sz val="14"/>
      <color theme="0"/>
      <name val="Times New Roman"/>
      <family val="1"/>
    </font>
    <font>
      <sz val="10"/>
      <color theme="0"/>
      <name val="Times New Roman"/>
      <family val="1"/>
    </font>
    <font>
      <sz val="8"/>
      <name val="Times New Roman"/>
      <family val="1"/>
      <charset val="186"/>
    </font>
    <font>
      <b/>
      <sz val="11"/>
      <name val="Calibri"/>
      <family val="2"/>
    </font>
    <font>
      <b/>
      <sz val="40"/>
      <color rgb="FF000000"/>
      <name val="Times New Roman"/>
      <family val="1"/>
    </font>
    <font>
      <sz val="40"/>
      <color rgb="FF000000"/>
      <name val="Arial"/>
      <family val="2"/>
    </font>
    <font>
      <b/>
      <sz val="18"/>
      <color rgb="FF000000"/>
      <name val="Times New Roman"/>
      <family val="1"/>
    </font>
    <font>
      <sz val="12"/>
      <color rgb="FF000000"/>
      <name val="Calibri"/>
      <family val="2"/>
      <charset val="186"/>
    </font>
    <font>
      <b/>
      <sz val="17"/>
      <color rgb="FF000000"/>
      <name val="Times New Roman"/>
      <family val="1"/>
    </font>
    <font>
      <b/>
      <sz val="14"/>
      <color rgb="FF000000"/>
      <name val="Calibri"/>
      <family val="2"/>
    </font>
    <font>
      <sz val="8"/>
      <color theme="0"/>
      <name val="Times New Roman"/>
      <family val="1"/>
      <charset val="186"/>
    </font>
    <font>
      <sz val="11"/>
      <color rgb="FFFF0000"/>
      <name val="Calibri"/>
      <family val="2"/>
      <charset val="186"/>
    </font>
    <font>
      <b/>
      <sz val="9"/>
      <color indexed="81"/>
      <name val="Tahoma"/>
      <charset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CC00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FF0000"/>
        <bgColor rgb="FF993300"/>
      </patternFill>
    </fill>
    <fill>
      <patternFill patternType="solid">
        <fgColor rgb="FFD9D9D9"/>
        <bgColor rgb="FFD0CECE"/>
      </patternFill>
    </fill>
    <fill>
      <patternFill patternType="solid">
        <fgColor rgb="FFDEEBF7"/>
        <bgColor rgb="FFDAE3F3"/>
      </patternFill>
    </fill>
    <fill>
      <patternFill patternType="solid">
        <fgColor rgb="FFE2F0D9"/>
        <bgColor rgb="FFDEEBF7"/>
      </patternFill>
    </fill>
    <fill>
      <patternFill patternType="solid">
        <fgColor rgb="FFFFD966"/>
        <bgColor rgb="FFFFE699"/>
      </patternFill>
    </fill>
    <fill>
      <patternFill patternType="solid">
        <fgColor rgb="FFFFE699"/>
        <bgColor rgb="FFFFF2CC"/>
      </patternFill>
    </fill>
    <fill>
      <patternFill patternType="solid">
        <fgColor rgb="FF00B050"/>
        <bgColor rgb="FF008080"/>
      </patternFill>
    </fill>
    <fill>
      <patternFill patternType="solid">
        <fgColor rgb="FFA6A6A6"/>
        <bgColor rgb="FFB3B3B3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rgb="FFD0CECE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0" fontId="3" fillId="0" borderId="1" xfId="0" applyFont="1" applyBorder="1" applyAlignment="1" applyProtection="1">
      <alignment vertical="center"/>
    </xf>
    <xf numFmtId="0" fontId="3" fillId="0" borderId="1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center"/>
    </xf>
    <xf numFmtId="0" fontId="2" fillId="2" borderId="0" xfId="0" applyFont="1" applyFill="1" applyAlignment="1" applyProtection="1"/>
    <xf numFmtId="0" fontId="3" fillId="0" borderId="0" xfId="0" applyFont="1" applyBorder="1" applyAlignment="1" applyProtection="1">
      <alignment vertical="center"/>
    </xf>
    <xf numFmtId="0" fontId="3" fillId="3" borderId="3" xfId="0" applyFont="1" applyFill="1" applyBorder="1" applyAlignment="1" applyProtection="1">
      <alignment vertical="center"/>
    </xf>
    <xf numFmtId="0" fontId="1" fillId="4" borderId="1" xfId="0" applyFont="1" applyFill="1" applyBorder="1" applyAlignment="1" applyProtection="1">
      <alignment horizontal="center" vertical="center" textRotation="30" wrapText="1"/>
    </xf>
    <xf numFmtId="0" fontId="2" fillId="4" borderId="1" xfId="0" applyFont="1" applyFill="1" applyBorder="1" applyAlignment="1" applyProtection="1">
      <alignment horizontal="center" vertical="center" textRotation="30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vertical="center" wrapText="1"/>
    </xf>
    <xf numFmtId="0" fontId="3" fillId="3" borderId="1" xfId="0" applyFont="1" applyFill="1" applyBorder="1" applyAlignment="1" applyProtection="1">
      <alignment vertical="center"/>
    </xf>
    <xf numFmtId="4" fontId="0" fillId="4" borderId="1" xfId="0" applyNumberFormat="1" applyFill="1" applyBorder="1" applyAlignment="1" applyProtection="1">
      <alignment horizontal="center" vertical="center"/>
    </xf>
    <xf numFmtId="4" fontId="2" fillId="3" borderId="1" xfId="0" applyNumberFormat="1" applyFont="1" applyFill="1" applyBorder="1" applyAlignment="1" applyProtection="1">
      <alignment horizontal="center" vertical="center"/>
    </xf>
    <xf numFmtId="0" fontId="0" fillId="0" borderId="1" xfId="0" applyBorder="1" applyAlignment="1" applyProtection="1"/>
    <xf numFmtId="0" fontId="0" fillId="6" borderId="1" xfId="0" applyFont="1" applyFill="1" applyBorder="1" applyAlignment="1" applyProtection="1">
      <alignment horizontal="center"/>
    </xf>
    <xf numFmtId="0" fontId="0" fillId="5" borderId="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6" borderId="1" xfId="0" applyFont="1" applyFill="1" applyBorder="1" applyAlignment="1" applyProtection="1"/>
    <xf numFmtId="0" fontId="8" fillId="0" borderId="1" xfId="0" applyFont="1" applyBorder="1" applyAlignment="1" applyProtection="1"/>
    <xf numFmtId="4" fontId="8" fillId="2" borderId="1" xfId="0" applyNumberFormat="1" applyFont="1" applyFill="1" applyBorder="1" applyAlignment="1" applyProtection="1"/>
    <xf numFmtId="0" fontId="8" fillId="0" borderId="1" xfId="0" applyFont="1" applyBorder="1" applyAlignment="1" applyProtection="1">
      <alignment horizontal="center"/>
    </xf>
    <xf numFmtId="3" fontId="8" fillId="2" borderId="1" xfId="0" applyNumberFormat="1" applyFont="1" applyFill="1" applyBorder="1" applyAlignment="1" applyProtection="1"/>
    <xf numFmtId="4" fontId="8" fillId="0" borderId="1" xfId="0" applyNumberFormat="1" applyFont="1" applyBorder="1" applyAlignment="1" applyProtection="1"/>
    <xf numFmtId="0" fontId="0" fillId="6" borderId="0" xfId="0" applyFont="1" applyFill="1" applyBorder="1" applyAlignment="1" applyProtection="1"/>
    <xf numFmtId="49" fontId="8" fillId="0" borderId="1" xfId="0" applyNumberFormat="1" applyFont="1" applyBorder="1" applyAlignment="1" applyProtection="1">
      <alignment horizontal="center"/>
    </xf>
    <xf numFmtId="49" fontId="8" fillId="2" borderId="1" xfId="0" applyNumberFormat="1" applyFont="1" applyFill="1" applyBorder="1" applyAlignment="1" applyProtection="1">
      <alignment horizontal="center"/>
    </xf>
    <xf numFmtId="0" fontId="9" fillId="0" borderId="0" xfId="0" applyFont="1"/>
    <xf numFmtId="0" fontId="0" fillId="0" borderId="1" xfId="0" applyBorder="1"/>
    <xf numFmtId="0" fontId="0" fillId="13" borderId="1" xfId="0" applyFill="1" applyBorder="1"/>
    <xf numFmtId="0" fontId="10" fillId="0" borderId="0" xfId="0" applyFont="1"/>
    <xf numFmtId="14" fontId="0" fillId="0" borderId="0" xfId="0" applyNumberFormat="1"/>
    <xf numFmtId="1" fontId="0" fillId="0" borderId="0" xfId="0" applyNumberFormat="1"/>
    <xf numFmtId="0" fontId="0" fillId="14" borderId="0" xfId="0" applyFill="1"/>
    <xf numFmtId="0" fontId="0" fillId="0" borderId="8" xfId="0" applyBorder="1"/>
    <xf numFmtId="0" fontId="0" fillId="0" borderId="0" xfId="0" applyAlignment="1" applyProtection="1">
      <alignment horizontal="left"/>
    </xf>
    <xf numFmtId="0" fontId="0" fillId="9" borderId="19" xfId="0" applyFill="1" applyBorder="1" applyAlignment="1" applyProtection="1">
      <alignment horizontal="center"/>
    </xf>
    <xf numFmtId="0" fontId="0" fillId="0" borderId="0" xfId="0"/>
    <xf numFmtId="0" fontId="0" fillId="6" borderId="1" xfId="0" applyFill="1" applyBorder="1" applyAlignment="1" applyProtection="1">
      <alignment horizontal="center"/>
    </xf>
    <xf numFmtId="0" fontId="0" fillId="0" borderId="0" xfId="0" applyAlignment="1" applyProtection="1">
      <alignment horizontal="right"/>
    </xf>
    <xf numFmtId="0" fontId="0" fillId="6" borderId="6" xfId="0" applyFill="1" applyBorder="1" applyAlignment="1" applyProtection="1">
      <alignment horizontal="center"/>
      <protection locked="0"/>
    </xf>
    <xf numFmtId="0" fontId="0" fillId="6" borderId="3" xfId="0" applyFill="1" applyBorder="1" applyAlignment="1" applyProtection="1">
      <alignment horizontal="center"/>
      <protection locked="0"/>
    </xf>
    <xf numFmtId="4" fontId="0" fillId="8" borderId="3" xfId="0" applyNumberFormat="1" applyFill="1" applyBorder="1" applyAlignment="1" applyProtection="1">
      <alignment horizontal="right"/>
      <protection locked="0"/>
    </xf>
    <xf numFmtId="0" fontId="12" fillId="0" borderId="0" xfId="0" applyFont="1"/>
    <xf numFmtId="0" fontId="13" fillId="0" borderId="0" xfId="0" applyFont="1"/>
    <xf numFmtId="0" fontId="13" fillId="0" borderId="0" xfId="0" applyFont="1" applyAlignment="1" applyProtection="1"/>
    <xf numFmtId="2" fontId="14" fillId="15" borderId="0" xfId="0" applyNumberFormat="1" applyFont="1" applyFill="1"/>
    <xf numFmtId="0" fontId="15" fillId="0" borderId="0" xfId="0" applyFont="1" applyFill="1"/>
    <xf numFmtId="0" fontId="16" fillId="0" borderId="0" xfId="0" applyFont="1" applyFill="1"/>
    <xf numFmtId="0" fontId="17" fillId="0" borderId="0" xfId="0" applyFont="1" applyFill="1"/>
    <xf numFmtId="4" fontId="0" fillId="0" borderId="0" xfId="0" applyNumberFormat="1"/>
    <xf numFmtId="0" fontId="0" fillId="0" borderId="0" xfId="0"/>
    <xf numFmtId="1" fontId="0" fillId="11" borderId="1" xfId="0" applyNumberFormat="1" applyFill="1" applyBorder="1" applyAlignment="1" applyProtection="1">
      <alignment horizontal="center" vertical="center"/>
    </xf>
    <xf numFmtId="0" fontId="0" fillId="0" borderId="0" xfId="0"/>
    <xf numFmtId="0" fontId="0" fillId="0" borderId="0" xfId="0" applyAlignment="1" applyProtection="1"/>
    <xf numFmtId="0" fontId="0" fillId="0" borderId="0" xfId="0" applyAlignment="1" applyProtection="1">
      <alignment horizontal="center"/>
    </xf>
    <xf numFmtId="0" fontId="7" fillId="7" borderId="2" xfId="0" applyFont="1" applyFill="1" applyBorder="1" applyAlignment="1" applyProtection="1">
      <alignment horizontal="center" vertical="center" wrapText="1"/>
    </xf>
    <xf numFmtId="0" fontId="0" fillId="9" borderId="6" xfId="0" applyFill="1" applyBorder="1" applyAlignment="1" applyProtection="1">
      <alignment horizontal="center"/>
    </xf>
    <xf numFmtId="0" fontId="2" fillId="3" borderId="4" xfId="0" applyFont="1" applyFill="1" applyBorder="1" applyAlignment="1" applyProtection="1">
      <alignment horizontal="right" wrapText="1"/>
    </xf>
    <xf numFmtId="0" fontId="0" fillId="8" borderId="11" xfId="0" applyFill="1" applyBorder="1" applyAlignment="1" applyProtection="1"/>
    <xf numFmtId="0" fontId="2" fillId="0" borderId="0" xfId="0" applyFont="1" applyAlignment="1" applyProtection="1">
      <alignment horizontal="right"/>
    </xf>
    <xf numFmtId="0" fontId="2" fillId="3" borderId="2" xfId="0" applyFont="1" applyFill="1" applyBorder="1" applyAlignment="1" applyProtection="1">
      <alignment horizontal="right" wrapText="1"/>
    </xf>
    <xf numFmtId="0" fontId="0" fillId="8" borderId="15" xfId="0" applyFill="1" applyBorder="1" applyAlignment="1" applyProtection="1"/>
    <xf numFmtId="0" fontId="0" fillId="0" borderId="0" xfId="0" applyFont="1" applyAlignment="1" applyProtection="1"/>
    <xf numFmtId="164" fontId="0" fillId="0" borderId="0" xfId="0" applyNumberFormat="1" applyAlignment="1" applyProtection="1"/>
    <xf numFmtId="0" fontId="2" fillId="0" borderId="8" xfId="0" applyFont="1" applyBorder="1" applyAlignment="1" applyProtection="1">
      <alignment horizontal="right"/>
    </xf>
    <xf numFmtId="0" fontId="0" fillId="0" borderId="6" xfId="0" applyFont="1" applyBorder="1" applyAlignment="1" applyProtection="1">
      <alignment horizontal="center" wrapText="1"/>
      <protection locked="0"/>
    </xf>
    <xf numFmtId="0" fontId="0" fillId="8" borderId="7" xfId="0" applyFill="1" applyBorder="1" applyAlignment="1" applyProtection="1">
      <protection locked="0"/>
    </xf>
    <xf numFmtId="0" fontId="0" fillId="0" borderId="1" xfId="0" applyFont="1" applyBorder="1" applyAlignment="1" applyProtection="1">
      <alignment horizontal="center" wrapText="1"/>
      <protection locked="0"/>
    </xf>
    <xf numFmtId="0" fontId="0" fillId="8" borderId="9" xfId="0" applyFill="1" applyBorder="1" applyAlignment="1" applyProtection="1">
      <protection locked="0"/>
    </xf>
    <xf numFmtId="0" fontId="0" fillId="0" borderId="8" xfId="0" applyFont="1" applyBorder="1" applyAlignment="1" applyProtection="1">
      <alignment horizontal="center" wrapText="1"/>
      <protection locked="0"/>
    </xf>
    <xf numFmtId="0" fontId="2" fillId="0" borderId="8" xfId="0" applyFont="1" applyBorder="1" applyAlignment="1" applyProtection="1">
      <alignment horizontal="right" wrapText="1"/>
    </xf>
    <xf numFmtId="4" fontId="0" fillId="0" borderId="0" xfId="0" applyNumberFormat="1" applyAlignment="1" applyProtection="1"/>
    <xf numFmtId="0" fontId="0" fillId="8" borderId="13" xfId="0" applyFill="1" applyBorder="1" applyAlignment="1" applyProtection="1">
      <protection locked="0"/>
    </xf>
    <xf numFmtId="0" fontId="0" fillId="8" borderId="15" xfId="0" applyFill="1" applyBorder="1" applyAlignment="1" applyProtection="1">
      <protection locked="0"/>
    </xf>
    <xf numFmtId="0" fontId="2" fillId="0" borderId="8" xfId="0" applyFont="1" applyBorder="1" applyAlignment="1" applyProtection="1">
      <alignment horizontal="right" wrapText="1"/>
      <protection locked="0"/>
    </xf>
    <xf numFmtId="4" fontId="0" fillId="8" borderId="6" xfId="0" applyNumberFormat="1" applyFill="1" applyBorder="1" applyAlignment="1" applyProtection="1">
      <alignment horizontal="right"/>
      <protection locked="0"/>
    </xf>
    <xf numFmtId="4" fontId="0" fillId="8" borderId="6" xfId="0" applyNumberFormat="1" applyFont="1" applyFill="1" applyBorder="1" applyAlignment="1" applyProtection="1">
      <alignment horizontal="right"/>
      <protection locked="0"/>
    </xf>
    <xf numFmtId="0" fontId="0" fillId="10" borderId="6" xfId="0" applyFill="1" applyBorder="1" applyAlignment="1" applyProtection="1">
      <alignment horizontal="center"/>
      <protection locked="0"/>
    </xf>
    <xf numFmtId="0" fontId="0" fillId="7" borderId="6" xfId="0" applyFill="1" applyBorder="1" applyAlignment="1" applyProtection="1">
      <alignment horizontal="center"/>
      <protection locked="0"/>
    </xf>
    <xf numFmtId="0" fontId="0" fillId="10" borderId="3" xfId="0" applyFill="1" applyBorder="1" applyAlignment="1" applyProtection="1">
      <alignment horizontal="center"/>
      <protection locked="0"/>
    </xf>
    <xf numFmtId="0" fontId="0" fillId="7" borderId="3" xfId="0" applyFill="1" applyBorder="1" applyAlignment="1" applyProtection="1">
      <alignment horizontal="center"/>
      <protection locked="0"/>
    </xf>
    <xf numFmtId="0" fontId="0" fillId="0" borderId="0" xfId="0"/>
    <xf numFmtId="0" fontId="0" fillId="0" borderId="0" xfId="0" applyAlignment="1" applyProtection="1"/>
    <xf numFmtId="0" fontId="3" fillId="4" borderId="1" xfId="0" applyFont="1" applyFill="1" applyBorder="1" applyAlignment="1" applyProtection="1">
      <alignment horizontal="center" vertical="center"/>
    </xf>
    <xf numFmtId="4" fontId="0" fillId="4" borderId="1" xfId="0" applyNumberForma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7" fillId="7" borderId="2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right" wrapText="1"/>
    </xf>
    <xf numFmtId="0" fontId="0" fillId="8" borderId="11" xfId="0" applyFill="1" applyBorder="1" applyAlignment="1" applyProtection="1"/>
    <xf numFmtId="0" fontId="2" fillId="0" borderId="0" xfId="0" applyFont="1" applyAlignment="1" applyProtection="1">
      <alignment horizontal="right"/>
    </xf>
    <xf numFmtId="0" fontId="2" fillId="3" borderId="2" xfId="0" applyFont="1" applyFill="1" applyBorder="1" applyAlignment="1" applyProtection="1">
      <alignment horizontal="right" wrapText="1"/>
    </xf>
    <xf numFmtId="0" fontId="0" fillId="8" borderId="15" xfId="0" applyFill="1" applyBorder="1" applyAlignment="1" applyProtection="1"/>
    <xf numFmtId="0" fontId="0" fillId="0" borderId="0" xfId="0" applyFont="1" applyAlignment="1" applyProtection="1"/>
    <xf numFmtId="164" fontId="0" fillId="0" borderId="0" xfId="0" applyNumberFormat="1" applyAlignment="1" applyProtection="1"/>
    <xf numFmtId="0" fontId="2" fillId="0" borderId="8" xfId="0" applyFont="1" applyBorder="1" applyAlignment="1" applyProtection="1">
      <alignment horizontal="right"/>
    </xf>
    <xf numFmtId="0" fontId="0" fillId="0" borderId="6" xfId="0" applyFont="1" applyBorder="1" applyAlignment="1" applyProtection="1">
      <alignment horizontal="center" wrapText="1"/>
      <protection locked="0"/>
    </xf>
    <xf numFmtId="0" fontId="0" fillId="8" borderId="7" xfId="0" applyFill="1" applyBorder="1" applyAlignment="1" applyProtection="1">
      <protection locked="0"/>
    </xf>
    <xf numFmtId="0" fontId="0" fillId="0" borderId="1" xfId="0" applyFont="1" applyBorder="1" applyAlignment="1" applyProtection="1">
      <alignment horizontal="center" wrapText="1"/>
      <protection locked="0"/>
    </xf>
    <xf numFmtId="0" fontId="0" fillId="8" borderId="9" xfId="0" applyFill="1" applyBorder="1" applyAlignment="1" applyProtection="1">
      <protection locked="0"/>
    </xf>
    <xf numFmtId="0" fontId="0" fillId="0" borderId="8" xfId="0" applyFont="1" applyBorder="1" applyAlignment="1" applyProtection="1">
      <alignment horizontal="center" wrapText="1"/>
      <protection locked="0"/>
    </xf>
    <xf numFmtId="0" fontId="2" fillId="0" borderId="8" xfId="0" applyFont="1" applyBorder="1" applyAlignment="1" applyProtection="1">
      <alignment horizontal="right" wrapText="1"/>
    </xf>
    <xf numFmtId="4" fontId="0" fillId="0" borderId="0" xfId="0" applyNumberFormat="1" applyAlignment="1" applyProtection="1"/>
    <xf numFmtId="0" fontId="0" fillId="8" borderId="13" xfId="0" applyFill="1" applyBorder="1" applyAlignment="1" applyProtection="1">
      <protection locked="0"/>
    </xf>
    <xf numFmtId="0" fontId="0" fillId="8" borderId="15" xfId="0" applyFill="1" applyBorder="1" applyAlignment="1" applyProtection="1">
      <protection locked="0"/>
    </xf>
    <xf numFmtId="0" fontId="2" fillId="0" borderId="8" xfId="0" applyFont="1" applyBorder="1" applyAlignment="1" applyProtection="1">
      <alignment horizontal="right" wrapText="1"/>
      <protection locked="0"/>
    </xf>
    <xf numFmtId="0" fontId="0" fillId="16" borderId="0" xfId="0" applyFill="1" applyAlignment="1">
      <alignment horizontal="left" vertical="top" wrapText="1"/>
    </xf>
    <xf numFmtId="14" fontId="13" fillId="0" borderId="0" xfId="0" applyNumberFormat="1" applyFont="1" applyAlignment="1" applyProtection="1"/>
    <xf numFmtId="0" fontId="3" fillId="17" borderId="1" xfId="0" applyFont="1" applyFill="1" applyBorder="1" applyAlignment="1" applyProtection="1">
      <alignment horizontal="center" vertical="center"/>
      <protection hidden="1"/>
    </xf>
    <xf numFmtId="0" fontId="3" fillId="17" borderId="1" xfId="0" applyFont="1" applyFill="1" applyBorder="1" applyAlignment="1" applyProtection="1">
      <alignment horizontal="center" vertical="center"/>
    </xf>
    <xf numFmtId="4" fontId="0" fillId="17" borderId="1" xfId="0" applyNumberFormat="1" applyFont="1" applyFill="1" applyBorder="1" applyAlignment="1" applyProtection="1">
      <alignment horizontal="center"/>
    </xf>
    <xf numFmtId="4" fontId="3" fillId="17" borderId="1" xfId="0" applyNumberFormat="1" applyFont="1" applyFill="1" applyBorder="1" applyAlignment="1" applyProtection="1">
      <alignment horizontal="center" vertical="center"/>
    </xf>
    <xf numFmtId="0" fontId="0" fillId="0" borderId="0" xfId="0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8" fillId="0" borderId="0" xfId="0" applyFont="1" applyFill="1" applyBorder="1" applyAlignment="1" applyProtection="1"/>
    <xf numFmtId="2" fontId="8" fillId="0" borderId="1" xfId="0" applyNumberFormat="1" applyFont="1" applyBorder="1" applyAlignment="1" applyProtection="1"/>
    <xf numFmtId="165" fontId="0" fillId="0" borderId="1" xfId="0" applyNumberFormat="1" applyBorder="1" applyAlignment="1" applyProtection="1"/>
    <xf numFmtId="165" fontId="8" fillId="2" borderId="1" xfId="0" applyNumberFormat="1" applyFont="1" applyFill="1" applyBorder="1" applyAlignment="1" applyProtection="1"/>
    <xf numFmtId="0" fontId="0" fillId="18" borderId="1" xfId="0" applyFont="1" applyFill="1" applyBorder="1" applyAlignment="1" applyProtection="1">
      <alignment horizontal="center"/>
    </xf>
    <xf numFmtId="0" fontId="8" fillId="0" borderId="1" xfId="0" applyFont="1" applyFill="1" applyBorder="1" applyAlignment="1" applyProtection="1"/>
    <xf numFmtId="0" fontId="0" fillId="0" borderId="0" xfId="0" applyFont="1" applyFill="1" applyBorder="1" applyAlignment="1" applyProtection="1"/>
    <xf numFmtId="0" fontId="0" fillId="0" borderId="0" xfId="0" applyFill="1" applyBorder="1"/>
    <xf numFmtId="4" fontId="8" fillId="0" borderId="0" xfId="0" applyNumberFormat="1" applyFont="1" applyFill="1" applyBorder="1" applyAlignment="1" applyProtection="1"/>
    <xf numFmtId="0" fontId="8" fillId="0" borderId="0" xfId="0" applyFont="1" applyFill="1" applyBorder="1" applyAlignment="1" applyProtection="1">
      <alignment horizontal="center"/>
    </xf>
    <xf numFmtId="3" fontId="8" fillId="0" borderId="0" xfId="0" applyNumberFormat="1" applyFont="1" applyFill="1" applyBorder="1" applyAlignment="1" applyProtection="1"/>
    <xf numFmtId="49" fontId="8" fillId="0" borderId="0" xfId="0" applyNumberFormat="1" applyFont="1" applyFill="1" applyBorder="1" applyAlignment="1" applyProtection="1">
      <alignment horizontal="center"/>
    </xf>
    <xf numFmtId="0" fontId="18" fillId="0" borderId="0" xfId="0" applyFont="1" applyAlignment="1">
      <alignment horizontal="left" readingOrder="1"/>
    </xf>
    <xf numFmtId="0" fontId="0" fillId="0" borderId="0" xfId="0" applyAlignment="1">
      <alignment wrapText="1"/>
    </xf>
    <xf numFmtId="0" fontId="0" fillId="0" borderId="0" xfId="0" applyNumberFormat="1" applyAlignment="1" applyProtection="1"/>
    <xf numFmtId="0" fontId="13" fillId="0" borderId="0" xfId="0" applyFont="1" applyAlignment="1" applyProtection="1">
      <alignment horizontal="left"/>
    </xf>
    <xf numFmtId="0" fontId="13" fillId="0" borderId="0" xfId="0" applyNumberFormat="1" applyFont="1" applyAlignment="1" applyProtection="1"/>
    <xf numFmtId="0" fontId="0" fillId="19" borderId="0" xfId="0" applyFill="1" applyAlignment="1" applyProtection="1"/>
    <xf numFmtId="0" fontId="19" fillId="0" borderId="0" xfId="0" applyFont="1" applyAlignment="1">
      <alignment horizontal="left" readingOrder="1"/>
    </xf>
    <xf numFmtId="0" fontId="20" fillId="0" borderId="0" xfId="0" applyFont="1" applyAlignment="1">
      <alignment horizontal="left" readingOrder="1"/>
    </xf>
    <xf numFmtId="0" fontId="13" fillId="0" borderId="0" xfId="0" applyFont="1" applyFill="1" applyBorder="1" applyAlignment="1" applyProtection="1"/>
    <xf numFmtId="0" fontId="12" fillId="0" borderId="0" xfId="0" applyFont="1" applyAlignment="1" applyProtection="1"/>
    <xf numFmtId="0" fontId="12" fillId="0" borderId="0" xfId="0" applyFont="1" applyAlignment="1" applyProtection="1">
      <alignment horizontal="left"/>
    </xf>
    <xf numFmtId="0" fontId="12" fillId="0" borderId="0" xfId="0" applyNumberFormat="1" applyFont="1" applyAlignment="1" applyProtection="1"/>
    <xf numFmtId="0" fontId="12" fillId="0" borderId="0" xfId="0" applyFont="1" applyFill="1" applyBorder="1" applyAlignment="1" applyProtection="1"/>
    <xf numFmtId="0" fontId="12" fillId="0" borderId="0" xfId="0" applyFont="1" applyFill="1" applyBorder="1" applyAlignment="1" applyProtection="1">
      <alignment horizontal="center"/>
    </xf>
    <xf numFmtId="0" fontId="12" fillId="0" borderId="1" xfId="0" applyFont="1" applyBorder="1" applyAlignment="1" applyProtection="1"/>
    <xf numFmtId="0" fontId="12" fillId="6" borderId="1" xfId="0" applyFont="1" applyFill="1" applyBorder="1" applyAlignment="1" applyProtection="1">
      <alignment horizontal="center"/>
    </xf>
    <xf numFmtId="0" fontId="21" fillId="0" borderId="0" xfId="0" applyFont="1" applyFill="1" applyBorder="1" applyAlignment="1" applyProtection="1"/>
    <xf numFmtId="0" fontId="12" fillId="6" borderId="1" xfId="0" applyFont="1" applyFill="1" applyBorder="1" applyAlignment="1" applyProtection="1"/>
    <xf numFmtId="0" fontId="21" fillId="0" borderId="1" xfId="0" applyFont="1" applyFill="1" applyBorder="1" applyAlignment="1" applyProtection="1"/>
    <xf numFmtId="165" fontId="12" fillId="0" borderId="1" xfId="0" applyNumberFormat="1" applyFont="1" applyBorder="1" applyAlignment="1" applyProtection="1"/>
    <xf numFmtId="0" fontId="12" fillId="0" borderId="0" xfId="0" applyFont="1" applyFill="1" applyBorder="1"/>
    <xf numFmtId="4" fontId="21" fillId="0" borderId="0" xfId="0" applyNumberFormat="1" applyFont="1" applyFill="1" applyBorder="1" applyAlignment="1" applyProtection="1"/>
    <xf numFmtId="0" fontId="21" fillId="0" borderId="0" xfId="0" applyFont="1" applyFill="1" applyBorder="1" applyAlignment="1" applyProtection="1">
      <alignment horizontal="center"/>
    </xf>
    <xf numFmtId="49" fontId="21" fillId="0" borderId="0" xfId="0" applyNumberFormat="1" applyFont="1" applyFill="1" applyBorder="1" applyAlignment="1" applyProtection="1">
      <alignment horizontal="center"/>
    </xf>
    <xf numFmtId="3" fontId="21" fillId="2" borderId="1" xfId="0" applyNumberFormat="1" applyFont="1" applyFill="1" applyBorder="1" applyAlignment="1" applyProtection="1"/>
    <xf numFmtId="166" fontId="21" fillId="2" borderId="1" xfId="0" applyNumberFormat="1" applyFont="1" applyFill="1" applyBorder="1" applyAlignment="1" applyProtection="1"/>
    <xf numFmtId="0" fontId="22" fillId="2" borderId="1" xfId="0" applyFont="1" applyFill="1" applyBorder="1" applyAlignment="1" applyProtection="1">
      <alignment horizontal="center"/>
    </xf>
    <xf numFmtId="0" fontId="18" fillId="0" borderId="0" xfId="0" applyFont="1" applyAlignment="1">
      <alignment horizontal="center" readingOrder="1"/>
    </xf>
    <xf numFmtId="0" fontId="12" fillId="0" borderId="0" xfId="0" applyFont="1" applyAlignment="1" applyProtection="1">
      <protection hidden="1"/>
    </xf>
    <xf numFmtId="0" fontId="12" fillId="0" borderId="0" xfId="0" quotePrefix="1" applyFont="1" applyAlignment="1" applyProtection="1"/>
    <xf numFmtId="0" fontId="12" fillId="0" borderId="16" xfId="0" applyFont="1" applyBorder="1" applyAlignment="1" applyProtection="1"/>
    <xf numFmtId="1" fontId="21" fillId="0" borderId="1" xfId="0" applyNumberFormat="1" applyFont="1" applyBorder="1" applyAlignment="1" applyProtection="1"/>
    <xf numFmtId="0" fontId="23" fillId="0" borderId="0" xfId="0" applyFont="1" applyAlignment="1">
      <alignment horizontal="center" readingOrder="1"/>
    </xf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left" readingOrder="1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25" fillId="0" borderId="0" xfId="0" applyFont="1" applyAlignment="1">
      <alignment horizontal="center" readingOrder="1"/>
    </xf>
    <xf numFmtId="0" fontId="12" fillId="20" borderId="1" xfId="0" applyFont="1" applyFill="1" applyBorder="1" applyAlignment="1" applyProtection="1">
      <alignment horizontal="center"/>
    </xf>
    <xf numFmtId="0" fontId="26" fillId="19" borderId="0" xfId="0" applyFont="1" applyFill="1" applyAlignment="1" applyProtection="1"/>
    <xf numFmtId="0" fontId="0" fillId="0" borderId="0" xfId="0" applyNumberFormat="1" applyAlignment="1">
      <alignment vertical="center"/>
    </xf>
    <xf numFmtId="0" fontId="0" fillId="0" borderId="1" xfId="0" applyFont="1" applyFill="1" applyBorder="1" applyAlignment="1" applyProtection="1">
      <alignment horizontal="center"/>
    </xf>
    <xf numFmtId="0" fontId="8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/>
    <xf numFmtId="0" fontId="28" fillId="0" borderId="1" xfId="0" applyFont="1" applyBorder="1" applyAlignment="1" applyProtection="1">
      <alignment horizontal="center"/>
    </xf>
    <xf numFmtId="0" fontId="13" fillId="0" borderId="0" xfId="0" applyFont="1" applyFill="1" applyBorder="1" applyAlignment="1" applyProtection="1">
      <alignment horizontal="center"/>
    </xf>
    <xf numFmtId="0" fontId="29" fillId="0" borderId="0" xfId="0" applyFont="1" applyFill="1" applyBorder="1" applyAlignment="1" applyProtection="1"/>
    <xf numFmtId="0" fontId="29" fillId="0" borderId="0" xfId="0" applyFont="1" applyFill="1" applyBorder="1" applyAlignment="1" applyProtection="1">
      <alignment horizontal="center"/>
    </xf>
    <xf numFmtId="14" fontId="0" fillId="0" borderId="0" xfId="0" applyNumberFormat="1" applyAlignment="1">
      <alignment horizontal="center"/>
    </xf>
    <xf numFmtId="0" fontId="2" fillId="21" borderId="1" xfId="0" applyFont="1" applyFill="1" applyBorder="1" applyAlignment="1" applyProtection="1">
      <alignment horizontal="center" vertical="center" wrapText="1"/>
    </xf>
    <xf numFmtId="4" fontId="2" fillId="21" borderId="1" xfId="0" applyNumberFormat="1" applyFont="1" applyFill="1" applyBorder="1" applyAlignment="1" applyProtection="1">
      <alignment horizontal="center" vertical="center"/>
    </xf>
    <xf numFmtId="0" fontId="0" fillId="22" borderId="0" xfId="0" applyFill="1"/>
    <xf numFmtId="0" fontId="30" fillId="23" borderId="0" xfId="0" applyFont="1" applyFill="1"/>
    <xf numFmtId="0" fontId="19" fillId="0" borderId="0" xfId="0" applyFont="1"/>
    <xf numFmtId="1" fontId="0" fillId="10" borderId="1" xfId="0" applyNumberFormat="1" applyFill="1" applyBorder="1" applyAlignment="1" applyProtection="1">
      <alignment horizontal="center" vertical="center"/>
      <protection locked="0"/>
    </xf>
    <xf numFmtId="1" fontId="0" fillId="6" borderId="1" xfId="0" applyNumberFormat="1" applyFill="1" applyBorder="1" applyAlignment="1" applyProtection="1">
      <alignment horizontal="center" vertical="center"/>
      <protection locked="0"/>
    </xf>
    <xf numFmtId="1" fontId="0" fillId="7" borderId="1" xfId="0" applyNumberFormat="1" applyFill="1" applyBorder="1" applyAlignment="1" applyProtection="1">
      <alignment horizontal="center" vertical="center"/>
      <protection locked="0"/>
    </xf>
    <xf numFmtId="1" fontId="0" fillId="9" borderId="1" xfId="0" applyNumberFormat="1" applyFill="1" applyBorder="1" applyAlignment="1" applyProtection="1">
      <alignment horizontal="center" vertical="center"/>
    </xf>
    <xf numFmtId="1" fontId="0" fillId="7" borderId="8" xfId="0" applyNumberFormat="1" applyFill="1" applyBorder="1" applyAlignment="1" applyProtection="1">
      <alignment horizontal="center" vertical="center"/>
      <protection locked="0"/>
    </xf>
    <xf numFmtId="1" fontId="2" fillId="3" borderId="4" xfId="0" applyNumberFormat="1" applyFont="1" applyFill="1" applyBorder="1" applyAlignment="1" applyProtection="1">
      <alignment horizontal="center" vertical="center"/>
    </xf>
    <xf numFmtId="2" fontId="14" fillId="8" borderId="16" xfId="0" applyNumberFormat="1" applyFont="1" applyFill="1" applyBorder="1" applyAlignment="1" applyProtection="1">
      <alignment horizontal="right" vertical="center"/>
      <protection locked="0"/>
    </xf>
    <xf numFmtId="2" fontId="2" fillId="3" borderId="18" xfId="0" applyNumberFormat="1" applyFont="1" applyFill="1" applyBorder="1" applyAlignment="1" applyProtection="1">
      <alignment horizontal="right" vertical="center"/>
    </xf>
    <xf numFmtId="1" fontId="2" fillId="4" borderId="10" xfId="0" applyNumberFormat="1" applyFont="1" applyFill="1" applyBorder="1" applyAlignment="1" applyProtection="1">
      <alignment horizontal="center" vertical="center"/>
    </xf>
    <xf numFmtId="1" fontId="0" fillId="10" borderId="2" xfId="0" applyNumberFormat="1" applyFill="1" applyBorder="1" applyAlignment="1" applyProtection="1">
      <alignment horizontal="center" vertical="center"/>
      <protection locked="0"/>
    </xf>
    <xf numFmtId="1" fontId="0" fillId="6" borderId="2" xfId="0" applyNumberFormat="1" applyFill="1" applyBorder="1" applyAlignment="1" applyProtection="1">
      <alignment horizontal="center" vertical="center"/>
      <protection locked="0"/>
    </xf>
    <xf numFmtId="1" fontId="0" fillId="7" borderId="2" xfId="0" applyNumberFormat="1" applyFill="1" applyBorder="1" applyAlignment="1" applyProtection="1">
      <alignment horizontal="center" vertical="center"/>
      <protection locked="0"/>
    </xf>
    <xf numFmtId="1" fontId="0" fillId="9" borderId="3" xfId="0" applyNumberFormat="1" applyFill="1" applyBorder="1" applyAlignment="1" applyProtection="1">
      <alignment horizontal="center" vertical="center"/>
    </xf>
    <xf numFmtId="1" fontId="0" fillId="9" borderId="2" xfId="0" applyNumberFormat="1" applyFill="1" applyBorder="1" applyAlignment="1" applyProtection="1">
      <alignment horizontal="center" vertical="center"/>
    </xf>
    <xf numFmtId="1" fontId="2" fillId="3" borderId="2" xfId="0" applyNumberFormat="1" applyFont="1" applyFill="1" applyBorder="1" applyAlignment="1" applyProtection="1">
      <alignment horizontal="center" vertical="center"/>
    </xf>
    <xf numFmtId="2" fontId="2" fillId="3" borderId="20" xfId="0" applyNumberFormat="1" applyFont="1" applyFill="1" applyBorder="1" applyAlignment="1" applyProtection="1">
      <alignment horizontal="right" vertical="center"/>
    </xf>
    <xf numFmtId="2" fontId="0" fillId="3" borderId="18" xfId="0" applyNumberFormat="1" applyFont="1" applyFill="1" applyBorder="1" applyAlignment="1" applyProtection="1">
      <alignment horizontal="right" vertical="center"/>
    </xf>
    <xf numFmtId="1" fontId="0" fillId="10" borderId="3" xfId="0" applyNumberFormat="1" applyFill="1" applyBorder="1" applyAlignment="1" applyProtection="1">
      <alignment horizontal="center" vertical="center"/>
      <protection locked="0"/>
    </xf>
    <xf numFmtId="1" fontId="0" fillId="6" borderId="3" xfId="0" applyNumberFormat="1" applyFill="1" applyBorder="1" applyAlignment="1" applyProtection="1">
      <alignment horizontal="center" vertical="center"/>
      <protection locked="0"/>
    </xf>
    <xf numFmtId="1" fontId="0" fillId="7" borderId="3" xfId="0" applyNumberFormat="1" applyFill="1" applyBorder="1" applyAlignment="1" applyProtection="1">
      <alignment horizontal="center" vertical="center"/>
      <protection locked="0"/>
    </xf>
    <xf numFmtId="1" fontId="0" fillId="3" borderId="1" xfId="0" applyNumberFormat="1" applyFill="1" applyBorder="1" applyAlignment="1" applyProtection="1">
      <alignment horizontal="center" vertical="center"/>
    </xf>
    <xf numFmtId="2" fontId="0" fillId="3" borderId="1" xfId="0" applyNumberFormat="1" applyFill="1" applyBorder="1" applyAlignment="1" applyProtection="1">
      <alignment horizontal="right" vertical="center"/>
    </xf>
    <xf numFmtId="2" fontId="0" fillId="8" borderId="1" xfId="0" applyNumberFormat="1" applyFill="1" applyBorder="1" applyAlignment="1" applyProtection="1">
      <alignment horizontal="right" vertical="center"/>
      <protection locked="0"/>
    </xf>
    <xf numFmtId="2" fontId="0" fillId="8" borderId="2" xfId="0" applyNumberFormat="1" applyFill="1" applyBorder="1" applyAlignment="1" applyProtection="1">
      <alignment horizontal="right" vertical="center"/>
      <protection locked="0"/>
    </xf>
    <xf numFmtId="2" fontId="0" fillId="8" borderId="3" xfId="0" applyNumberFormat="1" applyFill="1" applyBorder="1" applyAlignment="1" applyProtection="1">
      <alignment horizontal="right" vertical="center"/>
      <protection locked="0"/>
    </xf>
    <xf numFmtId="2" fontId="0" fillId="8" borderId="21" xfId="0" applyNumberFormat="1" applyFill="1" applyBorder="1" applyAlignment="1" applyProtection="1">
      <alignment horizontal="right" vertical="center"/>
      <protection locked="0"/>
    </xf>
    <xf numFmtId="1" fontId="0" fillId="12" borderId="1" xfId="0" applyNumberFormat="1" applyFill="1" applyBorder="1" applyAlignment="1" applyProtection="1">
      <alignment horizontal="center" vertical="center"/>
    </xf>
    <xf numFmtId="1" fontId="0" fillId="8" borderId="1" xfId="0" applyNumberFormat="1" applyFill="1" applyBorder="1" applyAlignment="1" applyProtection="1">
      <alignment horizontal="center" vertical="center"/>
    </xf>
    <xf numFmtId="2" fontId="0" fillId="8" borderId="1" xfId="0" applyNumberFormat="1" applyFill="1" applyBorder="1" applyAlignment="1" applyProtection="1">
      <alignment horizontal="right" vertical="center"/>
    </xf>
    <xf numFmtId="1" fontId="3" fillId="4" borderId="1" xfId="0" applyNumberFormat="1" applyFont="1" applyFill="1" applyBorder="1" applyAlignment="1" applyProtection="1">
      <alignment horizontal="center" vertical="center"/>
    </xf>
    <xf numFmtId="2" fontId="3" fillId="4" borderId="1" xfId="0" applyNumberFormat="1" applyFont="1" applyFill="1" applyBorder="1" applyAlignment="1" applyProtection="1">
      <alignment horizontal="center" vertical="center"/>
    </xf>
    <xf numFmtId="0" fontId="0" fillId="0" borderId="26" xfId="0" applyBorder="1"/>
    <xf numFmtId="2" fontId="14" fillId="15" borderId="27" xfId="0" applyNumberFormat="1" applyFont="1" applyFill="1" applyBorder="1"/>
    <xf numFmtId="0" fontId="0" fillId="0" borderId="28" xfId="0" applyBorder="1"/>
    <xf numFmtId="0" fontId="0" fillId="0" borderId="29" xfId="0" applyBorder="1"/>
    <xf numFmtId="4" fontId="0" fillId="0" borderId="29" xfId="0" applyNumberFormat="1" applyBorder="1"/>
    <xf numFmtId="0" fontId="0" fillId="0" borderId="30" xfId="0" applyBorder="1"/>
    <xf numFmtId="0" fontId="0" fillId="0" borderId="31" xfId="0" applyBorder="1"/>
    <xf numFmtId="14" fontId="0" fillId="0" borderId="0" xfId="0" applyNumberFormat="1" applyAlignment="1" applyProtection="1"/>
    <xf numFmtId="0" fontId="1" fillId="0" borderId="1" xfId="0" applyFont="1" applyBorder="1" applyAlignment="1" applyProtection="1">
      <alignment horizontal="center" wrapText="1"/>
    </xf>
    <xf numFmtId="0" fontId="1" fillId="17" borderId="1" xfId="0" applyFont="1" applyFill="1" applyBorder="1" applyAlignment="1" applyProtection="1">
      <alignment horizontal="center" wrapText="1"/>
    </xf>
    <xf numFmtId="0" fontId="0" fillId="0" borderId="1" xfId="0" applyFont="1" applyBorder="1" applyAlignment="1" applyProtection="1">
      <alignment horizontal="left"/>
    </xf>
    <xf numFmtId="0" fontId="1" fillId="3" borderId="2" xfId="0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 applyProtection="1">
      <alignment horizontal="center" vertical="center" wrapText="1"/>
    </xf>
    <xf numFmtId="0" fontId="0" fillId="6" borderId="5" xfId="0" applyFont="1" applyFill="1" applyBorder="1" applyAlignment="1" applyProtection="1">
      <alignment horizontal="center" vertical="center"/>
    </xf>
    <xf numFmtId="0" fontId="0" fillId="9" borderId="19" xfId="0" applyFill="1" applyBorder="1" applyAlignment="1" applyProtection="1">
      <alignment horizontal="center" vertical="center"/>
    </xf>
    <xf numFmtId="0" fontId="0" fillId="9" borderId="20" xfId="0" applyFill="1" applyBorder="1" applyAlignment="1" applyProtection="1">
      <alignment horizontal="center" vertical="center"/>
    </xf>
    <xf numFmtId="0" fontId="0" fillId="9" borderId="3" xfId="0" applyFill="1" applyBorder="1" applyAlignment="1" applyProtection="1">
      <alignment horizontal="center" vertical="center"/>
    </xf>
    <xf numFmtId="0" fontId="0" fillId="4" borderId="19" xfId="0" applyFill="1" applyBorder="1" applyAlignment="1" applyProtection="1">
      <alignment horizontal="center" vertical="center"/>
    </xf>
    <xf numFmtId="0" fontId="0" fillId="4" borderId="20" xfId="0" applyFill="1" applyBorder="1" applyAlignment="1" applyProtection="1">
      <alignment horizontal="center" vertical="center"/>
    </xf>
    <xf numFmtId="0" fontId="0" fillId="4" borderId="3" xfId="0" applyFill="1" applyBorder="1" applyAlignment="1" applyProtection="1">
      <alignment horizontal="center" vertical="center"/>
    </xf>
    <xf numFmtId="1" fontId="2" fillId="3" borderId="10" xfId="0" applyNumberFormat="1" applyFont="1" applyFill="1" applyBorder="1" applyAlignment="1" applyProtection="1">
      <alignment horizontal="center" vertical="center"/>
    </xf>
    <xf numFmtId="0" fontId="2" fillId="3" borderId="23" xfId="0" applyFont="1" applyFill="1" applyBorder="1" applyAlignment="1" applyProtection="1">
      <alignment horizontal="center" vertical="center"/>
    </xf>
    <xf numFmtId="0" fontId="2" fillId="3" borderId="24" xfId="0" applyFont="1" applyFill="1" applyBorder="1" applyAlignment="1" applyProtection="1">
      <alignment horizontal="center" vertical="center"/>
    </xf>
    <xf numFmtId="1" fontId="0" fillId="3" borderId="8" xfId="0" applyNumberFormat="1" applyFill="1" applyBorder="1" applyAlignment="1" applyProtection="1">
      <alignment horizontal="center" vertical="center"/>
    </xf>
    <xf numFmtId="0" fontId="0" fillId="3" borderId="25" xfId="0" applyFill="1" applyBorder="1" applyAlignment="1" applyProtection="1">
      <alignment horizontal="center" vertical="center"/>
    </xf>
    <xf numFmtId="0" fontId="0" fillId="3" borderId="17" xfId="0" applyFill="1" applyBorder="1" applyAlignment="1" applyProtection="1">
      <alignment horizontal="center" vertical="center"/>
    </xf>
    <xf numFmtId="1" fontId="2" fillId="3" borderId="23" xfId="0" applyNumberFormat="1" applyFont="1" applyFill="1" applyBorder="1" applyAlignment="1" applyProtection="1">
      <alignment horizontal="center" vertical="center"/>
    </xf>
    <xf numFmtId="1" fontId="2" fillId="3" borderId="24" xfId="0" applyNumberFormat="1" applyFont="1" applyFill="1" applyBorder="1" applyAlignment="1" applyProtection="1">
      <alignment horizontal="center" vertical="center"/>
    </xf>
    <xf numFmtId="0" fontId="0" fillId="6" borderId="14" xfId="0" applyFont="1" applyFill="1" applyBorder="1" applyAlignment="1" applyProtection="1">
      <alignment horizontal="center" vertical="center"/>
    </xf>
    <xf numFmtId="0" fontId="0" fillId="6" borderId="22" xfId="0" applyFont="1" applyFill="1" applyBorder="1" applyAlignment="1" applyProtection="1">
      <alignment horizontal="center" vertical="center"/>
    </xf>
    <xf numFmtId="0" fontId="0" fillId="6" borderId="12" xfId="0" applyFont="1" applyFill="1" applyBorder="1" applyAlignment="1" applyProtection="1">
      <alignment horizontal="center" vertical="center"/>
    </xf>
    <xf numFmtId="0" fontId="7" fillId="6" borderId="2" xfId="0" applyFont="1" applyFill="1" applyBorder="1" applyAlignment="1" applyProtection="1">
      <alignment horizontal="center" vertical="center" wrapText="1"/>
    </xf>
    <xf numFmtId="0" fontId="7" fillId="9" borderId="2" xfId="0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</xf>
    <xf numFmtId="0" fontId="3" fillId="8" borderId="2" xfId="0" applyFont="1" applyFill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center" vertical="top" wrapText="1"/>
    </xf>
    <xf numFmtId="0" fontId="7" fillId="7" borderId="1" xfId="0" applyFont="1" applyFill="1" applyBorder="1" applyAlignment="1" applyProtection="1">
      <alignment horizontal="center" vertical="center" wrapText="1"/>
    </xf>
    <xf numFmtId="0" fontId="7" fillId="8" borderId="2" xfId="0" applyFont="1" applyFill="1" applyBorder="1" applyAlignment="1" applyProtection="1">
      <alignment horizontal="right" vertical="center" wrapText="1"/>
    </xf>
    <xf numFmtId="0" fontId="13" fillId="0" borderId="0" xfId="0" applyFont="1" applyAlignment="1">
      <alignment horizontal="left" wrapText="1"/>
    </xf>
    <xf numFmtId="0" fontId="20" fillId="0" borderId="0" xfId="0" applyFont="1" applyAlignment="1">
      <alignment horizontal="left" readingOrder="1"/>
    </xf>
    <xf numFmtId="0" fontId="27" fillId="0" borderId="0" xfId="0" applyFont="1" applyAlignment="1">
      <alignment horizontal="left" wrapText="1"/>
    </xf>
  </cellXfs>
  <cellStyles count="1">
    <cellStyle name="Normal" xfId="0" builtinId="0"/>
  </cellStyles>
  <dxfs count="40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0CEC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E699"/>
      <rgbColor rgb="FFA9D18E"/>
      <rgbColor rgb="FFFBE5D6"/>
      <rgbColor rgb="FFD9D9D9"/>
      <rgbColor rgb="FFFFD966"/>
      <rgbColor rgb="FF3366FF"/>
      <rgbColor rgb="FF33CCCC"/>
      <rgbColor rgb="FF99CC00"/>
      <rgbColor rgb="FFFFCC00"/>
      <rgbColor rgb="FFFF9900"/>
      <rgbColor rgb="FFFF6600"/>
      <rgbColor rgb="FF7C7C7C"/>
      <rgbColor rgb="FFA6A6A6"/>
      <rgbColor rgb="FF003366"/>
      <rgbColor rgb="FF00B050"/>
      <rgbColor rgb="FF003300"/>
      <rgbColor rgb="FF333300"/>
      <rgbColor rgb="FF993300"/>
      <rgbColor rgb="FF993366"/>
      <rgbColor rgb="FF59595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Sausis (žalos €)</a:t>
            </a:r>
          </a:p>
        </c:rich>
      </c:tx>
      <c:spPr>
        <a:noFill/>
        <a:ln>
          <a:noFill/>
        </a:ln>
      </c:spPr>
    </c:title>
    <c:plotArea>
      <c:layout/>
      <c:barChart>
        <c:barDir val="col"/>
        <c:grouping val="stacked"/>
        <c:ser>
          <c:idx val="0"/>
          <c:order val="0"/>
          <c:tx>
            <c:strRef>
              <c:f>'Dinamika (registruotų)'!$A$3</c:f>
              <c:strCache>
                <c:ptCount val="1"/>
                <c:pt idx="0">
                  <c:v>Sausis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3"/>
            <c:spPr>
              <a:solidFill>
                <a:srgbClr val="FF0000"/>
              </a:solidFill>
              <a:ln>
                <a:noFill/>
              </a:ln>
            </c:spPr>
          </c:dPt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7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24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ctr"/>
            <c:showVal val="1"/>
            <c:separator>; </c:separator>
          </c:dLbls>
          <c:cat>
            <c:strRef>
              <c:f>'Dinamika (registruotų)'!$B$2:$AF$2</c:f>
              <c:strCache>
                <c:ptCount val="31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  <c:pt idx="28">
                  <c:v>29 d.</c:v>
                </c:pt>
                <c:pt idx="29">
                  <c:v>30 d.</c:v>
                </c:pt>
                <c:pt idx="30">
                  <c:v>31 d.</c:v>
                </c:pt>
              </c:strCache>
            </c:strRef>
          </c:cat>
          <c:val>
            <c:numRef>
              <c:f>'Dinamika (registruotų)'!$B$3:$AF$3</c:f>
              <c:numCache>
                <c:formatCode>General</c:formatCode>
                <c:ptCount val="31"/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overlap val="100"/>
        <c:axId val="76550144"/>
        <c:axId val="76551680"/>
      </c:barChart>
      <c:catAx>
        <c:axId val="7655014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76551680"/>
        <c:crosses val="autoZero"/>
        <c:auto val="1"/>
        <c:lblAlgn val="ctr"/>
        <c:lblOffset val="100"/>
      </c:catAx>
      <c:valAx>
        <c:axId val="7655168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76550144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FF0000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Vasaris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stacked"/>
        <c:ser>
          <c:idx val="0"/>
          <c:order val="0"/>
          <c:tx>
            <c:strRef>
              <c:f>'Dinamika (registruotų)'!$A$29</c:f>
              <c:strCache>
                <c:ptCount val="1"/>
                <c:pt idx="0">
                  <c:v>Vasaris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cat>
            <c:strRef>
              <c:f>'Dinamika (registruotų)'!$B$28:$AC$28</c:f>
              <c:strCache>
                <c:ptCount val="28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</c:strCache>
            </c:strRef>
          </c:cat>
          <c:val>
            <c:numRef>
              <c:f>'Dinamika (registruotų)'!$B$29:$AC$29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 formatCode="#,##0.00">
                  <c:v>0</c:v>
                </c:pt>
                <c:pt idx="20">
                  <c:v>0</c:v>
                </c:pt>
                <c:pt idx="21">
                  <c:v>0</c:v>
                </c:pt>
                <c:pt idx="22" formatCode="#,##0.00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er>
          <c:idx val="1"/>
          <c:order val="1"/>
          <c:cat>
            <c:strRef>
              <c:f>'Dinamika (registruotų)'!$B$28:$AC$28</c:f>
              <c:strCache>
                <c:ptCount val="28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</c:strCache>
            </c:strRef>
          </c:cat>
          <c:val>
            <c:numRef>
              <c:f>'Dinamika (registruotų)'!$A$38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</c:ser>
        <c:shape val="box"/>
        <c:axId val="76609408"/>
        <c:axId val="76610944"/>
        <c:axId val="0"/>
      </c:bar3DChart>
      <c:catAx>
        <c:axId val="76609408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76610944"/>
        <c:crosses val="autoZero"/>
        <c:auto val="1"/>
        <c:lblAlgn val="ctr"/>
        <c:lblOffset val="100"/>
      </c:catAx>
      <c:valAx>
        <c:axId val="76610944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7660940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Vasaris (reg. pranešimų sk.)</a:t>
            </a:r>
          </a:p>
        </c:rich>
      </c:tx>
      <c:layout>
        <c:manualLayout>
          <c:xMode val="edge"/>
          <c:yMode val="edge"/>
          <c:x val="0.44026402640264001"/>
          <c:y val="0.1037296037296068"/>
        </c:manualLayout>
      </c:layout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stacked"/>
        <c:ser>
          <c:idx val="0"/>
          <c:order val="0"/>
          <c:tx>
            <c:strRef>
              <c:f>'Dinamika (registruotų)'!$A$30</c:f>
              <c:strCache>
                <c:ptCount val="1"/>
                <c:pt idx="0">
                  <c:v>Vasaris</c:v>
                </c:pt>
              </c:strCache>
            </c:strRef>
          </c:tx>
          <c:spPr>
            <a:solidFill>
              <a:srgbClr val="7C7C7C"/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10"/>
              <c:spPr>
                <a:ln w="9360">
                  <a:solidFill>
                    <a:srgbClr val="595959"/>
                  </a:solidFill>
                </a:ln>
              </c:spPr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>
                  <a:defRPr lang="lt-LT"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cat>
            <c:strRef>
              <c:f>'Dinamika (registruotų)'!$B$28:$AC$28</c:f>
              <c:strCache>
                <c:ptCount val="28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</c:strCache>
            </c:strRef>
          </c:cat>
          <c:val>
            <c:numRef>
              <c:f>'Dinamika (registruotų)'!$B$30:$AC$30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hape val="box"/>
        <c:axId val="118143616"/>
        <c:axId val="118153600"/>
        <c:axId val="0"/>
      </c:bar3DChart>
      <c:catAx>
        <c:axId val="11814361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153600"/>
        <c:crosses val="autoZero"/>
        <c:auto val="1"/>
        <c:lblAlgn val="ctr"/>
        <c:lblOffset val="100"/>
      </c:catAx>
      <c:valAx>
        <c:axId val="11815360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14361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Sausis (reg. pranešimų sk.)</a:t>
            </a:r>
          </a:p>
        </c:rich>
      </c:tx>
      <c:spPr>
        <a:noFill/>
        <a:ln>
          <a:noFill/>
        </a:ln>
      </c:spPr>
    </c:title>
    <c:plotArea>
      <c:layout/>
      <c:barChart>
        <c:barDir val="col"/>
        <c:grouping val="stacked"/>
        <c:ser>
          <c:idx val="0"/>
          <c:order val="0"/>
          <c:tx>
            <c:strRef>
              <c:f>'Dinamika (registruotų)'!$A$4</c:f>
              <c:strCache>
                <c:ptCount val="1"/>
                <c:pt idx="0">
                  <c:v>Sausis</c:v>
                </c:pt>
              </c:strCache>
            </c:strRef>
          </c:tx>
          <c:spPr>
            <a:solidFill>
              <a:srgbClr val="7C7C7C"/>
            </a:solidFill>
            <a:ln>
              <a:noFill/>
            </a:ln>
          </c:spPr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dLblPos val="ctr"/>
            <c:showVal val="1"/>
            <c:separator>; </c:separator>
          </c:dLbls>
          <c:cat>
            <c:strRef>
              <c:f>'Dinamika (registruotų)'!$B$2:$AF$2</c:f>
              <c:strCache>
                <c:ptCount val="31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  <c:pt idx="28">
                  <c:v>29 d.</c:v>
                </c:pt>
                <c:pt idx="29">
                  <c:v>30 d.</c:v>
                </c:pt>
                <c:pt idx="30">
                  <c:v>31 d.</c:v>
                </c:pt>
              </c:strCache>
            </c:strRef>
          </c:cat>
          <c:val>
            <c:numRef>
              <c:f>'Dinamika (registruotų)'!$B$4:$AF$4</c:f>
              <c:numCache>
                <c:formatCode>General</c:formatCode>
                <c:ptCount val="31"/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overlap val="100"/>
        <c:axId val="118308864"/>
        <c:axId val="118310400"/>
      </c:barChart>
      <c:catAx>
        <c:axId val="11830886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310400"/>
        <c:crosses val="autoZero"/>
        <c:auto val="1"/>
        <c:lblAlgn val="ctr"/>
        <c:lblOffset val="100"/>
      </c:catAx>
      <c:valAx>
        <c:axId val="11831040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308864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Kovas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(registruotų)'!$A$59</c:f>
              <c:strCache>
                <c:ptCount val="1"/>
                <c:pt idx="0">
                  <c:v>Kovas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Pt>
            <c:idx val="28"/>
            <c:spPr>
              <a:solidFill>
                <a:srgbClr val="FF0000"/>
              </a:solidFill>
              <a:ln>
                <a:noFill/>
              </a:ln>
            </c:spPr>
          </c:dPt>
          <c:dPt>
            <c:idx val="29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10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11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13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16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cat>
            <c:strRef>
              <c:f>'Dinamika (registruotų)'!$B$58:$AF$58</c:f>
              <c:strCache>
                <c:ptCount val="31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  <c:pt idx="28">
                  <c:v>29 d.</c:v>
                </c:pt>
                <c:pt idx="29">
                  <c:v>30 d.</c:v>
                </c:pt>
                <c:pt idx="30">
                  <c:v>31 d.</c:v>
                </c:pt>
              </c:strCache>
            </c:strRef>
          </c:cat>
          <c:val>
            <c:numRef>
              <c:f>'Dinamika (registruotų)'!$B$59:$AF$59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 formatCode="#,##0.00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hape val="box"/>
        <c:axId val="118357376"/>
        <c:axId val="118363264"/>
        <c:axId val="0"/>
      </c:bar3DChart>
      <c:catAx>
        <c:axId val="11835737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363264"/>
        <c:crosses val="autoZero"/>
        <c:auto val="1"/>
        <c:lblAlgn val="ctr"/>
        <c:lblOffset val="100"/>
      </c:catAx>
      <c:valAx>
        <c:axId val="118363264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35737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Kovas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(registruotų)'!$A$60</c:f>
              <c:strCache>
                <c:ptCount val="1"/>
                <c:pt idx="0">
                  <c:v>Kovas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Pt>
            <c:idx val="28"/>
            <c:spPr>
              <a:solidFill>
                <a:srgbClr val="FF0000"/>
              </a:solidFill>
              <a:ln>
                <a:noFill/>
              </a:ln>
            </c:spPr>
          </c:dPt>
          <c:dPt>
            <c:idx val="29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(registruotų)'!$B$60:$AF$60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hape val="box"/>
        <c:axId val="118420608"/>
        <c:axId val="118422144"/>
        <c:axId val="0"/>
      </c:bar3DChart>
      <c:catAx>
        <c:axId val="118420608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422144"/>
        <c:crosses val="autoZero"/>
        <c:auto val="1"/>
        <c:lblAlgn val="ctr"/>
        <c:lblOffset val="100"/>
      </c:catAx>
      <c:valAx>
        <c:axId val="118422144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42060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(registruotų)'!$A$92</c:f>
              <c:strCache>
                <c:ptCount val="1"/>
                <c:pt idx="0">
                  <c:v>Balandis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0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(registruotų)'!$B$92:$AE$92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hape val="box"/>
        <c:axId val="118466816"/>
        <c:axId val="118476800"/>
        <c:axId val="0"/>
      </c:bar3DChart>
      <c:catAx>
        <c:axId val="11846681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476800"/>
        <c:crosses val="autoZero"/>
        <c:auto val="1"/>
        <c:lblAlgn val="ctr"/>
        <c:lblOffset val="100"/>
      </c:catAx>
      <c:valAx>
        <c:axId val="11847680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46681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(registruotų)'!$A$91</c:f>
              <c:strCache>
                <c:ptCount val="1"/>
                <c:pt idx="0">
                  <c:v>Balandis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0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6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9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(registruotų)'!$B$91:$AE$91</c:f>
              <c:numCache>
                <c:formatCode>#,##0.00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hape val="box"/>
        <c:axId val="118595968"/>
        <c:axId val="118597504"/>
        <c:axId val="0"/>
      </c:bar3DChart>
      <c:catAx>
        <c:axId val="118595968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597504"/>
        <c:crosses val="autoZero"/>
        <c:auto val="1"/>
        <c:lblAlgn val="ctr"/>
        <c:lblOffset val="100"/>
      </c:catAx>
      <c:valAx>
        <c:axId val="118597504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59596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(registruotų)'!$A$124</c:f>
              <c:strCache>
                <c:ptCount val="1"/>
                <c:pt idx="0">
                  <c:v>Gegužė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val>
            <c:numRef>
              <c:f>'Dinamika (registruotų)'!$B$124:$AF$124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@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hape val="box"/>
        <c:axId val="118620928"/>
        <c:axId val="118622464"/>
        <c:axId val="0"/>
      </c:bar3DChart>
      <c:catAx>
        <c:axId val="118620928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622464"/>
        <c:crosses val="autoZero"/>
        <c:auto val="1"/>
        <c:lblAlgn val="ctr"/>
        <c:lblOffset val="100"/>
      </c:catAx>
      <c:valAx>
        <c:axId val="118622464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62092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(registruotų)'!$A$123</c:f>
              <c:strCache>
                <c:ptCount val="1"/>
                <c:pt idx="0">
                  <c:v>Gegužė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(registruotų)'!$B$123:$AF$123</c:f>
              <c:numCache>
                <c:formatCode>#,##0.00</c:formatCode>
                <c:ptCount val="3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shape val="box"/>
        <c:axId val="118683136"/>
        <c:axId val="118684672"/>
        <c:axId val="0"/>
      </c:bar3DChart>
      <c:catAx>
        <c:axId val="11868313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684672"/>
        <c:crosses val="autoZero"/>
        <c:auto val="1"/>
        <c:lblAlgn val="ctr"/>
        <c:lblOffset val="100"/>
      </c:catAx>
      <c:valAx>
        <c:axId val="118684672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1868313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(registruotų)'!$A$157</c:f>
              <c:strCache>
                <c:ptCount val="1"/>
                <c:pt idx="0">
                  <c:v>Birželis</c:v>
                </c:pt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(registruotų)'!$B$157:$AE$157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hape val="box"/>
        <c:axId val="120244480"/>
        <c:axId val="120250368"/>
        <c:axId val="0"/>
      </c:bar3DChart>
      <c:catAx>
        <c:axId val="12024448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20250368"/>
        <c:crosses val="autoZero"/>
        <c:auto val="1"/>
        <c:lblAlgn val="ctr"/>
        <c:lblOffset val="100"/>
      </c:catAx>
      <c:valAx>
        <c:axId val="120250368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2024448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'Dinamika (registruotų)'!$A$156</c:f>
              <c:strCache>
                <c:ptCount val="1"/>
                <c:pt idx="0">
                  <c:v>Birželis</c:v>
                </c:pt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'Dinamika (registruotų)'!$B$156:$AE$156</c:f>
              <c:numCache>
                <c:formatCode>#,##0.00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hape val="box"/>
        <c:axId val="120355840"/>
        <c:axId val="120365824"/>
        <c:axId val="0"/>
      </c:bar3DChart>
      <c:catAx>
        <c:axId val="12035584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20365824"/>
        <c:crosses val="autoZero"/>
        <c:auto val="1"/>
        <c:lblAlgn val="ctr"/>
        <c:lblOffset val="100"/>
      </c:catAx>
      <c:valAx>
        <c:axId val="120365824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2035584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Dinamika!$A$101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0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Dinamika!$B$101:$AE$101</c:f>
              <c:numCache>
                <c:formatCode>General</c:formatCode>
                <c:ptCount val="30"/>
              </c:numCache>
            </c:numRef>
          </c:val>
        </c:ser>
        <c:shape val="box"/>
        <c:axId val="163988224"/>
        <c:axId val="163989760"/>
        <c:axId val="0"/>
      </c:bar3DChart>
      <c:catAx>
        <c:axId val="16398822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3989760"/>
        <c:crosses val="autoZero"/>
        <c:auto val="1"/>
        <c:lblAlgn val="ctr"/>
        <c:lblOffset val="100"/>
      </c:catAx>
      <c:valAx>
        <c:axId val="16398976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398822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Dinamika!$A$100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0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6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9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Dinamika!$B$100:$AE$100</c:f>
              <c:numCache>
                <c:formatCode>#,##0.00</c:formatCode>
                <c:ptCount val="30"/>
              </c:numCache>
            </c:numRef>
          </c:val>
        </c:ser>
        <c:shape val="box"/>
        <c:axId val="164240000"/>
        <c:axId val="164254080"/>
        <c:axId val="0"/>
      </c:bar3DChart>
      <c:catAx>
        <c:axId val="16424000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254080"/>
        <c:crosses val="autoZero"/>
        <c:auto val="1"/>
        <c:lblAlgn val="ctr"/>
        <c:lblOffset val="100"/>
      </c:catAx>
      <c:valAx>
        <c:axId val="16425408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240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Dinamika!$A$133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val>
            <c:numRef>
              <c:f>Dinamika!$B$133:$AF$133</c:f>
              <c:numCache>
                <c:formatCode>General</c:formatCode>
                <c:ptCount val="31"/>
              </c:numCache>
            </c:numRef>
          </c:val>
        </c:ser>
        <c:shape val="box"/>
        <c:axId val="164281344"/>
        <c:axId val="164283136"/>
        <c:axId val="0"/>
      </c:bar3DChart>
      <c:catAx>
        <c:axId val="16428134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283136"/>
        <c:crosses val="autoZero"/>
        <c:auto val="1"/>
        <c:lblAlgn val="ctr"/>
        <c:lblOffset val="100"/>
      </c:catAx>
      <c:valAx>
        <c:axId val="164283136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28134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Dinamika!$A$132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Dinamika!$B$132:$AF$132</c:f>
              <c:numCache>
                <c:formatCode>#,##0.00</c:formatCode>
                <c:ptCount val="31"/>
              </c:numCache>
            </c:numRef>
          </c:val>
        </c:ser>
        <c:shape val="box"/>
        <c:axId val="164200448"/>
        <c:axId val="164201984"/>
        <c:axId val="0"/>
      </c:bar3DChart>
      <c:catAx>
        <c:axId val="164200448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201984"/>
        <c:crosses val="autoZero"/>
        <c:auto val="1"/>
        <c:lblAlgn val="ctr"/>
        <c:lblOffset val="100"/>
      </c:catAx>
      <c:valAx>
        <c:axId val="164201984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20044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Dinamika!$A$166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Dinamika!$B$166:$AE$166</c:f>
              <c:numCache>
                <c:formatCode>General</c:formatCode>
                <c:ptCount val="30"/>
              </c:numCache>
            </c:numRef>
          </c:val>
        </c:ser>
        <c:shape val="box"/>
        <c:axId val="164320000"/>
        <c:axId val="164321536"/>
        <c:axId val="0"/>
      </c:bar3DChart>
      <c:catAx>
        <c:axId val="164320000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321536"/>
        <c:crosses val="autoZero"/>
        <c:auto val="1"/>
        <c:lblAlgn val="ctr"/>
        <c:lblOffset val="100"/>
      </c:catAx>
      <c:valAx>
        <c:axId val="164321536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320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Dinamika!$A$165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Pt>
            <c:idx val="1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9"/>
            <c:spPr>
              <a:solidFill>
                <a:srgbClr val="FF0000"/>
              </a:solidFill>
              <a:ln>
                <a:noFill/>
              </a:ln>
            </c:spPr>
          </c:dPt>
          <c:dPt>
            <c:idx val="2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6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Dinamika!$B$165:$AE$165</c:f>
              <c:numCache>
                <c:formatCode>#,##0.00</c:formatCode>
                <c:ptCount val="30"/>
              </c:numCache>
            </c:numRef>
          </c:val>
        </c:ser>
        <c:shape val="box"/>
        <c:axId val="164107776"/>
        <c:axId val="164109312"/>
        <c:axId val="0"/>
      </c:bar3DChart>
      <c:catAx>
        <c:axId val="16410777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109312"/>
        <c:crosses val="autoZero"/>
        <c:auto val="1"/>
        <c:lblAlgn val="ctr"/>
        <c:lblOffset val="100"/>
      </c:catAx>
      <c:valAx>
        <c:axId val="164109312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10777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lt-LT" sz="1400" b="1" i="0" u="none" strike="noStrike" kern="1200" spc="-1" baseline="0">
                <a:solidFill>
                  <a:srgbClr val="595959"/>
                </a:solidFill>
                <a:latin typeface="Times New Roman" pitchFamily="18" charset="0"/>
                <a:ea typeface="DejaVu Sans"/>
                <a:cs typeface="Times New Roman" pitchFamily="18" charset="0"/>
              </a:defRPr>
            </a:pPr>
            <a:r>
              <a:t>Registruota pranešimų (Iš viso 843)</a:t>
            </a:r>
          </a:p>
        </c:rich>
      </c:tx>
      <c:layout/>
      <c:overlay val="1"/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>
        <c:manualLayout>
          <c:layoutTarget val="inner"/>
          <c:xMode val="edge"/>
          <c:yMode val="edge"/>
          <c:x val="1.0795833333333341E-2"/>
          <c:y val="0.19196150793650787"/>
          <c:w val="0.98920416666666156"/>
          <c:h val="0.59213015873013797"/>
        </c:manualLayout>
      </c:layout>
      <c:bar3DChart>
        <c:barDir val="col"/>
        <c:grouping val="clustered"/>
        <c:ser>
          <c:idx val="0"/>
          <c:order val="0"/>
          <c:tx>
            <c:strRef>
              <c:f>Dinamika!$A$18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"/>
            <c:spPr>
              <a:solidFill>
                <a:srgbClr val="808080"/>
              </a:solidFill>
              <a:ln>
                <a:noFill/>
              </a:ln>
            </c:spPr>
          </c:dPt>
          <c:dPt>
            <c:idx val="3"/>
            <c:spPr>
              <a:solidFill>
                <a:srgbClr val="808080"/>
              </a:solidFill>
              <a:ln>
                <a:noFill/>
              </a:ln>
            </c:spPr>
          </c:dPt>
          <c:dPt>
            <c:idx val="4"/>
            <c:spPr>
              <a:solidFill>
                <a:srgbClr val="808080"/>
              </a:solidFill>
            </c:spPr>
          </c:dPt>
          <c:dPt>
            <c:idx val="5"/>
            <c:spPr>
              <a:solidFill>
                <a:srgbClr val="808080"/>
              </a:solidFill>
              <a:ln>
                <a:noFill/>
              </a:ln>
            </c:spPr>
          </c:dPt>
          <c:dPt>
            <c:idx val="6"/>
            <c:spPr>
              <a:solidFill>
                <a:srgbClr val="80808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9"/>
            <c:spPr>
              <a:solidFill>
                <a:srgbClr val="808080"/>
              </a:solidFill>
              <a:ln>
                <a:noFill/>
              </a:ln>
            </c:spPr>
          </c:dPt>
          <c:dPt>
            <c:idx val="10"/>
            <c:spPr>
              <a:solidFill>
                <a:srgbClr val="808080"/>
              </a:solidFill>
              <a:ln>
                <a:noFill/>
              </a:ln>
            </c:spPr>
          </c:dPt>
          <c:dPt>
            <c:idx val="11"/>
            <c:spPr>
              <a:solidFill>
                <a:srgbClr val="808080"/>
              </a:solidFill>
              <a:ln>
                <a:noFill/>
              </a:ln>
            </c:spPr>
          </c:dPt>
          <c:dPt>
            <c:idx val="12"/>
            <c:spPr>
              <a:solidFill>
                <a:srgbClr val="808080"/>
              </a:solidFill>
              <a:ln>
                <a:noFill/>
              </a:ln>
            </c:spPr>
          </c:dPt>
          <c:dPt>
            <c:idx val="13"/>
            <c:spPr>
              <a:solidFill>
                <a:srgbClr val="80808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6"/>
            <c:spPr>
              <a:solidFill>
                <a:srgbClr val="808080"/>
              </a:solidFill>
              <a:ln>
                <a:noFill/>
              </a:ln>
            </c:spPr>
          </c:dPt>
          <c:dPt>
            <c:idx val="17"/>
            <c:spPr>
              <a:solidFill>
                <a:srgbClr val="808080"/>
              </a:solidFill>
              <a:ln>
                <a:noFill/>
              </a:ln>
            </c:spPr>
          </c:dPt>
          <c:dPt>
            <c:idx val="18"/>
            <c:spPr>
              <a:solidFill>
                <a:srgbClr val="808080"/>
              </a:solidFill>
              <a:ln>
                <a:noFill/>
              </a:ln>
            </c:spPr>
          </c:dPt>
          <c:dPt>
            <c:idx val="19"/>
            <c:spPr>
              <a:solidFill>
                <a:srgbClr val="808080"/>
              </a:solidFill>
              <a:ln>
                <a:noFill/>
              </a:ln>
            </c:spPr>
          </c:dPt>
          <c:dPt>
            <c:idx val="20"/>
            <c:spPr>
              <a:solidFill>
                <a:srgbClr val="80808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Pt>
            <c:idx val="23"/>
            <c:spPr>
              <a:solidFill>
                <a:srgbClr val="808080"/>
              </a:solidFill>
              <a:ln>
                <a:noFill/>
              </a:ln>
            </c:spPr>
          </c:dPt>
          <c:dPt>
            <c:idx val="24"/>
            <c:spPr>
              <a:solidFill>
                <a:srgbClr val="808080"/>
              </a:solidFill>
              <a:ln>
                <a:noFill/>
              </a:ln>
            </c:spPr>
          </c:dPt>
          <c:dPt>
            <c:idx val="25"/>
            <c:spPr>
              <a:solidFill>
                <a:srgbClr val="808080"/>
              </a:solidFill>
              <a:ln>
                <a:noFill/>
              </a:ln>
            </c:spPr>
          </c:dPt>
          <c:dPt>
            <c:idx val="26"/>
            <c:spPr>
              <a:solidFill>
                <a:srgbClr val="808080"/>
              </a:solidFill>
              <a:ln>
                <a:noFill/>
              </a:ln>
            </c:spPr>
          </c:dPt>
          <c:dPt>
            <c:idx val="27"/>
            <c:spPr>
              <a:solidFill>
                <a:srgbClr val="808080"/>
              </a:solidFill>
              <a:ln>
                <a:noFill/>
              </a:ln>
            </c:spPr>
          </c:dPt>
          <c:dLbls>
            <c:spPr>
              <a:noFill/>
            </c:spPr>
            <c:txPr>
              <a:bodyPr/>
              <a:lstStyle/>
              <a:p>
                <a:pPr>
                  <a:defRPr lang="lt-LT" b="1"/>
                </a:pPr>
                <a:endParaRPr lang="en-US"/>
              </a:p>
            </c:txPr>
            <c:showVal val="1"/>
          </c:dLbls>
          <c:cat>
            <c:strRef>
              <c:f>Dinamika!$D$11:$AH$11</c:f>
              <c:strCache>
                <c:ptCount val="31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  <c:pt idx="28">
                  <c:v>29 d.</c:v>
                </c:pt>
                <c:pt idx="29">
                  <c:v>30 d.</c:v>
                </c:pt>
                <c:pt idx="30">
                  <c:v>31 d.</c:v>
                </c:pt>
              </c:strCache>
            </c:strRef>
          </c:cat>
          <c:val>
            <c:numRef>
              <c:f>Dinamika!$D$12:$AE$12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hape val="box"/>
        <c:axId val="164379264"/>
        <c:axId val="164381056"/>
        <c:axId val="0"/>
      </c:bar3DChart>
      <c:catAx>
        <c:axId val="16437926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381056"/>
        <c:crosses val="autoZero"/>
        <c:auto val="1"/>
        <c:lblAlgn val="ctr"/>
        <c:lblOffset val="100"/>
      </c:catAx>
      <c:valAx>
        <c:axId val="164381056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one"/>
        <c:crossAx val="16437926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968253968253968E-2"/>
          <c:y val="0.1078431372549019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Dinamika!$I$1</c:f>
              <c:strCache>
                <c:ptCount val="1"/>
                <c:pt idx="0">
                  <c:v>Dinamika!$D$12:$AH$12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4408320"/>
        <c:axId val="164410112"/>
      </c:barChart>
      <c:catAx>
        <c:axId val="164408320"/>
        <c:scaling>
          <c:orientation val="minMax"/>
        </c:scaling>
        <c:delete val="1"/>
        <c:axPos val="b"/>
        <c:tickLblPos val="none"/>
        <c:crossAx val="164410112"/>
        <c:crosses val="autoZero"/>
        <c:auto val="1"/>
        <c:lblAlgn val="ctr"/>
        <c:lblOffset val="100"/>
      </c:catAx>
      <c:valAx>
        <c:axId val="164410112"/>
        <c:scaling>
          <c:orientation val="minMax"/>
        </c:scaling>
        <c:delete val="1"/>
        <c:axPos val="l"/>
        <c:numFmt formatCode="General" sourceLinked="1"/>
        <c:tickLblPos val="none"/>
        <c:crossAx val="164408320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ctr" rtl="0">
              <a:defRPr lang="en-US" sz="1400" b="1" i="0" u="none" strike="noStrike" kern="1200" spc="-1" baseline="0">
                <a:solidFill>
                  <a:srgbClr val="595959"/>
                </a:solidFill>
                <a:latin typeface="Times New Roman" pitchFamily="18" charset="0"/>
                <a:ea typeface="DejaVu Sans"/>
                <a:cs typeface="Times New Roman" pitchFamily="18" charset="0"/>
              </a:defRPr>
            </a:pPr>
            <a:r>
              <a:rPr sz="1400" b="1" i="0" u="none" strike="noStrike" kern="1200" spc="-1" baseline="0">
                <a:solidFill>
                  <a:srgbClr val="595959"/>
                </a:solidFill>
                <a:latin typeface="Times New Roman" pitchFamily="18" charset="0"/>
                <a:ea typeface="DejaVu Sans"/>
                <a:cs typeface="Times New Roman" pitchFamily="18" charset="0"/>
              </a:rPr>
              <a:t>Patirtos žalos** (iš viso 1474,7 €)</a:t>
            </a:r>
          </a:p>
          <a:p>
            <a:pPr algn="ctr" rtl="0">
              <a:defRPr lang="en-US" sz="1400" b="1" i="0" u="none" strike="noStrike" kern="1200" spc="-1" baseline="0">
                <a:solidFill>
                  <a:srgbClr val="595959"/>
                </a:solidFill>
                <a:latin typeface="Times New Roman" pitchFamily="18" charset="0"/>
                <a:ea typeface="DejaVu Sans"/>
                <a:cs typeface="Times New Roman" pitchFamily="18" charset="0"/>
              </a:defRPr>
            </a:pPr>
            <a:r>
              <a:rPr sz="1400" b="1" i="0" u="none" strike="noStrike" kern="1200" spc="-1" baseline="0">
                <a:solidFill>
                  <a:srgbClr val="595959"/>
                </a:solidFill>
                <a:latin typeface="Times New Roman" pitchFamily="18" charset="0"/>
                <a:ea typeface="DejaVu Sans"/>
                <a:cs typeface="Times New Roman" pitchFamily="18" charset="0"/>
              </a:rPr>
              <a:t>** Skaičiuojama tūkst. €</a:t>
            </a:r>
          </a:p>
        </c:rich>
      </c:tx>
      <c:layout/>
      <c:overlay val="1"/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>
        <c:manualLayout>
          <c:layoutTarget val="inner"/>
          <c:xMode val="edge"/>
          <c:yMode val="edge"/>
          <c:x val="8.8284188034188048E-3"/>
          <c:y val="0.20662698412698421"/>
          <c:w val="0.9884579059828823"/>
          <c:h val="0.6379408730159114"/>
        </c:manualLayout>
      </c:layout>
      <c:bar3DChart>
        <c:barDir val="col"/>
        <c:grouping val="clustered"/>
        <c:ser>
          <c:idx val="0"/>
          <c:order val="0"/>
          <c:tx>
            <c:strRef>
              <c:f>Dinamika!$A$52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</c:spPr>
          <c:dPt>
            <c:idx val="0"/>
            <c:spPr>
              <a:solidFill>
                <a:srgbClr val="FF0000"/>
              </a:solidFill>
              <a:ln>
                <a:noFill/>
              </a:ln>
            </c:spPr>
          </c:dPt>
          <c:dPt>
            <c:idx val="1"/>
            <c:spPr>
              <a:solidFill>
                <a:srgbClr val="FF0000"/>
              </a:solidFill>
              <a:ln>
                <a:noFill/>
              </a:ln>
            </c:spPr>
          </c:dPt>
          <c:dPt>
            <c:idx val="7"/>
            <c:spPr>
              <a:solidFill>
                <a:srgbClr val="FF0000"/>
              </a:solidFill>
              <a:ln>
                <a:noFill/>
              </a:ln>
            </c:spPr>
          </c:dPt>
          <c:dPt>
            <c:idx val="8"/>
            <c:spPr>
              <a:solidFill>
                <a:srgbClr val="FF0000"/>
              </a:solidFill>
              <a:ln>
                <a:noFill/>
              </a:ln>
            </c:spPr>
          </c:dPt>
          <c:dPt>
            <c:idx val="14"/>
            <c:spPr>
              <a:solidFill>
                <a:srgbClr val="FF0000"/>
              </a:solidFill>
              <a:ln>
                <a:noFill/>
              </a:ln>
            </c:spPr>
          </c:dPt>
          <c:dPt>
            <c:idx val="15"/>
            <c:spPr>
              <a:solidFill>
                <a:srgbClr val="FF0000"/>
              </a:solidFill>
              <a:ln>
                <a:noFill/>
              </a:ln>
            </c:spPr>
          </c:dPt>
          <c:dPt>
            <c:idx val="21"/>
            <c:spPr>
              <a:solidFill>
                <a:srgbClr val="FF0000"/>
              </a:solidFill>
              <a:ln>
                <a:noFill/>
              </a:ln>
            </c:spPr>
          </c:dPt>
          <c:dPt>
            <c:idx val="22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8"/>
              <c:layout>
                <c:manualLayout>
                  <c:x val="2.7136752136752151E-3"/>
                  <c:y val="-5.0396825396827319E-3"/>
                </c:manualLayout>
              </c:layout>
              <c:showVal val="1"/>
              <c:separator>; </c:separator>
            </c:dLbl>
            <c:dLbl>
              <c:idx val="12"/>
              <c:layout>
                <c:manualLayout>
                  <c:x val="1.3568376068376581E-3"/>
                  <c:y val="-1.007936507936508E-2"/>
                </c:manualLayout>
              </c:layout>
              <c:showVal val="1"/>
              <c:separator>; </c:separator>
            </c:dLbl>
            <c:dLbl>
              <c:idx val="24"/>
              <c:layout>
                <c:manualLayout>
                  <c:x val="-1.0683760673811362E-7"/>
                  <c:y val="-1.511904761904762E-2"/>
                </c:manualLayout>
              </c:layout>
              <c:showVal val="1"/>
              <c:separator>; </c:separator>
            </c:dLbl>
            <c:txPr>
              <a:bodyPr/>
              <a:lstStyle/>
              <a:p>
                <a:pPr>
                  <a:defRPr lang="lt-LT" sz="1000" b="1" strike="noStrike" spc="-1">
                    <a:solidFill>
                      <a:srgbClr val="404040"/>
                    </a:solidFill>
                    <a:latin typeface="Times New Roman" pitchFamily="18" charset="0"/>
                    <a:ea typeface="DejaVu Sans"/>
                    <a:cs typeface="Times New Roman" pitchFamily="18" charset="0"/>
                  </a:defRPr>
                </a:pPr>
                <a:endParaRPr lang="en-US"/>
              </a:p>
            </c:txPr>
            <c:showVal val="1"/>
            <c:separator>; </c:separator>
          </c:dLbls>
          <c:cat>
            <c:strRef>
              <c:f>Dinamika!$D$11:$AH$11</c:f>
              <c:strCache>
                <c:ptCount val="31"/>
                <c:pt idx="0">
                  <c:v>1 d.</c:v>
                </c:pt>
                <c:pt idx="1">
                  <c:v>2 d.</c:v>
                </c:pt>
                <c:pt idx="2">
                  <c:v>3 d.</c:v>
                </c:pt>
                <c:pt idx="3">
                  <c:v>4 d.</c:v>
                </c:pt>
                <c:pt idx="4">
                  <c:v>5 d.</c:v>
                </c:pt>
                <c:pt idx="5">
                  <c:v>6 d.</c:v>
                </c:pt>
                <c:pt idx="6">
                  <c:v>7 d.</c:v>
                </c:pt>
                <c:pt idx="7">
                  <c:v>8 d.</c:v>
                </c:pt>
                <c:pt idx="8">
                  <c:v>9 d.</c:v>
                </c:pt>
                <c:pt idx="9">
                  <c:v>10 d.</c:v>
                </c:pt>
                <c:pt idx="10">
                  <c:v>11 d.</c:v>
                </c:pt>
                <c:pt idx="11">
                  <c:v>12 d.</c:v>
                </c:pt>
                <c:pt idx="12">
                  <c:v>13 d.</c:v>
                </c:pt>
                <c:pt idx="13">
                  <c:v>14 d.</c:v>
                </c:pt>
                <c:pt idx="14">
                  <c:v>15 d.</c:v>
                </c:pt>
                <c:pt idx="15">
                  <c:v>16 d.</c:v>
                </c:pt>
                <c:pt idx="16">
                  <c:v>17 d.</c:v>
                </c:pt>
                <c:pt idx="17">
                  <c:v>18 d.</c:v>
                </c:pt>
                <c:pt idx="18">
                  <c:v>19 d.</c:v>
                </c:pt>
                <c:pt idx="19">
                  <c:v>20 d.</c:v>
                </c:pt>
                <c:pt idx="20">
                  <c:v>21 d.</c:v>
                </c:pt>
                <c:pt idx="21">
                  <c:v>22 d.</c:v>
                </c:pt>
                <c:pt idx="22">
                  <c:v>23 d.</c:v>
                </c:pt>
                <c:pt idx="23">
                  <c:v>24 d.</c:v>
                </c:pt>
                <c:pt idx="24">
                  <c:v>25 d.</c:v>
                </c:pt>
                <c:pt idx="25">
                  <c:v>26 d.</c:v>
                </c:pt>
                <c:pt idx="26">
                  <c:v>27 d.</c:v>
                </c:pt>
                <c:pt idx="27">
                  <c:v>28 d.</c:v>
                </c:pt>
                <c:pt idx="28">
                  <c:v>29 d.</c:v>
                </c:pt>
                <c:pt idx="29">
                  <c:v>30 d.</c:v>
                </c:pt>
                <c:pt idx="30">
                  <c:v>31 d.</c:v>
                </c:pt>
              </c:strCache>
            </c:strRef>
          </c:cat>
          <c:val>
            <c:numRef>
              <c:f>Dinamika!$D$14:$AE$14</c:f>
              <c:numCache>
                <c:formatCode>0.0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shape val="box"/>
        <c:axId val="164442496"/>
        <c:axId val="164444032"/>
        <c:axId val="0"/>
      </c:bar3DChart>
      <c:catAx>
        <c:axId val="16444249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444032"/>
        <c:crosses val="autoZero"/>
        <c:auto val="1"/>
        <c:lblAlgn val="ctr"/>
        <c:lblOffset val="100"/>
      </c:catAx>
      <c:valAx>
        <c:axId val="164444032"/>
        <c:scaling>
          <c:orientation val="minMax"/>
        </c:scaling>
        <c:delete val="1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one"/>
        <c:crossAx val="16444249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968253968253968E-2"/>
          <c:y val="0.1078431372549019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Dinamika!$I$2</c:f>
              <c:strCache>
                <c:ptCount val="1"/>
                <c:pt idx="0">
                  <c:v>Dinamika!$D$14:$AH$14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4471552"/>
        <c:axId val="164473088"/>
      </c:barChart>
      <c:catAx>
        <c:axId val="164471552"/>
        <c:scaling>
          <c:orientation val="minMax"/>
        </c:scaling>
        <c:delete val="1"/>
        <c:axPos val="b"/>
        <c:tickLblPos val="none"/>
        <c:crossAx val="164473088"/>
        <c:crosses val="autoZero"/>
        <c:auto val="1"/>
        <c:lblAlgn val="ctr"/>
        <c:lblOffset val="100"/>
      </c:catAx>
      <c:valAx>
        <c:axId val="164473088"/>
        <c:scaling>
          <c:orientation val="minMax"/>
        </c:scaling>
        <c:delete val="1"/>
        <c:axPos val="l"/>
        <c:numFmt formatCode="General" sourceLinked="1"/>
        <c:tickLblPos val="none"/>
        <c:crossAx val="164471552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Metine_suvestine!$A$101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Metine_suvestine!$B$101:$O$101</c:f>
              <c:numCache>
                <c:formatCode>General</c:formatCode>
                <c:ptCount val="14"/>
              </c:numCache>
            </c:numRef>
          </c:val>
        </c:ser>
        <c:shape val="box"/>
        <c:axId val="164557184"/>
        <c:axId val="164558720"/>
        <c:axId val="0"/>
      </c:bar3DChart>
      <c:catAx>
        <c:axId val="16455718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558720"/>
        <c:crosses val="autoZero"/>
        <c:auto val="1"/>
        <c:lblAlgn val="ctr"/>
        <c:lblOffset val="100"/>
      </c:catAx>
      <c:valAx>
        <c:axId val="16455872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55718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Balandis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Metine_suvestine!$A$100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Lbls>
            <c:dLbl>
              <c:idx val="6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dLbl>
              <c:idx val="9"/>
              <c:spPr/>
              <c:txPr>
                <a:bodyPr/>
                <a:lstStyle/>
                <a:p>
                  <a:pPr>
                    <a:defRPr lang="lt-LT" sz="1000" b="0" strike="noStrike" spc="-1">
                      <a:solidFill>
                        <a:srgbClr val="000000"/>
                      </a:solidFill>
                      <a:latin typeface="Arial"/>
                      <a:ea typeface="DejaVu Sans"/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Metine_suvestine!$B$100:$O$100</c:f>
              <c:numCache>
                <c:formatCode>#,##0.00</c:formatCode>
                <c:ptCount val="14"/>
              </c:numCache>
            </c:numRef>
          </c:val>
        </c:ser>
        <c:shape val="box"/>
        <c:axId val="164733312"/>
        <c:axId val="164734848"/>
        <c:axId val="0"/>
      </c:bar3DChart>
      <c:catAx>
        <c:axId val="164733312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734848"/>
        <c:crosses val="autoZero"/>
        <c:auto val="1"/>
        <c:lblAlgn val="ctr"/>
        <c:lblOffset val="100"/>
      </c:catAx>
      <c:valAx>
        <c:axId val="164734848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73331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Metine_suvestine!$A$133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val>
            <c:numRef>
              <c:f>Metine_suvestine!$B$133:$O$133</c:f>
              <c:numCache>
                <c:formatCode>General</c:formatCode>
                <c:ptCount val="14"/>
              </c:numCache>
            </c:numRef>
          </c:val>
        </c:ser>
        <c:shape val="box"/>
        <c:axId val="164772864"/>
        <c:axId val="164778752"/>
        <c:axId val="0"/>
      </c:bar3DChart>
      <c:catAx>
        <c:axId val="16477286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778752"/>
        <c:crosses val="autoZero"/>
        <c:auto val="1"/>
        <c:lblAlgn val="ctr"/>
        <c:lblOffset val="100"/>
      </c:catAx>
      <c:valAx>
        <c:axId val="164778752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77286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Gegužė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Metine_suvestine!$A$132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Metine_suvestine!$B$132:$O$132</c:f>
              <c:numCache>
                <c:formatCode>#,##0.00</c:formatCode>
                <c:ptCount val="14"/>
              </c:numCache>
            </c:numRef>
          </c:val>
        </c:ser>
        <c:shape val="box"/>
        <c:axId val="164813056"/>
        <c:axId val="164888576"/>
        <c:axId val="0"/>
      </c:bar3DChart>
      <c:catAx>
        <c:axId val="16481305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888576"/>
        <c:crosses val="autoZero"/>
        <c:auto val="1"/>
        <c:lblAlgn val="ctr"/>
        <c:lblOffset val="100"/>
      </c:catAx>
      <c:valAx>
        <c:axId val="164888576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81305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(reg. pranešimų sk.)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Metine_suvestine!$A$166</c:f>
              <c:strCache>
                <c:ptCount val="1"/>
              </c:strCache>
            </c:strRef>
          </c:tx>
          <c:spPr>
            <a:solidFill>
              <a:srgbClr val="808080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Metine_suvestine!$B$166:$O$166</c:f>
              <c:numCache>
                <c:formatCode>General</c:formatCode>
                <c:ptCount val="14"/>
              </c:numCache>
            </c:numRef>
          </c:val>
        </c:ser>
        <c:shape val="box"/>
        <c:axId val="164939264"/>
        <c:axId val="164940800"/>
        <c:axId val="0"/>
      </c:bar3DChart>
      <c:catAx>
        <c:axId val="164939264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940800"/>
        <c:crosses val="autoZero"/>
        <c:auto val="1"/>
        <c:lblAlgn val="ctr"/>
        <c:lblOffset val="100"/>
      </c:catAx>
      <c:valAx>
        <c:axId val="164940800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93926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/>
          <a:lstStyle/>
          <a:p>
            <a:pPr>
              <a:defRPr lang="lt-LT" sz="1400" b="1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lang="lt-LT" sz="1400" b="1" strike="noStrike" spc="-1">
                <a:solidFill>
                  <a:srgbClr val="595959"/>
                </a:solidFill>
                <a:latin typeface="Calibri"/>
                <a:ea typeface="DejaVu Sans"/>
              </a:rPr>
              <a:t>Birželis (žalos €)</a:t>
            </a:r>
          </a:p>
        </c:rich>
      </c:tx>
      <c:spPr>
        <a:noFill/>
        <a:ln>
          <a:noFill/>
        </a:ln>
      </c:spPr>
    </c:title>
    <c:view3D>
      <c:rAngAx val="1"/>
    </c:view3D>
    <c:floor>
      <c:spPr>
        <a:noFill/>
        <a:ln w="6480">
          <a:noFill/>
        </a:ln>
      </c:spPr>
    </c:floor>
    <c:sideWall>
      <c:spPr>
        <a:noFill/>
        <a:ln w="6480">
          <a:noFill/>
        </a:ln>
      </c:spPr>
    </c:sideWall>
    <c:backWall>
      <c:spPr>
        <a:noFill/>
        <a:ln w="6480">
          <a:noFill/>
        </a:ln>
      </c:spPr>
    </c:backWall>
    <c:plotArea>
      <c:layout/>
      <c:bar3DChart>
        <c:barDir val="col"/>
        <c:grouping val="clustered"/>
        <c:ser>
          <c:idx val="0"/>
          <c:order val="0"/>
          <c:tx>
            <c:strRef>
              <c:f>Metine_suvestine!$A$165</c:f>
              <c:strCache>
                <c:ptCount val="1"/>
              </c:strCache>
            </c:strRef>
          </c:tx>
          <c:spPr>
            <a:solidFill>
              <a:srgbClr val="A9D18E"/>
            </a:solidFill>
            <a:ln>
              <a:noFill/>
            </a:ln>
          </c:spPr>
          <c:dPt>
            <c:idx val="4"/>
            <c:spPr>
              <a:solidFill>
                <a:srgbClr val="FF0000"/>
              </a:solidFill>
              <a:ln>
                <a:noFill/>
              </a:ln>
            </c:spPr>
          </c:dPt>
          <c:dPt>
            <c:idx val="5"/>
            <c:spPr>
              <a:solidFill>
                <a:srgbClr val="FF0000"/>
              </a:solidFill>
              <a:ln>
                <a:noFill/>
              </a:ln>
            </c:spPr>
          </c:dPt>
          <c:dPt>
            <c:idx val="11"/>
            <c:spPr>
              <a:solidFill>
                <a:srgbClr val="FF0000"/>
              </a:solidFill>
              <a:ln>
                <a:noFill/>
              </a:ln>
            </c:spPr>
          </c:dPt>
          <c:dPt>
            <c:idx val="12"/>
            <c:spPr>
              <a:solidFill>
                <a:srgbClr val="FF0000"/>
              </a:solidFill>
              <a:ln>
                <a:noFill/>
              </a:ln>
            </c:spPr>
          </c:dPt>
          <c:dLbls>
            <c:txPr>
              <a:bodyPr/>
              <a:lstStyle/>
              <a:p>
                <a:pPr>
                  <a:defRPr lang="lt-LT" sz="1000" b="0" strike="noStrike" spc="-1">
                    <a:solidFill>
                      <a:srgbClr val="404040"/>
                    </a:solidFill>
                    <a:latin typeface="Arial"/>
                    <a:ea typeface="DejaVu Sans"/>
                  </a:defRPr>
                </a:pPr>
                <a:endParaRPr lang="en-US"/>
              </a:p>
            </c:txPr>
            <c:showVal val="1"/>
            <c:separator>; </c:separator>
          </c:dLbls>
          <c:val>
            <c:numRef>
              <c:f>Metine_suvestine!$B$165:$O$165</c:f>
              <c:numCache>
                <c:formatCode>#,##0.00</c:formatCode>
                <c:ptCount val="14"/>
              </c:numCache>
            </c:numRef>
          </c:val>
        </c:ser>
        <c:shape val="box"/>
        <c:axId val="164979456"/>
        <c:axId val="164980992"/>
        <c:axId val="0"/>
      </c:bar3DChart>
      <c:catAx>
        <c:axId val="164979456"/>
        <c:scaling>
          <c:orientation val="minMax"/>
        </c:scaling>
        <c:axPos val="b"/>
        <c:numFmt formatCode="General" sourceLinked="1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980992"/>
        <c:crosses val="autoZero"/>
        <c:auto val="1"/>
        <c:lblAlgn val="ctr"/>
        <c:lblOffset val="100"/>
      </c:catAx>
      <c:valAx>
        <c:axId val="164980992"/>
        <c:scaling>
          <c:orientation val="minMax"/>
        </c:scaling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595959"/>
                </a:solidFill>
                <a:latin typeface="Calibri"/>
                <a:ea typeface="DejaVu Sans"/>
              </a:defRPr>
            </a:pPr>
            <a:endParaRPr lang="en-US"/>
          </a:p>
        </c:txPr>
        <c:crossAx val="164979456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Metine_suvestine!$I$17</c:f>
              <c:strCache>
                <c:ptCount val="1"/>
                <c:pt idx="0">
                  <c:v>Metine_suvestine!$D$12:$D$12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5008896"/>
        <c:axId val="165010432"/>
      </c:barChart>
      <c:catAx>
        <c:axId val="165008896"/>
        <c:scaling>
          <c:orientation val="minMax"/>
        </c:scaling>
        <c:delete val="1"/>
        <c:axPos val="b"/>
        <c:tickLblPos val="none"/>
        <c:crossAx val="165010432"/>
        <c:crosses val="autoZero"/>
        <c:auto val="1"/>
        <c:lblAlgn val="ctr"/>
        <c:lblOffset val="100"/>
      </c:catAx>
      <c:valAx>
        <c:axId val="165010432"/>
        <c:scaling>
          <c:orientation val="minMax"/>
        </c:scaling>
        <c:delete val="1"/>
        <c:axPos val="l"/>
        <c:numFmt formatCode="General" sourceLinked="1"/>
        <c:tickLblPos val="none"/>
        <c:crossAx val="165008896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1851303991625479"/>
          <c:y val="0.17241379310345298"/>
        </c:manualLayout>
      </c:layout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968253968253968E-2"/>
          <c:y val="0.1078431372549019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Metine_suvestine!$I$52</c:f>
              <c:strCache>
                <c:ptCount val="1"/>
                <c:pt idx="0">
                  <c:v>Metine_suvestine!$D$13:$D$13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5099776"/>
        <c:axId val="165113856"/>
      </c:barChart>
      <c:catAx>
        <c:axId val="165099776"/>
        <c:scaling>
          <c:orientation val="minMax"/>
        </c:scaling>
        <c:delete val="1"/>
        <c:axPos val="b"/>
        <c:tickLblPos val="none"/>
        <c:crossAx val="165113856"/>
        <c:crosses val="autoZero"/>
        <c:auto val="1"/>
        <c:lblAlgn val="ctr"/>
        <c:lblOffset val="100"/>
      </c:catAx>
      <c:valAx>
        <c:axId val="165113856"/>
        <c:scaling>
          <c:orientation val="minMax"/>
        </c:scaling>
        <c:delete val="1"/>
        <c:axPos val="l"/>
        <c:numFmt formatCode="General" sourceLinked="1"/>
        <c:tickLblPos val="none"/>
        <c:crossAx val="165099776"/>
        <c:crosses val="autoZero"/>
        <c:crossBetween val="between"/>
      </c:valAx>
      <c:spPr>
        <a:noFill/>
        <a:ln w="25400">
          <a:noFill/>
        </a:ln>
      </c:spPr>
    </c:plotArea>
    <c:plotVisOnly val="1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lt-LT"/>
            </a:pPr>
            <a:r>
              <a:t>2025 m. sausio 27 d. - 2025 m. vasario 28 d. registruota pranešimų</a:t>
            </a:r>
          </a:p>
          <a:p>
            <a:pPr>
              <a:defRPr lang="lt-LT"/>
            </a:pPr>
            <a:r>
              <a:t>(Iš viso 1 040)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1.3269123931623933E-2"/>
          <c:y val="0.29856388888889862"/>
          <c:w val="0.96902222222222223"/>
          <c:h val="0.44654603174603175"/>
        </c:manualLayout>
      </c:layout>
      <c:barChart>
        <c:barDir val="col"/>
        <c:grouping val="clustered"/>
        <c:ser>
          <c:idx val="0"/>
          <c:order val="0"/>
          <c:tx>
            <c:strRef>
              <c:f>Metine_suvestine!$A$18</c:f>
              <c:strCache>
                <c:ptCount val="1"/>
                <c:pt idx="0">
                  <c:v>#REF!</c:v>
                </c:pt>
              </c:strCache>
            </c:strRef>
          </c:tx>
          <c:spPr>
            <a:ln w="0">
              <a:solidFill>
                <a:srgbClr val="000000"/>
              </a:solidFill>
            </a:ln>
          </c:spPr>
          <c:dLbls>
            <c:txPr>
              <a:bodyPr/>
              <a:lstStyle/>
              <a:p>
                <a:pPr>
                  <a:defRPr lang="lt-LT"/>
                </a:pPr>
                <a:endParaRPr lang="en-US"/>
              </a:p>
            </c:txPr>
            <c:showVal val="1"/>
          </c:dLbls>
          <c:cat>
            <c:strRef>
              <c:f>Metine_suvestine!$D$11:$O$11</c:f>
              <c:strCache>
                <c:ptCount val="12"/>
                <c:pt idx="0">
                  <c:v>Sausis</c:v>
                </c:pt>
                <c:pt idx="1">
                  <c:v>Vasaris</c:v>
                </c:pt>
                <c:pt idx="2">
                  <c:v>Kovas</c:v>
                </c:pt>
                <c:pt idx="3">
                  <c:v>Balandis</c:v>
                </c:pt>
                <c:pt idx="4">
                  <c:v>Gegužė</c:v>
                </c:pt>
                <c:pt idx="5">
                  <c:v>Birželis</c:v>
                </c:pt>
                <c:pt idx="6">
                  <c:v>Liepa</c:v>
                </c:pt>
                <c:pt idx="7">
                  <c:v>Rugpjūtis</c:v>
                </c:pt>
                <c:pt idx="8">
                  <c:v>Rugsėjis</c:v>
                </c:pt>
                <c:pt idx="9">
                  <c:v>Spalis</c:v>
                </c:pt>
                <c:pt idx="10">
                  <c:v>Lapkritis</c:v>
                </c:pt>
                <c:pt idx="11">
                  <c:v>Gruodis</c:v>
                </c:pt>
              </c:strCache>
            </c:strRef>
          </c:cat>
          <c:val>
            <c:numRef>
              <c:f>Metine_suvestine!$D$12:$E$12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dLbls>
          <c:showVal val="1"/>
        </c:dLbls>
        <c:axId val="165133696"/>
        <c:axId val="165160448"/>
      </c:barChart>
      <c:catAx>
        <c:axId val="165133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lt-LT"/>
                </a:pPr>
                <a:r>
                  <a:rPr lang="lt-LT"/>
                  <a:t>* skaičiuojama nuo sausio 27 d.</a:t>
                </a:r>
                <a:endParaRPr lang="en-US"/>
              </a:p>
            </c:rich>
          </c:tx>
        </c:title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000000"/>
                </a:solidFill>
                <a:latin typeface="Times New Roman"/>
                <a:ea typeface="Calibri"/>
              </a:defRPr>
            </a:pPr>
            <a:endParaRPr lang="en-US"/>
          </a:p>
        </c:txPr>
        <c:crossAx val="165160448"/>
        <c:crosses val="autoZero"/>
        <c:auto val="1"/>
        <c:lblAlgn val="ctr"/>
        <c:lblOffset val="100"/>
      </c:catAx>
      <c:valAx>
        <c:axId val="165160448"/>
        <c:scaling>
          <c:orientation val="minMax"/>
        </c:scaling>
        <c:delete val="1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1"/>
        <c:majorTickMark val="none"/>
        <c:tickLblPos val="none"/>
        <c:crossAx val="165133696"/>
        <c:crossesAt val="1"/>
        <c:crossBetween val="between"/>
      </c:valAx>
      <c:spPr>
        <a:noFill/>
        <a:ln w="25560">
          <a:noFill/>
        </a:ln>
      </c:spPr>
    </c:plotArea>
    <c:plotVisOnly val="1"/>
    <c:dispBlanksAs val="gap"/>
  </c:chart>
  <c:spPr>
    <a:solidFill>
      <a:srgbClr val="FFFFFF"/>
    </a:solidFill>
    <a:ln w="12600">
      <a:solidFill>
        <a:srgbClr val="000000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lt-LT"/>
            </a:pPr>
            <a:r>
              <a:t>2025 m. sausio 27 d. - 2025 m. vasario 28 d. patirta žalų</a:t>
            </a:r>
          </a:p>
          <a:p>
            <a:pPr>
              <a:defRPr lang="lt-LT"/>
            </a:pPr>
            <a:r>
              <a:t>(Iš viso 1 521 382 €)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9.2367521367521365E-3"/>
          <c:y val="0.32208240740742416"/>
          <c:w val="0.97444957264961185"/>
          <c:h val="0.45242546296297664"/>
        </c:manualLayout>
      </c:layout>
      <c:barChart>
        <c:barDir val="col"/>
        <c:grouping val="clustered"/>
        <c:ser>
          <c:idx val="0"/>
          <c:order val="0"/>
          <c:tx>
            <c:strRef>
              <c:f>Metine_suvestine!$A$53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dLbls>
            <c:dLbl>
              <c:idx val="0"/>
              <c:layout>
                <c:manualLayout>
                  <c:x val="3.0020507117704052E-3"/>
                  <c:y val="-2.5531454427225656E-2"/>
                </c:manualLayout>
              </c:layout>
              <c:numFmt formatCode="#,##0&quot; €&quot;" sourceLinked="0"/>
              <c:spPr/>
              <c:txPr>
                <a:bodyPr wrap="square"/>
                <a:lstStyle/>
                <a:p>
                  <a:pPr>
                    <a:defRPr lang="lt-LT" sz="1000" b="1" strike="noStrike" spc="-1">
                      <a:solidFill>
                        <a:srgbClr val="000000"/>
                      </a:solidFill>
                      <a:latin typeface="Times New Roman"/>
                    </a:defRPr>
                  </a:pPr>
                  <a:endParaRPr lang="en-US"/>
                </a:p>
              </c:txPr>
              <c:dLblPos val="outEnd"/>
              <c:showVal val="1"/>
              <c:separator>; </c:separator>
            </c:dLbl>
            <c:dLbl>
              <c:idx val="1"/>
              <c:layout>
                <c:manualLayout>
                  <c:x val="3.0723608296115601E-3"/>
                  <c:y val="-2.9690844499128202E-2"/>
                </c:manualLayout>
              </c:layout>
              <c:numFmt formatCode="#,##0&quot; €&quot;" sourceLinked="0"/>
              <c:spPr/>
              <c:txPr>
                <a:bodyPr wrap="square"/>
                <a:lstStyle/>
                <a:p>
                  <a:pPr>
                    <a:defRPr lang="lt-LT" sz="1000" b="1" strike="noStrike" spc="-1">
                      <a:solidFill>
                        <a:srgbClr val="000000"/>
                      </a:solidFill>
                      <a:latin typeface="Times New Roman"/>
                    </a:defRPr>
                  </a:pPr>
                  <a:endParaRPr lang="en-US"/>
                </a:p>
              </c:txPr>
              <c:dLblPos val="outEnd"/>
              <c:showVal val="1"/>
              <c:separator>; </c:separator>
            </c:dLbl>
            <c:dLbl>
              <c:idx val="2"/>
              <c:layout>
                <c:manualLayout>
                  <c:x val="3.8910910623644965E-3"/>
                  <c:y val="-8.4830984283224223E-3"/>
                </c:manualLayout>
              </c:layout>
              <c:numFmt formatCode="#,##0&quot; €&quot;" sourceLinked="0"/>
              <c:spPr/>
              <c:txPr>
                <a:bodyPr wrap="square"/>
                <a:lstStyle/>
                <a:p>
                  <a:pPr>
                    <a:defRPr lang="lt-LT" sz="1000" b="1" strike="noStrike" spc="-1">
                      <a:solidFill>
                        <a:srgbClr val="000000"/>
                      </a:solidFill>
                      <a:latin typeface="Times New Roman"/>
                    </a:defRPr>
                  </a:pPr>
                  <a:endParaRPr lang="en-US"/>
                </a:p>
              </c:txPr>
              <c:dLblPos val="outEnd"/>
              <c:showVal val="1"/>
              <c:separator>; </c:separator>
            </c:dLbl>
            <c:numFmt formatCode="#,##0&quot; €&quot;" sourceLinked="0"/>
            <c:txPr>
              <a:bodyPr wrap="square"/>
              <a:lstStyle/>
              <a:p>
                <a:pPr>
                  <a:defRPr lang="lt-LT" sz="1000" b="1" strike="noStrike" spc="-1">
                    <a:solidFill>
                      <a:srgbClr val="000000"/>
                    </a:solidFill>
                    <a:latin typeface="Times New Roman"/>
                    <a:ea typeface="Calibri"/>
                  </a:defRPr>
                </a:pPr>
                <a:endParaRPr lang="en-US"/>
              </a:p>
            </c:txPr>
            <c:dLblPos val="outEnd"/>
            <c:showVal val="1"/>
            <c:separator>;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Metine_suvestine!$D$11:$O$11</c:f>
              <c:strCache>
                <c:ptCount val="12"/>
                <c:pt idx="0">
                  <c:v>Sausis</c:v>
                </c:pt>
                <c:pt idx="1">
                  <c:v>Vasaris</c:v>
                </c:pt>
                <c:pt idx="2">
                  <c:v>Kovas</c:v>
                </c:pt>
                <c:pt idx="3">
                  <c:v>Balandis</c:v>
                </c:pt>
                <c:pt idx="4">
                  <c:v>Gegužė</c:v>
                </c:pt>
                <c:pt idx="5">
                  <c:v>Birželis</c:v>
                </c:pt>
                <c:pt idx="6">
                  <c:v>Liepa</c:v>
                </c:pt>
                <c:pt idx="7">
                  <c:v>Rugpjūtis</c:v>
                </c:pt>
                <c:pt idx="8">
                  <c:v>Rugsėjis</c:v>
                </c:pt>
                <c:pt idx="9">
                  <c:v>Spalis</c:v>
                </c:pt>
                <c:pt idx="10">
                  <c:v>Lapkritis</c:v>
                </c:pt>
                <c:pt idx="11">
                  <c:v>Gruodis</c:v>
                </c:pt>
              </c:strCache>
            </c:strRef>
          </c:cat>
          <c:val>
            <c:numRef>
              <c:f>Metine_suvestine!$D$13:$E$13</c:f>
              <c:numCache>
                <c:formatCode>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165202176"/>
        <c:axId val="165220352"/>
      </c:barChart>
      <c:catAx>
        <c:axId val="165202176"/>
        <c:scaling>
          <c:orientation val="minMax"/>
        </c:scaling>
        <c:axPos val="b"/>
        <c:numFmt formatCode="General" sourceLinked="0"/>
        <c:maj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lang="lt-LT" sz="900" b="0" strike="noStrike" spc="-1">
                <a:solidFill>
                  <a:srgbClr val="000000"/>
                </a:solidFill>
                <a:latin typeface="Times New Roman"/>
                <a:ea typeface="Calibri"/>
              </a:defRPr>
            </a:pPr>
            <a:endParaRPr lang="en-US"/>
          </a:p>
        </c:txPr>
        <c:crossAx val="165220352"/>
        <c:crosses val="autoZero"/>
        <c:auto val="1"/>
        <c:lblAlgn val="ctr"/>
        <c:lblOffset val="100"/>
      </c:catAx>
      <c:valAx>
        <c:axId val="165220352"/>
        <c:scaling>
          <c:orientation val="minMax"/>
        </c:scaling>
        <c:delete val="1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0" sourceLinked="1"/>
        <c:majorTickMark val="none"/>
        <c:tickLblPos val="none"/>
        <c:crossAx val="165202176"/>
        <c:crosses val="autoZero"/>
        <c:crossBetween val="between"/>
      </c:valAx>
      <c:spPr>
        <a:noFill/>
        <a:ln w="25560">
          <a:noFill/>
        </a:ln>
      </c:spPr>
    </c:plotArea>
    <c:plotVisOnly val="1"/>
    <c:dispBlanksAs val="gap"/>
  </c:chart>
  <c:spPr>
    <a:solidFill>
      <a:srgbClr val="FFFFFF"/>
    </a:solidFill>
    <a:ln w="12600">
      <a:solidFill>
        <a:srgbClr val="000000"/>
      </a:solidFill>
      <a:round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overlay val="1"/>
      <c:txPr>
        <a:bodyPr/>
        <a:lstStyle/>
        <a:p>
          <a:pPr>
            <a:defRPr lang="lt-LT" sz="24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Kita!$D$7</c:f>
              <c:strCache>
                <c:ptCount val="1"/>
                <c:pt idx="0">
                  <c:v>2025 m. sausio 27 d. – 2026 m. sausio 31 d.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5306368"/>
        <c:axId val="165307904"/>
      </c:barChart>
      <c:catAx>
        <c:axId val="165306368"/>
        <c:scaling>
          <c:orientation val="minMax"/>
        </c:scaling>
        <c:delete val="1"/>
        <c:axPos val="b"/>
        <c:tickLblPos val="none"/>
        <c:crossAx val="165307904"/>
        <c:crosses val="autoZero"/>
        <c:auto val="1"/>
        <c:lblAlgn val="ctr"/>
        <c:lblOffset val="100"/>
      </c:catAx>
      <c:valAx>
        <c:axId val="165307904"/>
        <c:scaling>
          <c:orientation val="minMax"/>
        </c:scaling>
        <c:delete val="1"/>
        <c:axPos val="l"/>
        <c:numFmt formatCode="General" sourceLinked="1"/>
        <c:tickLblPos val="none"/>
        <c:crossAx val="165306368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6.8352059925094934E-3"/>
          <c:y val="0.15151515151515796"/>
        </c:manualLayout>
      </c:layout>
      <c:overlay val="1"/>
      <c:txPr>
        <a:bodyPr/>
        <a:lstStyle/>
        <a:p>
          <a:pPr>
            <a:defRPr lang="lt-LT" sz="18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Kita!$G$19</c:f>
              <c:strCache>
                <c:ptCount val="1"/>
                <c:pt idx="0">
                  <c:v>#REF!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5525376"/>
        <c:axId val="165526912"/>
      </c:barChart>
      <c:catAx>
        <c:axId val="165525376"/>
        <c:scaling>
          <c:orientation val="minMax"/>
        </c:scaling>
        <c:delete val="1"/>
        <c:axPos val="b"/>
        <c:tickLblPos val="none"/>
        <c:crossAx val="165526912"/>
        <c:crosses val="autoZero"/>
        <c:auto val="1"/>
        <c:lblAlgn val="ctr"/>
        <c:lblOffset val="100"/>
      </c:catAx>
      <c:valAx>
        <c:axId val="165526912"/>
        <c:scaling>
          <c:orientation val="minMax"/>
        </c:scaling>
        <c:delete val="1"/>
        <c:axPos val="l"/>
        <c:numFmt formatCode="General" sourceLinked="1"/>
        <c:tickLblPos val="none"/>
        <c:crossAx val="165525376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6.8352059925094934E-3"/>
          <c:y val="0.15151515151515799"/>
        </c:manualLayout>
      </c:layout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Kita!$G$20</c:f>
              <c:strCache>
                <c:ptCount val="1"/>
                <c:pt idx="0">
                  <c:v>#REF!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5558912"/>
        <c:axId val="165560704"/>
      </c:barChart>
      <c:catAx>
        <c:axId val="165558912"/>
        <c:scaling>
          <c:orientation val="minMax"/>
        </c:scaling>
        <c:delete val="1"/>
        <c:axPos val="b"/>
        <c:tickLblPos val="none"/>
        <c:crossAx val="165560704"/>
        <c:crosses val="autoZero"/>
        <c:auto val="1"/>
        <c:lblAlgn val="ctr"/>
        <c:lblOffset val="100"/>
      </c:catAx>
      <c:valAx>
        <c:axId val="165560704"/>
        <c:scaling>
          <c:orientation val="minMax"/>
        </c:scaling>
        <c:delete val="1"/>
        <c:axPos val="l"/>
        <c:numFmt formatCode="General" sourceLinked="1"/>
        <c:tickLblPos val="none"/>
        <c:crossAx val="165558912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6.8352059925094934E-3"/>
          <c:y val="0.15151515151515801"/>
        </c:manualLayout>
      </c:layout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6.9674733066743724E-2"/>
          <c:y val="0.7642067347964482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Kita!$G$21</c:f>
              <c:strCache>
                <c:ptCount val="1"/>
                <c:pt idx="0">
                  <c:v>#REF!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5567872"/>
        <c:axId val="165581952"/>
      </c:barChart>
      <c:catAx>
        <c:axId val="165567872"/>
        <c:scaling>
          <c:orientation val="minMax"/>
        </c:scaling>
        <c:delete val="1"/>
        <c:axPos val="b"/>
        <c:tickLblPos val="none"/>
        <c:crossAx val="165581952"/>
        <c:crosses val="autoZero"/>
        <c:auto val="1"/>
        <c:lblAlgn val="ctr"/>
        <c:lblOffset val="100"/>
      </c:catAx>
      <c:valAx>
        <c:axId val="165581952"/>
        <c:scaling>
          <c:orientation val="minMax"/>
        </c:scaling>
        <c:delete val="1"/>
        <c:axPos val="l"/>
        <c:numFmt formatCode="General" sourceLinked="1"/>
        <c:tickLblPos val="none"/>
        <c:crossAx val="165567872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6.8352059925094934E-3"/>
          <c:y val="0.15151515151515804"/>
        </c:manualLayout>
      </c:layout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6.9674733066743724E-2"/>
          <c:y val="0.7642067347964482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Kita!$G$22</c:f>
              <c:strCache>
                <c:ptCount val="1"/>
                <c:pt idx="0">
                  <c:v>#REF!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5605760"/>
        <c:axId val="165607296"/>
      </c:barChart>
      <c:catAx>
        <c:axId val="165605760"/>
        <c:scaling>
          <c:orientation val="minMax"/>
        </c:scaling>
        <c:delete val="1"/>
        <c:axPos val="b"/>
        <c:tickLblPos val="none"/>
        <c:crossAx val="165607296"/>
        <c:crosses val="autoZero"/>
        <c:auto val="1"/>
        <c:lblAlgn val="ctr"/>
        <c:lblOffset val="100"/>
      </c:catAx>
      <c:valAx>
        <c:axId val="165607296"/>
        <c:scaling>
          <c:orientation val="minMax"/>
        </c:scaling>
        <c:delete val="1"/>
        <c:axPos val="l"/>
        <c:numFmt formatCode="General" sourceLinked="1"/>
        <c:tickLblPos val="none"/>
        <c:crossAx val="165605760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6.8352059925094934E-3"/>
          <c:y val="0.15151515151515807"/>
        </c:manualLayout>
      </c:layout>
      <c:overlay val="1"/>
      <c:txPr>
        <a:bodyPr/>
        <a:lstStyle/>
        <a:p>
          <a:pPr algn="ctr" rtl="0">
            <a:defRPr lang="lt-LT" sz="1800" b="1" i="0" u="none" strike="noStrike" kern="1200" baseline="0">
              <a:solidFill>
                <a:sysClr val="windowText" lastClr="000000"/>
              </a:solidFill>
              <a:latin typeface="Times New Roman" pitchFamily="18" charset="0"/>
              <a:ea typeface="+mn-ea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6.9674733066743724E-2"/>
          <c:y val="0.76420673479644829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Kita!$G$23</c:f>
              <c:strCache>
                <c:ptCount val="1"/>
                <c:pt idx="0">
                  <c:v>#REF!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5647488"/>
        <c:axId val="165649024"/>
      </c:barChart>
      <c:catAx>
        <c:axId val="165647488"/>
        <c:scaling>
          <c:orientation val="minMax"/>
        </c:scaling>
        <c:delete val="1"/>
        <c:axPos val="b"/>
        <c:tickLblPos val="none"/>
        <c:crossAx val="165649024"/>
        <c:crosses val="autoZero"/>
        <c:auto val="1"/>
        <c:lblAlgn val="ctr"/>
        <c:lblOffset val="100"/>
      </c:catAx>
      <c:valAx>
        <c:axId val="165649024"/>
        <c:scaling>
          <c:orientation val="minMax"/>
        </c:scaling>
        <c:delete val="1"/>
        <c:axPos val="l"/>
        <c:numFmt formatCode="General" sourceLinked="1"/>
        <c:tickLblPos val="none"/>
        <c:crossAx val="165647488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overlay val="1"/>
      <c:txPr>
        <a:bodyPr/>
        <a:lstStyle/>
        <a:p>
          <a:pPr>
            <a:defRPr lang="lt-LT"/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Kita!$D$7</c:f>
              <c:strCache>
                <c:ptCount val="1"/>
                <c:pt idx="0">
                  <c:v>2025 m. sausio 27 d. – 2026 m. sausio 31 d.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5668736"/>
        <c:axId val="165670272"/>
      </c:barChart>
      <c:catAx>
        <c:axId val="165668736"/>
        <c:scaling>
          <c:orientation val="minMax"/>
        </c:scaling>
        <c:delete val="1"/>
        <c:axPos val="b"/>
        <c:tickLblPos val="none"/>
        <c:crossAx val="165670272"/>
        <c:crosses val="autoZero"/>
        <c:auto val="1"/>
        <c:lblAlgn val="ctr"/>
        <c:lblOffset val="100"/>
      </c:catAx>
      <c:valAx>
        <c:axId val="165670272"/>
        <c:scaling>
          <c:orientation val="minMax"/>
        </c:scaling>
        <c:delete val="1"/>
        <c:axPos val="l"/>
        <c:numFmt formatCode="General" sourceLinked="1"/>
        <c:tickLblPos val="none"/>
        <c:crossAx val="165668736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689239016260388"/>
          <c:y val="7.2633219954650524E-2"/>
        </c:manualLayout>
      </c:layout>
      <c:overlay val="1"/>
      <c:txPr>
        <a:bodyPr/>
        <a:lstStyle/>
        <a:p>
          <a:pPr algn="l">
            <a:defRPr lang="lt-LT"/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9234980904634933E-2"/>
          <c:y val="0.82102485768826738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Kita!$F$24</c:f>
              <c:strCache>
                <c:ptCount val="1"/>
                <c:pt idx="0">
                  <c:v>#REF!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5747328"/>
        <c:axId val="165769600"/>
      </c:barChart>
      <c:catAx>
        <c:axId val="165747328"/>
        <c:scaling>
          <c:orientation val="minMax"/>
        </c:scaling>
        <c:delete val="1"/>
        <c:axPos val="b"/>
        <c:tickLblPos val="none"/>
        <c:crossAx val="165769600"/>
        <c:crosses val="autoZero"/>
        <c:auto val="1"/>
        <c:lblAlgn val="ctr"/>
        <c:lblOffset val="100"/>
      </c:catAx>
      <c:valAx>
        <c:axId val="165769600"/>
        <c:scaling>
          <c:orientation val="minMax"/>
        </c:scaling>
        <c:delete val="1"/>
        <c:axPos val="l"/>
        <c:numFmt formatCode="General" sourceLinked="1"/>
        <c:tickLblPos val="none"/>
        <c:crossAx val="1657473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ln w="0">
      <a:noFill/>
    </a:ln>
  </c:spPr>
  <c:txPr>
    <a:bodyPr/>
    <a:lstStyle/>
    <a:p>
      <a:pPr>
        <a:defRPr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overlay val="1"/>
      <c:txPr>
        <a:bodyPr/>
        <a:lstStyle/>
        <a:p>
          <a:pPr>
            <a:defRPr lang="lt-LT" sz="2000">
              <a:latin typeface="Times New Roman" pitchFamily="18" charset="0"/>
              <a:cs typeface="Times New Roman" pitchFamily="18" charset="0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1129104145000732E-2"/>
          <c:y val="0.79966820185212717"/>
          <c:w val="0.92063492063492069"/>
          <c:h val="0.17647058823529421"/>
        </c:manualLayout>
      </c:layout>
      <c:barChart>
        <c:barDir val="col"/>
        <c:grouping val="clustered"/>
        <c:ser>
          <c:idx val="0"/>
          <c:order val="0"/>
          <c:tx>
            <c:strRef>
              <c:f>Kita!$D$8</c:f>
              <c:strCache>
                <c:ptCount val="1"/>
                <c:pt idx="0">
                  <c:v>2025 m. sausio 27 d. – 2026 m. sausio 31 d.</c:v>
                </c:pt>
              </c:strCache>
            </c:strRef>
          </c:tx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165793152"/>
        <c:axId val="165807232"/>
      </c:barChart>
      <c:catAx>
        <c:axId val="165793152"/>
        <c:scaling>
          <c:orientation val="minMax"/>
        </c:scaling>
        <c:delete val="1"/>
        <c:axPos val="b"/>
        <c:tickLblPos val="none"/>
        <c:crossAx val="165807232"/>
        <c:crosses val="autoZero"/>
        <c:auto val="1"/>
        <c:lblAlgn val="ctr"/>
        <c:lblOffset val="100"/>
      </c:catAx>
      <c:valAx>
        <c:axId val="165807232"/>
        <c:scaling>
          <c:orientation val="minMax"/>
        </c:scaling>
        <c:delete val="1"/>
        <c:axPos val="l"/>
        <c:numFmt formatCode="General" sourceLinked="1"/>
        <c:tickLblPos val="none"/>
        <c:crossAx val="165793152"/>
        <c:crosses val="autoZero"/>
        <c:crossBetween val="between"/>
      </c:valAx>
      <c:spPr>
        <a:noFill/>
        <a:ln w="25400">
          <a:noFill/>
        </a:ln>
      </c:spPr>
    </c:plotArea>
    <c:plotVisOnly val="1"/>
  </c:chart>
  <c:spPr>
    <a:ln w="0"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828000</xdr:colOff>
      <xdr:row>1</xdr:row>
      <xdr:rowOff>140474</xdr:rowOff>
    </xdr:from>
    <xdr:to>
      <xdr:col>8</xdr:col>
      <xdr:colOff>1081830</xdr:colOff>
      <xdr:row>5</xdr:row>
      <xdr:rowOff>22859</xdr:rowOff>
    </xdr:to>
    <xdr:sp macro="" textlink="">
      <xdr:nvSpPr>
        <xdr:cNvPr id="2" name="CustomShape 1"/>
        <xdr:cNvSpPr/>
      </xdr:nvSpPr>
      <xdr:spPr>
        <a:xfrm>
          <a:off x="6817320" y="323354"/>
          <a:ext cx="4002870" cy="613905"/>
        </a:xfrm>
        <a:prstGeom prst="wedgeRectCallout">
          <a:avLst>
            <a:gd name="adj1" fmla="val -68928"/>
            <a:gd name="adj2" fmla="val 37729"/>
          </a:avLst>
        </a:prstGeom>
        <a:gradFill rotWithShape="0">
          <a:gsLst>
            <a:gs pos="0">
              <a:srgbClr val="B5D4A7"/>
            </a:gs>
            <a:gs pos="100000">
              <a:srgbClr val="A9CD99"/>
            </a:gs>
          </a:gsLst>
          <a:lin ang="5400000"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noAutofit/>
        </a:bodyPr>
        <a:lstStyle/>
        <a:p>
          <a:pPr>
            <a:lnSpc>
              <a:spcPct val="100000"/>
            </a:lnSpc>
          </a:pPr>
          <a:r>
            <a:rPr lang="lt-LT" sz="2000" b="0" strike="noStrike" spc="-1">
              <a:solidFill>
                <a:srgbClr val="000000"/>
              </a:solidFill>
              <a:latin typeface="Times New Roman"/>
              <a:ea typeface="DejaVu Sans"/>
            </a:rPr>
            <a:t>Informacija teikiama ypatingai suvestinei</a:t>
          </a:r>
          <a:endParaRPr lang="lt-LT" sz="2000" b="0" strike="noStrike" spc="-1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9720</xdr:colOff>
      <xdr:row>5</xdr:row>
      <xdr:rowOff>10080</xdr:rowOff>
    </xdr:from>
    <xdr:to>
      <xdr:col>24</xdr:col>
      <xdr:colOff>87120</xdr:colOff>
      <xdr:row>14</xdr:row>
      <xdr:rowOff>36360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9720</xdr:colOff>
      <xdr:row>31</xdr:row>
      <xdr:rowOff>3240</xdr:rowOff>
    </xdr:from>
    <xdr:to>
      <xdr:col>24</xdr:col>
      <xdr:colOff>14400</xdr:colOff>
      <xdr:row>42</xdr:row>
      <xdr:rowOff>127080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9720</xdr:colOff>
      <xdr:row>44</xdr:row>
      <xdr:rowOff>2880</xdr:rowOff>
    </xdr:from>
    <xdr:to>
      <xdr:col>24</xdr:col>
      <xdr:colOff>14760</xdr:colOff>
      <xdr:row>53</xdr:row>
      <xdr:rowOff>141480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1080</xdr:colOff>
      <xdr:row>16</xdr:row>
      <xdr:rowOff>24120</xdr:rowOff>
    </xdr:from>
    <xdr:to>
      <xdr:col>24</xdr:col>
      <xdr:colOff>95400</xdr:colOff>
      <xdr:row>24</xdr:row>
      <xdr:rowOff>129960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360</xdr:colOff>
      <xdr:row>61</xdr:row>
      <xdr:rowOff>28440</xdr:rowOff>
    </xdr:from>
    <xdr:to>
      <xdr:col>24</xdr:col>
      <xdr:colOff>102960</xdr:colOff>
      <xdr:row>73</xdr:row>
      <xdr:rowOff>10800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</xdr:col>
      <xdr:colOff>19440</xdr:colOff>
      <xdr:row>75</xdr:row>
      <xdr:rowOff>19440</xdr:rowOff>
    </xdr:from>
    <xdr:to>
      <xdr:col>24</xdr:col>
      <xdr:colOff>112680</xdr:colOff>
      <xdr:row>84</xdr:row>
      <xdr:rowOff>173520</xdr:rowOff>
    </xdr:to>
    <xdr:graphicFrame macro="">
      <xdr:nvGraphicFramePr>
        <xdr:cNvPr id="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533520</xdr:colOff>
      <xdr:row>106</xdr:row>
      <xdr:rowOff>360</xdr:rowOff>
    </xdr:from>
    <xdr:to>
      <xdr:col>23</xdr:col>
      <xdr:colOff>460080</xdr:colOff>
      <xdr:row>115</xdr:row>
      <xdr:rowOff>182100</xdr:rowOff>
    </xdr:to>
    <xdr:graphicFrame macro="">
      <xdr:nvGraphicFramePr>
        <xdr:cNvPr id="8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524880</xdr:colOff>
      <xdr:row>93</xdr:row>
      <xdr:rowOff>5040</xdr:rowOff>
    </xdr:from>
    <xdr:to>
      <xdr:col>23</xdr:col>
      <xdr:colOff>490320</xdr:colOff>
      <xdr:row>104</xdr:row>
      <xdr:rowOff>7920</xdr:rowOff>
    </xdr:to>
    <xdr:graphicFrame macro="">
      <xdr:nvGraphicFramePr>
        <xdr:cNvPr id="9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533520</xdr:colOff>
      <xdr:row>138</xdr:row>
      <xdr:rowOff>12240</xdr:rowOff>
    </xdr:from>
    <xdr:to>
      <xdr:col>22</xdr:col>
      <xdr:colOff>290160</xdr:colOff>
      <xdr:row>148</xdr:row>
      <xdr:rowOff>11160</xdr:rowOff>
    </xdr:to>
    <xdr:graphicFrame macro="">
      <xdr:nvGraphicFramePr>
        <xdr:cNvPr id="10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524880</xdr:colOff>
      <xdr:row>125</xdr:row>
      <xdr:rowOff>17280</xdr:rowOff>
    </xdr:from>
    <xdr:to>
      <xdr:col>22</xdr:col>
      <xdr:colOff>310680</xdr:colOff>
      <xdr:row>136</xdr:row>
      <xdr:rowOff>20160</xdr:rowOff>
    </xdr:to>
    <xdr:graphicFrame macro="">
      <xdr:nvGraphicFramePr>
        <xdr:cNvPr id="11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533520</xdr:colOff>
      <xdr:row>171</xdr:row>
      <xdr:rowOff>12240</xdr:rowOff>
    </xdr:from>
    <xdr:to>
      <xdr:col>22</xdr:col>
      <xdr:colOff>290160</xdr:colOff>
      <xdr:row>181</xdr:row>
      <xdr:rowOff>11520</xdr:rowOff>
    </xdr:to>
    <xdr:graphicFrame macro="">
      <xdr:nvGraphicFramePr>
        <xdr:cNvPr id="12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524880</xdr:colOff>
      <xdr:row>158</xdr:row>
      <xdr:rowOff>16200</xdr:rowOff>
    </xdr:from>
    <xdr:to>
      <xdr:col>22</xdr:col>
      <xdr:colOff>310680</xdr:colOff>
      <xdr:row>169</xdr:row>
      <xdr:rowOff>19080</xdr:rowOff>
    </xdr:to>
    <xdr:graphicFrame macro="">
      <xdr:nvGraphicFramePr>
        <xdr:cNvPr id="13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533520</xdr:colOff>
      <xdr:row>115</xdr:row>
      <xdr:rowOff>360</xdr:rowOff>
    </xdr:from>
    <xdr:to>
      <xdr:col>24</xdr:col>
      <xdr:colOff>79080</xdr:colOff>
      <xdr:row>125</xdr:row>
      <xdr:rowOff>1991</xdr:rowOff>
    </xdr:to>
    <xdr:graphicFrame macro="">
      <xdr:nvGraphicFramePr>
        <xdr:cNvPr id="8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524880</xdr:colOff>
      <xdr:row>102</xdr:row>
      <xdr:rowOff>5040</xdr:rowOff>
    </xdr:from>
    <xdr:to>
      <xdr:col>24</xdr:col>
      <xdr:colOff>109320</xdr:colOff>
      <xdr:row>113</xdr:row>
      <xdr:rowOff>7920</xdr:rowOff>
    </xdr:to>
    <xdr:graphicFrame macro="">
      <xdr:nvGraphicFramePr>
        <xdr:cNvPr id="9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533520</xdr:colOff>
      <xdr:row>147</xdr:row>
      <xdr:rowOff>12240</xdr:rowOff>
    </xdr:from>
    <xdr:to>
      <xdr:col>22</xdr:col>
      <xdr:colOff>503520</xdr:colOff>
      <xdr:row>157</xdr:row>
      <xdr:rowOff>11160</xdr:rowOff>
    </xdr:to>
    <xdr:graphicFrame macro="">
      <xdr:nvGraphicFramePr>
        <xdr:cNvPr id="10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524880</xdr:colOff>
      <xdr:row>134</xdr:row>
      <xdr:rowOff>17280</xdr:rowOff>
    </xdr:from>
    <xdr:to>
      <xdr:col>22</xdr:col>
      <xdr:colOff>524040</xdr:colOff>
      <xdr:row>145</xdr:row>
      <xdr:rowOff>20160</xdr:rowOff>
    </xdr:to>
    <xdr:graphicFrame macro="">
      <xdr:nvGraphicFramePr>
        <xdr:cNvPr id="11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533520</xdr:colOff>
      <xdr:row>180</xdr:row>
      <xdr:rowOff>12240</xdr:rowOff>
    </xdr:from>
    <xdr:to>
      <xdr:col>22</xdr:col>
      <xdr:colOff>503520</xdr:colOff>
      <xdr:row>190</xdr:row>
      <xdr:rowOff>11520</xdr:rowOff>
    </xdr:to>
    <xdr:graphicFrame macro="">
      <xdr:nvGraphicFramePr>
        <xdr:cNvPr id="12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524880</xdr:colOff>
      <xdr:row>167</xdr:row>
      <xdr:rowOff>16200</xdr:rowOff>
    </xdr:from>
    <xdr:to>
      <xdr:col>22</xdr:col>
      <xdr:colOff>524040</xdr:colOff>
      <xdr:row>178</xdr:row>
      <xdr:rowOff>19080</xdr:rowOff>
    </xdr:to>
    <xdr:graphicFrame macro="">
      <xdr:nvGraphicFramePr>
        <xdr:cNvPr id="13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195349</xdr:colOff>
      <xdr:row>17</xdr:row>
      <xdr:rowOff>27709</xdr:rowOff>
    </xdr:from>
    <xdr:to>
      <xdr:col>15</xdr:col>
      <xdr:colOff>464689</xdr:colOff>
      <xdr:row>28</xdr:row>
      <xdr:rowOff>94070</xdr:rowOff>
    </xdr:to>
    <xdr:graphicFrame macro="">
      <xdr:nvGraphicFramePr>
        <xdr:cNvPr id="15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694805</xdr:colOff>
      <xdr:row>14</xdr:row>
      <xdr:rowOff>117764</xdr:rowOff>
    </xdr:from>
    <xdr:to>
      <xdr:col>15</xdr:col>
      <xdr:colOff>392083</xdr:colOff>
      <xdr:row>16</xdr:row>
      <xdr:rowOff>159326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353984</xdr:colOff>
      <xdr:row>32</xdr:row>
      <xdr:rowOff>30481</xdr:rowOff>
    </xdr:from>
    <xdr:to>
      <xdr:col>15</xdr:col>
      <xdr:colOff>623324</xdr:colOff>
      <xdr:row>52</xdr:row>
      <xdr:rowOff>96840</xdr:rowOff>
    </xdr:to>
    <xdr:graphicFrame macro="">
      <xdr:nvGraphicFramePr>
        <xdr:cNvPr id="21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651856</xdr:colOff>
      <xdr:row>29</xdr:row>
      <xdr:rowOff>166256</xdr:rowOff>
    </xdr:from>
    <xdr:to>
      <xdr:col>15</xdr:col>
      <xdr:colOff>369916</xdr:colOff>
      <xdr:row>31</xdr:row>
      <xdr:rowOff>221674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533520</xdr:colOff>
      <xdr:row>115</xdr:row>
      <xdr:rowOff>360</xdr:rowOff>
    </xdr:from>
    <xdr:to>
      <xdr:col>17</xdr:col>
      <xdr:colOff>33360</xdr:colOff>
      <xdr:row>124</xdr:row>
      <xdr:rowOff>182100</xdr:rowOff>
    </xdr:to>
    <xdr:graphicFrame macro="">
      <xdr:nvGraphicFramePr>
        <xdr:cNvPr id="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524880</xdr:colOff>
      <xdr:row>102</xdr:row>
      <xdr:rowOff>5040</xdr:rowOff>
    </xdr:from>
    <xdr:to>
      <xdr:col>17</xdr:col>
      <xdr:colOff>63600</xdr:colOff>
      <xdr:row>113</xdr:row>
      <xdr:rowOff>7920</xdr:rowOff>
    </xdr:to>
    <xdr:graphicFrame macro="">
      <xdr:nvGraphicFramePr>
        <xdr:cNvPr id="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533520</xdr:colOff>
      <xdr:row>147</xdr:row>
      <xdr:rowOff>12240</xdr:rowOff>
    </xdr:from>
    <xdr:to>
      <xdr:col>16</xdr:col>
      <xdr:colOff>305400</xdr:colOff>
      <xdr:row>157</xdr:row>
      <xdr:rowOff>11160</xdr:rowOff>
    </xdr:to>
    <xdr:graphicFrame macro="">
      <xdr:nvGraphicFramePr>
        <xdr:cNvPr id="4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524880</xdr:colOff>
      <xdr:row>134</xdr:row>
      <xdr:rowOff>17280</xdr:rowOff>
    </xdr:from>
    <xdr:to>
      <xdr:col>16</xdr:col>
      <xdr:colOff>325920</xdr:colOff>
      <xdr:row>145</xdr:row>
      <xdr:rowOff>20160</xdr:rowOff>
    </xdr:to>
    <xdr:graphicFrame macro="">
      <xdr:nvGraphicFramePr>
        <xdr:cNvPr id="5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533520</xdr:colOff>
      <xdr:row>180</xdr:row>
      <xdr:rowOff>12240</xdr:rowOff>
    </xdr:from>
    <xdr:to>
      <xdr:col>16</xdr:col>
      <xdr:colOff>305400</xdr:colOff>
      <xdr:row>190</xdr:row>
      <xdr:rowOff>11520</xdr:rowOff>
    </xdr:to>
    <xdr:graphicFrame macro="">
      <xdr:nvGraphicFramePr>
        <xdr:cNvPr id="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524880</xdr:colOff>
      <xdr:row>167</xdr:row>
      <xdr:rowOff>16200</xdr:rowOff>
    </xdr:from>
    <xdr:to>
      <xdr:col>16</xdr:col>
      <xdr:colOff>325920</xdr:colOff>
      <xdr:row>178</xdr:row>
      <xdr:rowOff>19080</xdr:rowOff>
    </xdr:to>
    <xdr:graphicFrame macro="">
      <xdr:nvGraphicFramePr>
        <xdr:cNvPr id="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853440</xdr:colOff>
      <xdr:row>15</xdr:row>
      <xdr:rowOff>114300</xdr:rowOff>
    </xdr:from>
    <xdr:to>
      <xdr:col>13</xdr:col>
      <xdr:colOff>350520</xdr:colOff>
      <xdr:row>17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548640</xdr:colOff>
      <xdr:row>51</xdr:row>
      <xdr:rowOff>68580</xdr:rowOff>
    </xdr:from>
    <xdr:to>
      <xdr:col>12</xdr:col>
      <xdr:colOff>160020</xdr:colOff>
      <xdr:row>52</xdr:row>
      <xdr:rowOff>160020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51435</xdr:colOff>
      <xdr:row>23</xdr:row>
      <xdr:rowOff>5715</xdr:rowOff>
    </xdr:from>
    <xdr:to>
      <xdr:col>12</xdr:col>
      <xdr:colOff>219810</xdr:colOff>
      <xdr:row>47</xdr:row>
      <xdr:rowOff>33975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381000</xdr:colOff>
      <xdr:row>54</xdr:row>
      <xdr:rowOff>45720</xdr:rowOff>
    </xdr:from>
    <xdr:to>
      <xdr:col>12</xdr:col>
      <xdr:colOff>33120</xdr:colOff>
      <xdr:row>66</xdr:row>
      <xdr:rowOff>11160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0.39482</cdr:x>
      <cdr:y>0.87566</cdr:y>
    </cdr:from>
    <cdr:to>
      <cdr:x>0.594</cdr:x>
      <cdr:y>0.98939</cdr:y>
    </cdr:to>
    <cdr:sp macro="" textlink="">
      <cdr:nvSpPr>
        <cdr:cNvPr id="167" name="Rectangle 1"/>
        <cdr:cNvSpPr/>
      </cdr:nvSpPr>
      <cdr:spPr>
        <a:xfrm xmlns:a="http://schemas.openxmlformats.org/drawingml/2006/main">
          <a:off x="3695515" y="1891426"/>
          <a:ext cx="1864334" cy="2456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0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/>
      </cdr:style>
      <cdr:txBody>
        <a:bodyPr xmlns:a="http://schemas.openxmlformats.org/drawingml/2006/main" wrap="none" lIns="90000" tIns="45000" rIns="90000" bIns="45000" anchor="t">
          <a:spAutoFit/>
        </a:bodyPr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lang="lt-LT" sz="1050" b="0" strike="noStrike" spc="-1">
              <a:solidFill>
                <a:srgbClr val="000000"/>
              </a:solidFill>
              <a:latin typeface="Times New Roman"/>
              <a:ea typeface="Verdana"/>
            </a:rPr>
            <a:t>*skaičiuojama nuo sausio 27 d.</a:t>
          </a:r>
          <a:endParaRPr sz="1050" b="0" strike="noStrike" spc="-1">
            <a:latin typeface="Times New Roman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579120</xdr:colOff>
      <xdr:row>8</xdr:row>
      <xdr:rowOff>60960</xdr:rowOff>
    </xdr:from>
    <xdr:to>
      <xdr:col>14</xdr:col>
      <xdr:colOff>228600</xdr:colOff>
      <xdr:row>11</xdr:row>
      <xdr:rowOff>15240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</xdr:colOff>
      <xdr:row>13</xdr:row>
      <xdr:rowOff>15240</xdr:rowOff>
    </xdr:from>
    <xdr:to>
      <xdr:col>13</xdr:col>
      <xdr:colOff>585660</xdr:colOff>
      <xdr:row>15</xdr:row>
      <xdr:rowOff>171246</xdr:rowOff>
    </xdr:to>
    <xdr:sp macro="" textlink="">
      <xdr:nvSpPr>
        <xdr:cNvPr id="3" name="TextBox 14"/>
        <xdr:cNvSpPr/>
      </xdr:nvSpPr>
      <xdr:spPr>
        <a:xfrm>
          <a:off x="7620" y="3787140"/>
          <a:ext cx="8502840" cy="52176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wrap="square" lIns="90000" tIns="45000" rIns="90000" bIns="45000" anchor="t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00000"/>
            </a:lnSpc>
            <a:buNone/>
          </a:pPr>
          <a:r>
            <a:rPr lang="lt-LT" sz="2800" b="1" strike="noStrike" spc="-1">
              <a:solidFill>
                <a:srgbClr val="000000"/>
              </a:solidFill>
              <a:latin typeface="Times New Roman"/>
              <a:ea typeface="Verdana"/>
            </a:rPr>
            <a:t>INFORMUOTOS INSTITUCIJOS, PARTNERIAI</a:t>
          </a:r>
          <a:endParaRPr lang="lt-LT" sz="2800" b="0" strike="noStrike" spc="-1">
            <a:latin typeface="Arial"/>
          </a:endParaRPr>
        </a:p>
      </xdr:txBody>
    </xdr:sp>
    <xdr:clientData/>
  </xdr:twoCellAnchor>
  <xdr:twoCellAnchor>
    <xdr:from>
      <xdr:col>8</xdr:col>
      <xdr:colOff>289560</xdr:colOff>
      <xdr:row>18</xdr:row>
      <xdr:rowOff>167640</xdr:rowOff>
    </xdr:from>
    <xdr:to>
      <xdr:col>19</xdr:col>
      <xdr:colOff>38100</xdr:colOff>
      <xdr:row>18</xdr:row>
      <xdr:rowOff>525780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594360</xdr:colOff>
      <xdr:row>19</xdr:row>
      <xdr:rowOff>182880</xdr:rowOff>
    </xdr:from>
    <xdr:to>
      <xdr:col>19</xdr:col>
      <xdr:colOff>53340</xdr:colOff>
      <xdr:row>19</xdr:row>
      <xdr:rowOff>541020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30480</xdr:colOff>
      <xdr:row>20</xdr:row>
      <xdr:rowOff>99060</xdr:rowOff>
    </xdr:from>
    <xdr:to>
      <xdr:col>21</xdr:col>
      <xdr:colOff>495300</xdr:colOff>
      <xdr:row>20</xdr:row>
      <xdr:rowOff>457200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7620</xdr:colOff>
      <xdr:row>21</xdr:row>
      <xdr:rowOff>137160</xdr:rowOff>
    </xdr:from>
    <xdr:to>
      <xdr:col>21</xdr:col>
      <xdr:colOff>472440</xdr:colOff>
      <xdr:row>21</xdr:row>
      <xdr:rowOff>495300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22860</xdr:colOff>
      <xdr:row>22</xdr:row>
      <xdr:rowOff>152400</xdr:rowOff>
    </xdr:from>
    <xdr:to>
      <xdr:col>11</xdr:col>
      <xdr:colOff>350520</xdr:colOff>
      <xdr:row>22</xdr:row>
      <xdr:rowOff>510540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114300</xdr:colOff>
      <xdr:row>17</xdr:row>
      <xdr:rowOff>678180</xdr:rowOff>
    </xdr:from>
    <xdr:to>
      <xdr:col>14</xdr:col>
      <xdr:colOff>373380</xdr:colOff>
      <xdr:row>17</xdr:row>
      <xdr:rowOff>1181100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17145</xdr:colOff>
      <xdr:row>18</xdr:row>
      <xdr:rowOff>15240</xdr:rowOff>
    </xdr:from>
    <xdr:to>
      <xdr:col>21</xdr:col>
      <xdr:colOff>530329</xdr:colOff>
      <xdr:row>24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:lc="http://schemas.openxmlformats.org/drawingml/2006/lockedCanvas" xmlns="" id="{5742FCEE-7D66-FD14-5B86-A3AD36E40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579120</xdr:colOff>
      <xdr:row>16</xdr:row>
      <xdr:rowOff>365760</xdr:rowOff>
    </xdr:from>
    <xdr:to>
      <xdr:col>14</xdr:col>
      <xdr:colOff>228600</xdr:colOff>
      <xdr:row>17</xdr:row>
      <xdr:rowOff>320040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4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223"/>
  <sheetViews>
    <sheetView topLeftCell="A9" workbookViewId="0">
      <selection activeCell="E24" sqref="E24"/>
    </sheetView>
  </sheetViews>
  <sheetFormatPr defaultRowHeight="14.4"/>
  <cols>
    <col min="2" max="2" width="14" customWidth="1"/>
    <col min="4" max="4" width="12.109375" customWidth="1"/>
    <col min="7" max="33" width="4" customWidth="1"/>
  </cols>
  <sheetData>
    <row r="1" spans="1:35" ht="23.4">
      <c r="A1" t="s">
        <v>98</v>
      </c>
      <c r="B1" t="s">
        <v>18</v>
      </c>
      <c r="C1" s="30" t="s">
        <v>99</v>
      </c>
      <c r="D1">
        <v>2025</v>
      </c>
      <c r="I1" s="31">
        <v>1</v>
      </c>
      <c r="J1" s="31"/>
      <c r="K1" s="31"/>
      <c r="AG1">
        <v>0</v>
      </c>
      <c r="AH1" t="s">
        <v>149</v>
      </c>
      <c r="AI1" t="s">
        <v>147</v>
      </c>
    </row>
    <row r="2" spans="1:35" ht="23.4">
      <c r="A2" t="s">
        <v>100</v>
      </c>
      <c r="B2" t="s">
        <v>19</v>
      </c>
      <c r="C2" s="30" t="s">
        <v>101</v>
      </c>
      <c r="D2">
        <v>2026</v>
      </c>
      <c r="I2" s="31">
        <v>16</v>
      </c>
      <c r="J2" s="31"/>
      <c r="K2" s="31"/>
      <c r="AG2">
        <v>0</v>
      </c>
      <c r="AH2" t="s">
        <v>149</v>
      </c>
      <c r="AI2" t="s">
        <v>148</v>
      </c>
    </row>
    <row r="3" spans="1:35" ht="23.4">
      <c r="A3" t="s">
        <v>102</v>
      </c>
      <c r="B3" t="s">
        <v>20</v>
      </c>
      <c r="C3" s="30" t="s">
        <v>103</v>
      </c>
      <c r="D3">
        <v>2027</v>
      </c>
      <c r="I3" s="31">
        <v>11</v>
      </c>
      <c r="J3" s="31"/>
      <c r="K3" s="32" t="str">
        <f>IF(B29=3,B28,"")</f>
        <v/>
      </c>
      <c r="AG3">
        <v>0</v>
      </c>
      <c r="AH3" t="s">
        <v>152</v>
      </c>
      <c r="AI3" t="s">
        <v>151</v>
      </c>
    </row>
    <row r="4" spans="1:35" ht="23.4">
      <c r="A4" t="s">
        <v>104</v>
      </c>
      <c r="B4" t="s">
        <v>21</v>
      </c>
      <c r="C4" s="30" t="s">
        <v>105</v>
      </c>
      <c r="D4">
        <v>2028</v>
      </c>
      <c r="I4" s="31"/>
      <c r="J4" s="31"/>
      <c r="K4" s="32">
        <f>IF(B29=4,B28,IF(K3=31,1,""))</f>
        <v>5</v>
      </c>
      <c r="AG4">
        <v>0</v>
      </c>
      <c r="AH4" t="s">
        <v>152</v>
      </c>
      <c r="AI4" t="s">
        <v>150</v>
      </c>
    </row>
    <row r="5" spans="1:35">
      <c r="A5" t="s">
        <v>106</v>
      </c>
      <c r="B5" t="s">
        <v>22</v>
      </c>
      <c r="D5">
        <v>2029</v>
      </c>
      <c r="I5" s="31">
        <v>1</v>
      </c>
      <c r="J5" s="31"/>
      <c r="K5" s="31"/>
      <c r="AG5">
        <v>0</v>
      </c>
      <c r="AH5" t="s">
        <v>140</v>
      </c>
      <c r="AI5" t="s">
        <v>51</v>
      </c>
    </row>
    <row r="6" spans="1:35">
      <c r="A6" t="s">
        <v>107</v>
      </c>
      <c r="B6" t="s">
        <v>23</v>
      </c>
      <c r="D6">
        <v>2030</v>
      </c>
      <c r="I6" s="31">
        <v>26</v>
      </c>
      <c r="J6" s="31"/>
      <c r="K6" s="31"/>
      <c r="AG6">
        <v>0</v>
      </c>
      <c r="AH6" t="s">
        <v>140</v>
      </c>
      <c r="AI6" t="s">
        <v>132</v>
      </c>
    </row>
    <row r="7" spans="1:35">
      <c r="A7" t="s">
        <v>108</v>
      </c>
      <c r="B7" t="s">
        <v>24</v>
      </c>
      <c r="D7">
        <v>2031</v>
      </c>
      <c r="I7" s="31">
        <v>6</v>
      </c>
      <c r="J7" s="31"/>
      <c r="K7" s="31"/>
      <c r="AG7">
        <v>0</v>
      </c>
      <c r="AH7" t="s">
        <v>137</v>
      </c>
      <c r="AI7" t="s">
        <v>57</v>
      </c>
    </row>
    <row r="8" spans="1:35">
      <c r="A8" t="s">
        <v>109</v>
      </c>
      <c r="B8" t="s">
        <v>25</v>
      </c>
      <c r="D8">
        <v>2032</v>
      </c>
      <c r="I8" s="31">
        <v>15</v>
      </c>
      <c r="J8" s="31"/>
      <c r="K8" s="31"/>
      <c r="AG8">
        <v>0</v>
      </c>
      <c r="AH8" t="s">
        <v>137</v>
      </c>
      <c r="AI8" t="s">
        <v>46</v>
      </c>
    </row>
    <row r="9" spans="1:35" ht="15.6">
      <c r="A9" t="s">
        <v>110</v>
      </c>
      <c r="B9" t="s">
        <v>26</v>
      </c>
      <c r="D9">
        <v>2033</v>
      </c>
      <c r="H9" s="33"/>
      <c r="I9" s="31"/>
      <c r="J9" s="31"/>
      <c r="K9" s="31"/>
      <c r="AG9">
        <v>0</v>
      </c>
      <c r="AH9" t="s">
        <v>146</v>
      </c>
      <c r="AI9" t="s">
        <v>145</v>
      </c>
    </row>
    <row r="10" spans="1:35">
      <c r="A10" t="s">
        <v>111</v>
      </c>
      <c r="B10" t="s">
        <v>27</v>
      </c>
      <c r="D10">
        <v>2034</v>
      </c>
      <c r="I10" s="31"/>
      <c r="J10" s="31"/>
      <c r="K10" s="31"/>
      <c r="AG10">
        <v>0</v>
      </c>
      <c r="AH10" t="s">
        <v>146</v>
      </c>
      <c r="AI10" t="s">
        <v>144</v>
      </c>
    </row>
    <row r="11" spans="1:35">
      <c r="A11" t="s">
        <v>112</v>
      </c>
      <c r="B11" t="s">
        <v>28</v>
      </c>
      <c r="D11">
        <v>2035</v>
      </c>
      <c r="I11" s="31">
        <v>1</v>
      </c>
      <c r="J11" s="31">
        <v>2</v>
      </c>
      <c r="K11" s="31"/>
      <c r="AG11">
        <v>0</v>
      </c>
      <c r="AH11" t="s">
        <v>158</v>
      </c>
      <c r="AI11" t="s">
        <v>156</v>
      </c>
    </row>
    <row r="12" spans="1:35">
      <c r="A12" t="s">
        <v>113</v>
      </c>
      <c r="B12" t="s">
        <v>29</v>
      </c>
      <c r="D12">
        <v>2036</v>
      </c>
      <c r="I12" s="31">
        <v>24</v>
      </c>
      <c r="J12" s="31">
        <v>25</v>
      </c>
      <c r="K12" s="31">
        <v>26</v>
      </c>
      <c r="AG12">
        <v>0</v>
      </c>
      <c r="AH12" t="s">
        <v>158</v>
      </c>
      <c r="AI12" t="s">
        <v>157</v>
      </c>
    </row>
    <row r="13" spans="1:35">
      <c r="D13">
        <v>2037</v>
      </c>
      <c r="AG13">
        <v>0</v>
      </c>
      <c r="AH13" t="s">
        <v>138</v>
      </c>
      <c r="AI13" t="s">
        <v>47</v>
      </c>
    </row>
    <row r="14" spans="1:35">
      <c r="D14">
        <v>2038</v>
      </c>
      <c r="AG14">
        <v>0</v>
      </c>
      <c r="AH14" t="s">
        <v>138</v>
      </c>
      <c r="AI14" t="s">
        <v>50</v>
      </c>
    </row>
    <row r="15" spans="1:35">
      <c r="D15">
        <v>2039</v>
      </c>
      <c r="AG15">
        <v>0</v>
      </c>
      <c r="AH15" t="s">
        <v>136</v>
      </c>
      <c r="AI15" s="40" t="s">
        <v>45</v>
      </c>
    </row>
    <row r="16" spans="1:35">
      <c r="D16" t="s">
        <v>127</v>
      </c>
      <c r="AG16">
        <v>0</v>
      </c>
      <c r="AH16" t="s">
        <v>136</v>
      </c>
      <c r="AI16" t="s">
        <v>53</v>
      </c>
    </row>
    <row r="17" spans="1:35">
      <c r="A17" t="s">
        <v>114</v>
      </c>
      <c r="AG17">
        <v>0</v>
      </c>
      <c r="AH17" t="s">
        <v>133</v>
      </c>
      <c r="AI17" t="s">
        <v>49</v>
      </c>
    </row>
    <row r="18" spans="1:35">
      <c r="AG18">
        <v>0</v>
      </c>
      <c r="AH18" t="s">
        <v>133</v>
      </c>
      <c r="AI18" s="37" t="s">
        <v>58</v>
      </c>
    </row>
    <row r="19" spans="1:35">
      <c r="A19" t="s">
        <v>115</v>
      </c>
      <c r="B19" s="35">
        <f>Dinamika!$B$1</f>
        <v>2026</v>
      </c>
      <c r="D19" t="s">
        <v>131</v>
      </c>
      <c r="E19" s="36">
        <v>8</v>
      </c>
      <c r="AG19">
        <v>0</v>
      </c>
      <c r="AH19" t="s">
        <v>134</v>
      </c>
      <c r="AI19" t="s">
        <v>54</v>
      </c>
    </row>
    <row r="20" spans="1:35">
      <c r="A20" t="s">
        <v>116</v>
      </c>
      <c r="B20" s="35">
        <f>MOD(B19,19)</f>
        <v>12</v>
      </c>
      <c r="AG20">
        <v>0</v>
      </c>
      <c r="AH20" t="s">
        <v>134</v>
      </c>
      <c r="AI20" t="s">
        <v>60</v>
      </c>
    </row>
    <row r="21" spans="1:35">
      <c r="A21" t="s">
        <v>117</v>
      </c>
      <c r="B21" s="35">
        <f>TRUNC(B19/4)</f>
        <v>506</v>
      </c>
      <c r="AG21">
        <v>0</v>
      </c>
      <c r="AH21" t="s">
        <v>139</v>
      </c>
      <c r="AI21" t="s">
        <v>48</v>
      </c>
    </row>
    <row r="22" spans="1:35">
      <c r="A22" t="s">
        <v>118</v>
      </c>
      <c r="B22" s="35">
        <f>TRUNC(B21/25)+1</f>
        <v>21</v>
      </c>
      <c r="AG22">
        <v>0</v>
      </c>
      <c r="AH22" t="s">
        <v>139</v>
      </c>
      <c r="AI22" t="s">
        <v>59</v>
      </c>
    </row>
    <row r="23" spans="1:35">
      <c r="A23" t="s">
        <v>119</v>
      </c>
      <c r="B23" s="35">
        <f>TRUNC(B22*3/4)</f>
        <v>15</v>
      </c>
      <c r="AG23">
        <v>0</v>
      </c>
      <c r="AH23" t="s">
        <v>135</v>
      </c>
      <c r="AI23" t="s">
        <v>55</v>
      </c>
    </row>
    <row r="24" spans="1:35">
      <c r="A24" t="s">
        <v>120</v>
      </c>
      <c r="B24" s="35">
        <f>MOD((B20*19)-(TRUNC((B22*8+5)/25)+B23+15),30)</f>
        <v>12</v>
      </c>
      <c r="AG24">
        <v>0</v>
      </c>
      <c r="AH24" t="s">
        <v>135</v>
      </c>
      <c r="AI24" s="56" t="s">
        <v>52</v>
      </c>
    </row>
    <row r="25" spans="1:35">
      <c r="A25" t="s">
        <v>121</v>
      </c>
      <c r="B25" s="35">
        <f>B24+TRUNC((29578-B20-B24*32)/1024)</f>
        <v>40</v>
      </c>
      <c r="AG25">
        <v>9</v>
      </c>
      <c r="AH25" t="s">
        <v>143</v>
      </c>
      <c r="AI25" t="s">
        <v>64</v>
      </c>
    </row>
    <row r="26" spans="1:35">
      <c r="A26" t="s">
        <v>122</v>
      </c>
      <c r="B26" s="35">
        <f>B25-MOD((MOD(B19,7)+B21-B23+B25+2),7)</f>
        <v>36</v>
      </c>
      <c r="AG26">
        <v>9</v>
      </c>
      <c r="AH26" t="s">
        <v>153</v>
      </c>
      <c r="AI26" s="38" t="s">
        <v>62</v>
      </c>
    </row>
    <row r="27" spans="1:35">
      <c r="A27" t="s">
        <v>119</v>
      </c>
      <c r="B27" s="35">
        <f>TRUNC(B26/32)</f>
        <v>1</v>
      </c>
      <c r="AG27">
        <v>9</v>
      </c>
      <c r="AH27" s="54" t="s">
        <v>142</v>
      </c>
      <c r="AI27" s="54" t="s">
        <v>63</v>
      </c>
    </row>
    <row r="28" spans="1:35">
      <c r="A28" t="s">
        <v>123</v>
      </c>
      <c r="B28" s="35">
        <f>B26-B27*31</f>
        <v>5</v>
      </c>
      <c r="AG28">
        <v>9</v>
      </c>
      <c r="AH28" s="54" t="s">
        <v>141</v>
      </c>
      <c r="AI28" s="54" t="s">
        <v>61</v>
      </c>
    </row>
    <row r="29" spans="1:35">
      <c r="A29" t="s">
        <v>124</v>
      </c>
      <c r="B29" s="35">
        <f>B27+3</f>
        <v>4</v>
      </c>
    </row>
    <row r="31" spans="1:35">
      <c r="A31" t="s">
        <v>125</v>
      </c>
      <c r="B31" s="34">
        <f>DATE(B19,B29,B28)</f>
        <v>46117</v>
      </c>
    </row>
    <row r="33" ht="16.95" customHeight="1"/>
    <row r="34" ht="3" customHeight="1"/>
    <row r="35" ht="16.95" hidden="1" customHeight="1"/>
    <row r="36" ht="16.95" hidden="1" customHeight="1"/>
    <row r="37" ht="16.95" hidden="1" customHeight="1"/>
    <row r="38" ht="16.95" hidden="1" customHeight="1"/>
    <row r="39" ht="16.95" hidden="1" customHeight="1"/>
    <row r="40" ht="16.95" hidden="1" customHeight="1"/>
    <row r="41" ht="16.95" hidden="1" customHeight="1"/>
    <row r="42" ht="16.95" hidden="1" customHeight="1"/>
    <row r="43" ht="9.6" hidden="1" customHeight="1"/>
    <row r="44" ht="16.95" hidden="1" customHeight="1"/>
    <row r="45" ht="16.95" hidden="1" customHeight="1"/>
    <row r="46" ht="16.95" hidden="1" customHeight="1"/>
    <row r="47" ht="16.95" hidden="1" customHeight="1"/>
    <row r="48" ht="16.95" hidden="1" customHeight="1"/>
    <row r="49" ht="16.95" hidden="1" customHeight="1"/>
    <row r="50" ht="16.95" hidden="1" customHeight="1"/>
    <row r="51" ht="16.95" hidden="1" customHeight="1"/>
    <row r="52" ht="16.95" hidden="1" customHeight="1"/>
    <row r="53" ht="16.95" hidden="1" customHeight="1"/>
    <row r="54" ht="16.95" hidden="1" customHeight="1"/>
    <row r="55" ht="16.95" hidden="1" customHeight="1"/>
    <row r="56" ht="16.95" hidden="1" customHeight="1"/>
    <row r="57" ht="16.95" hidden="1" customHeight="1"/>
    <row r="58" ht="16.95" hidden="1" customHeight="1"/>
    <row r="59" ht="16.95" hidden="1" customHeight="1"/>
    <row r="60" ht="9" hidden="1" customHeight="1"/>
    <row r="61" ht="16.95" hidden="1" customHeight="1"/>
    <row r="62" ht="16.95" hidden="1" customHeight="1"/>
    <row r="63" ht="16.95" hidden="1" customHeight="1"/>
    <row r="64" ht="16.95" hidden="1" customHeight="1"/>
    <row r="65" ht="16.95" hidden="1" customHeight="1"/>
    <row r="66" ht="16.95" hidden="1" customHeight="1"/>
    <row r="67" ht="16.95" hidden="1" customHeight="1"/>
    <row r="68" ht="16.95" hidden="1" customHeight="1"/>
    <row r="69" ht="16.95" hidden="1" customHeight="1"/>
    <row r="70" ht="16.95" hidden="1" customHeight="1"/>
    <row r="71" ht="16.95" hidden="1" customHeight="1"/>
    <row r="72" ht="16.95" hidden="1" customHeight="1"/>
    <row r="73" ht="16.95" hidden="1" customHeight="1"/>
    <row r="74" ht="16.95" hidden="1" customHeight="1"/>
    <row r="75" ht="16.95" hidden="1" customHeight="1"/>
    <row r="76" ht="16.95" hidden="1" customHeight="1"/>
    <row r="77" ht="16.95" hidden="1" customHeight="1"/>
    <row r="78" ht="16.95" hidden="1" customHeight="1"/>
    <row r="79" ht="16.95" hidden="1" customHeight="1"/>
    <row r="80" ht="16.95" hidden="1" customHeight="1"/>
    <row r="81" ht="16.95" hidden="1" customHeight="1"/>
    <row r="82" ht="16.95" hidden="1" customHeight="1"/>
    <row r="83" ht="16.95" hidden="1" customHeight="1"/>
    <row r="84" ht="16.95" hidden="1" customHeight="1"/>
    <row r="85" ht="16.95" hidden="1" customHeight="1"/>
    <row r="86" ht="16.95" hidden="1" customHeight="1"/>
    <row r="87" ht="1.2" hidden="1" customHeight="1"/>
    <row r="88" ht="16.95" hidden="1" customHeight="1"/>
    <row r="89" ht="16.95" hidden="1" customHeight="1"/>
    <row r="90" ht="16.95" hidden="1" customHeight="1"/>
    <row r="91" ht="16.95" hidden="1" customHeight="1"/>
    <row r="92" ht="16.95" hidden="1" customHeight="1"/>
    <row r="93" ht="16.95" hidden="1" customHeight="1"/>
    <row r="94" ht="16.95" hidden="1" customHeight="1"/>
    <row r="95" ht="16.95" hidden="1" customHeight="1"/>
    <row r="96" ht="16.95" hidden="1" customHeight="1"/>
    <row r="97" spans="1:32" ht="16.95" hidden="1" customHeight="1"/>
    <row r="98" spans="1:32" ht="16.95" hidden="1" customHeight="1"/>
    <row r="99" spans="1:32" ht="16.95" hidden="1" customHeight="1"/>
    <row r="100" spans="1:32" ht="16.95" hidden="1" customHeight="1"/>
    <row r="101" spans="1:32" ht="16.95" hidden="1" customHeight="1"/>
    <row r="102" spans="1:32" ht="16.95" hidden="1" customHeight="1"/>
    <row r="103" spans="1:32" ht="16.95" hidden="1" customHeight="1"/>
    <row r="104" spans="1:32" ht="16.95" hidden="1" customHeight="1"/>
    <row r="105" spans="1:32" ht="16.95" hidden="1" customHeight="1"/>
    <row r="106" spans="1:32" ht="16.95" hidden="1" customHeight="1"/>
    <row r="107" spans="1:32" ht="16.95" customHeight="1"/>
    <row r="108" spans="1:32" ht="16.95" customHeight="1"/>
    <row r="109" spans="1:32">
      <c r="A109" t="s">
        <v>115</v>
      </c>
      <c r="B109" t="s">
        <v>130</v>
      </c>
      <c r="C109" t="s">
        <v>129</v>
      </c>
      <c r="F109" t="s">
        <v>128</v>
      </c>
    </row>
    <row r="110" spans="1:32">
      <c r="A110">
        <f>Dinamika!$B$1</f>
        <v>2026</v>
      </c>
      <c r="B110">
        <v>1</v>
      </c>
      <c r="C110">
        <f>DAY(EOMONTH(DATE(A110,B110,1),0))</f>
        <v>31</v>
      </c>
      <c r="F110" t="str">
        <f>CHOOSE($B110,$B$1,$B$2,$B$3,$B$4,$B$5,$B$6,$B$7,$B$8,$B$9,$B$10,$B$11,$B$12)</f>
        <v>Sausis</v>
      </c>
    </row>
    <row r="111" spans="1:32">
      <c r="A111" t="str">
        <f>CHOOSE($B110,$B$1,$B$2,$B$3,$B$4,$B$5,$B$6,$B$7,$B$8,$B$9,$B$10,$B$11,$B$12)</f>
        <v>Sausis</v>
      </c>
      <c r="B111">
        <v>1</v>
      </c>
      <c r="C111">
        <f t="shared" ref="C111:AC111" si="0">B111+1</f>
        <v>2</v>
      </c>
      <c r="D111">
        <f t="shared" si="0"/>
        <v>3</v>
      </c>
      <c r="E111">
        <f t="shared" si="0"/>
        <v>4</v>
      </c>
      <c r="F111">
        <f t="shared" si="0"/>
        <v>5</v>
      </c>
      <c r="G111">
        <f t="shared" si="0"/>
        <v>6</v>
      </c>
      <c r="H111">
        <f t="shared" si="0"/>
        <v>7</v>
      </c>
      <c r="I111">
        <f t="shared" si="0"/>
        <v>8</v>
      </c>
      <c r="J111">
        <f t="shared" si="0"/>
        <v>9</v>
      </c>
      <c r="K111">
        <f t="shared" si="0"/>
        <v>10</v>
      </c>
      <c r="L111">
        <f t="shared" si="0"/>
        <v>11</v>
      </c>
      <c r="M111">
        <f t="shared" si="0"/>
        <v>12</v>
      </c>
      <c r="N111">
        <f t="shared" si="0"/>
        <v>13</v>
      </c>
      <c r="O111">
        <f t="shared" si="0"/>
        <v>14</v>
      </c>
      <c r="P111">
        <f t="shared" si="0"/>
        <v>15</v>
      </c>
      <c r="Q111">
        <f t="shared" si="0"/>
        <v>16</v>
      </c>
      <c r="R111">
        <f t="shared" si="0"/>
        <v>17</v>
      </c>
      <c r="S111">
        <f t="shared" si="0"/>
        <v>18</v>
      </c>
      <c r="T111">
        <f t="shared" si="0"/>
        <v>19</v>
      </c>
      <c r="U111">
        <f t="shared" si="0"/>
        <v>20</v>
      </c>
      <c r="V111">
        <f t="shared" si="0"/>
        <v>21</v>
      </c>
      <c r="W111">
        <f t="shared" si="0"/>
        <v>22</v>
      </c>
      <c r="X111">
        <f t="shared" si="0"/>
        <v>23</v>
      </c>
      <c r="Y111">
        <f t="shared" si="0"/>
        <v>24</v>
      </c>
      <c r="Z111">
        <f t="shared" si="0"/>
        <v>25</v>
      </c>
      <c r="AA111">
        <f t="shared" si="0"/>
        <v>26</v>
      </c>
      <c r="AB111">
        <f t="shared" si="0"/>
        <v>27</v>
      </c>
      <c r="AC111">
        <f t="shared" si="0"/>
        <v>28</v>
      </c>
      <c r="AD111">
        <f>IF(ABS(AC111)&lt;$C110,AC111+1,-AC111+1)</f>
        <v>29</v>
      </c>
      <c r="AE111">
        <f>IF(ABS(AD111)&lt;$C110,AD111+1,-AD111+1)</f>
        <v>30</v>
      </c>
      <c r="AF111">
        <f>IF(ABS(AE111)&lt;$C110,AE111+1,-AE111+1)</f>
        <v>31</v>
      </c>
    </row>
    <row r="112" spans="1:32">
      <c r="A112" t="str">
        <f>A111</f>
        <v>Sausis</v>
      </c>
      <c r="B112" t="str">
        <f t="shared" ref="B112:AF112" ca="1" si="1">IF(B111&gt;0,IF(OR(OFFSET($I$1,$B110-1,0)=B111,OFFSET($I$1,$B110-1,1)=B111,OFFSET($I$1,$B110-1,2)=B111),"SV",CHOOSE(WEEKDAY(DATE($A110,$B110,B111),2),"--","--","--","--","--","SS","SK")),"XX")</f>
        <v>SV</v>
      </c>
      <c r="C112" t="str">
        <f t="shared" ca="1" si="1"/>
        <v>--</v>
      </c>
      <c r="D112" t="str">
        <f t="shared" ca="1" si="1"/>
        <v>SS</v>
      </c>
      <c r="E112" t="str">
        <f t="shared" ca="1" si="1"/>
        <v>SK</v>
      </c>
      <c r="F112" t="str">
        <f t="shared" ca="1" si="1"/>
        <v>--</v>
      </c>
      <c r="G112" t="str">
        <f t="shared" ca="1" si="1"/>
        <v>--</v>
      </c>
      <c r="H112" t="str">
        <f t="shared" ca="1" si="1"/>
        <v>--</v>
      </c>
      <c r="I112" t="str">
        <f t="shared" ca="1" si="1"/>
        <v>--</v>
      </c>
      <c r="J112" t="str">
        <f t="shared" ca="1" si="1"/>
        <v>--</v>
      </c>
      <c r="K112" t="str">
        <f t="shared" ca="1" si="1"/>
        <v>SS</v>
      </c>
      <c r="L112" t="str">
        <f t="shared" ca="1" si="1"/>
        <v>SK</v>
      </c>
      <c r="M112" t="str">
        <f t="shared" ca="1" si="1"/>
        <v>--</v>
      </c>
      <c r="N112" t="str">
        <f t="shared" ca="1" si="1"/>
        <v>--</v>
      </c>
      <c r="O112" t="str">
        <f t="shared" ca="1" si="1"/>
        <v>--</v>
      </c>
      <c r="P112" t="str">
        <f t="shared" ca="1" si="1"/>
        <v>--</v>
      </c>
      <c r="Q112" t="str">
        <f t="shared" ca="1" si="1"/>
        <v>--</v>
      </c>
      <c r="R112" t="str">
        <f t="shared" ca="1" si="1"/>
        <v>SS</v>
      </c>
      <c r="S112" t="str">
        <f t="shared" ca="1" si="1"/>
        <v>SK</v>
      </c>
      <c r="T112" t="str">
        <f t="shared" ca="1" si="1"/>
        <v>--</v>
      </c>
      <c r="U112" t="str">
        <f t="shared" ca="1" si="1"/>
        <v>--</v>
      </c>
      <c r="V112" t="str">
        <f t="shared" ca="1" si="1"/>
        <v>--</v>
      </c>
      <c r="W112" t="str">
        <f t="shared" ca="1" si="1"/>
        <v>--</v>
      </c>
      <c r="X112" t="str">
        <f t="shared" ca="1" si="1"/>
        <v>--</v>
      </c>
      <c r="Y112" t="str">
        <f t="shared" ca="1" si="1"/>
        <v>SS</v>
      </c>
      <c r="Z112" t="str">
        <f t="shared" ca="1" si="1"/>
        <v>SK</v>
      </c>
      <c r="AA112" t="str">
        <f t="shared" ca="1" si="1"/>
        <v>--</v>
      </c>
      <c r="AB112" t="str">
        <f t="shared" ca="1" si="1"/>
        <v>--</v>
      </c>
      <c r="AC112" t="str">
        <f t="shared" ca="1" si="1"/>
        <v>--</v>
      </c>
      <c r="AD112" t="str">
        <f t="shared" ca="1" si="1"/>
        <v>--</v>
      </c>
      <c r="AE112" t="str">
        <f t="shared" ca="1" si="1"/>
        <v>--</v>
      </c>
      <c r="AF112" t="str">
        <f t="shared" ca="1" si="1"/>
        <v>SS</v>
      </c>
    </row>
    <row r="113" spans="1:32">
      <c r="A113" s="85" t="e">
        <f>ROW(#REF!)-1</f>
        <v>#REF!</v>
      </c>
      <c r="B113" s="85" t="e">
        <f>ROW(#REF!)-1</f>
        <v>#REF!</v>
      </c>
      <c r="C113" s="85" t="e">
        <f>ROW(#REF!)-1</f>
        <v>#REF!</v>
      </c>
      <c r="D113" s="85" t="e">
        <f>ROW(#REF!)-1</f>
        <v>#REF!</v>
      </c>
      <c r="E113" s="85" t="e">
        <f>ROW(#REF!)-1</f>
        <v>#REF!</v>
      </c>
      <c r="F113" s="85" t="e">
        <f>ROW(#REF!)-1</f>
        <v>#REF!</v>
      </c>
      <c r="G113" s="85" t="e">
        <f>ROW(#REF!)-1</f>
        <v>#REF!</v>
      </c>
      <c r="H113" s="85" t="e">
        <f>ROW(#REF!)-1</f>
        <v>#REF!</v>
      </c>
      <c r="I113" s="85" t="e">
        <f>ROW(#REF!)-1</f>
        <v>#REF!</v>
      </c>
      <c r="J113" s="85" t="e">
        <f>ROW(#REF!)-1</f>
        <v>#REF!</v>
      </c>
      <c r="K113" s="85" t="e">
        <f>ROW(#REF!)-1</f>
        <v>#REF!</v>
      </c>
      <c r="L113" s="85" t="e">
        <f>ROW(#REF!)-1</f>
        <v>#REF!</v>
      </c>
      <c r="M113" s="85" t="e">
        <f>ROW(#REF!)-1</f>
        <v>#REF!</v>
      </c>
      <c r="N113" s="85" t="e">
        <f>ROW(#REF!)-1</f>
        <v>#REF!</v>
      </c>
      <c r="O113" s="85" t="e">
        <f>ROW(#REF!)-1</f>
        <v>#REF!</v>
      </c>
      <c r="P113" s="85" t="e">
        <f>ROW(#REF!)-1</f>
        <v>#REF!</v>
      </c>
      <c r="Q113" s="85" t="e">
        <f>ROW(#REF!)-1</f>
        <v>#REF!</v>
      </c>
      <c r="R113" s="85" t="e">
        <f>ROW(#REF!)-1</f>
        <v>#REF!</v>
      </c>
      <c r="S113" s="85" t="e">
        <f>ROW(#REF!)-1</f>
        <v>#REF!</v>
      </c>
      <c r="T113" s="85" t="e">
        <f>ROW(#REF!)-1</f>
        <v>#REF!</v>
      </c>
      <c r="U113" s="85" t="e">
        <f>ROW(#REF!)-1</f>
        <v>#REF!</v>
      </c>
      <c r="V113" s="85" t="e">
        <f>ROW(#REF!)-1</f>
        <v>#REF!</v>
      </c>
      <c r="W113" s="85" t="e">
        <f>ROW(#REF!)-1</f>
        <v>#REF!</v>
      </c>
      <c r="X113" s="85" t="e">
        <f>ROW(#REF!)-1</f>
        <v>#REF!</v>
      </c>
      <c r="Y113" s="85" t="e">
        <f>ROW(#REF!)-1</f>
        <v>#REF!</v>
      </c>
      <c r="Z113" s="85" t="e">
        <f>ROW(#REF!)-1</f>
        <v>#REF!</v>
      </c>
      <c r="AA113" s="85" t="e">
        <f>ROW(#REF!)-1</f>
        <v>#REF!</v>
      </c>
      <c r="AB113" s="85" t="e">
        <f>ROW(#REF!)-1</f>
        <v>#REF!</v>
      </c>
      <c r="AC113" s="85" t="e">
        <f>ROW(#REF!)-1</f>
        <v>#REF!</v>
      </c>
      <c r="AD113" s="85" t="e">
        <f>ROW(#REF!)-1</f>
        <v>#REF!</v>
      </c>
      <c r="AE113" s="85" t="e">
        <f>ROW(#REF!)-1</f>
        <v>#REF!</v>
      </c>
      <c r="AF113" s="85" t="e">
        <f>ROW(#REF!)-1</f>
        <v>#REF!</v>
      </c>
    </row>
    <row r="119" spans="1:32">
      <c r="A119" t="s">
        <v>115</v>
      </c>
      <c r="B119" t="s">
        <v>130</v>
      </c>
      <c r="C119" t="s">
        <v>129</v>
      </c>
      <c r="F119" t="s">
        <v>128</v>
      </c>
    </row>
    <row r="120" spans="1:32">
      <c r="A120">
        <f>Dinamika!$B$1</f>
        <v>2026</v>
      </c>
      <c r="B120">
        <v>2</v>
      </c>
      <c r="C120">
        <f>DAY(EOMONTH(DATE(A120,B120,1),0))</f>
        <v>28</v>
      </c>
      <c r="F120" t="str">
        <f>CHOOSE($B120,$B$1,$B$2,$B$3,$B$4,$B$5,$B$6,$B$7,$B$8,$B$9,$B$10,$B$11,$B$12)</f>
        <v>Vasaris</v>
      </c>
    </row>
    <row r="121" spans="1:32">
      <c r="A121" t="str">
        <f>CHOOSE($B120,$B$1,$B$2,$B$3,$B$4,$B$5,$B$6,$B$7,$B$8,$B$9,$B$10,$B$11,$B$12)</f>
        <v>Vasaris</v>
      </c>
      <c r="B121">
        <v>1</v>
      </c>
      <c r="C121">
        <f>B121+1</f>
        <v>2</v>
      </c>
      <c r="D121">
        <f t="shared" ref="D121:T121" si="2">C121+1</f>
        <v>3</v>
      </c>
      <c r="E121">
        <f t="shared" si="2"/>
        <v>4</v>
      </c>
      <c r="F121">
        <f t="shared" si="2"/>
        <v>5</v>
      </c>
      <c r="G121">
        <f t="shared" si="2"/>
        <v>6</v>
      </c>
      <c r="H121">
        <f t="shared" si="2"/>
        <v>7</v>
      </c>
      <c r="I121">
        <f t="shared" si="2"/>
        <v>8</v>
      </c>
      <c r="J121">
        <f t="shared" si="2"/>
        <v>9</v>
      </c>
      <c r="K121">
        <f t="shared" si="2"/>
        <v>10</v>
      </c>
      <c r="L121">
        <f t="shared" si="2"/>
        <v>11</v>
      </c>
      <c r="M121">
        <f t="shared" si="2"/>
        <v>12</v>
      </c>
      <c r="N121">
        <f t="shared" si="2"/>
        <v>13</v>
      </c>
      <c r="O121">
        <f t="shared" si="2"/>
        <v>14</v>
      </c>
      <c r="P121">
        <f t="shared" si="2"/>
        <v>15</v>
      </c>
      <c r="Q121">
        <f t="shared" si="2"/>
        <v>16</v>
      </c>
      <c r="R121">
        <f t="shared" si="2"/>
        <v>17</v>
      </c>
      <c r="S121">
        <f t="shared" si="2"/>
        <v>18</v>
      </c>
      <c r="T121">
        <f t="shared" si="2"/>
        <v>19</v>
      </c>
      <c r="U121">
        <f>T121+1</f>
        <v>20</v>
      </c>
      <c r="V121">
        <f t="shared" ref="V121:AC121" si="3">U121+1</f>
        <v>21</v>
      </c>
      <c r="W121">
        <f t="shared" si="3"/>
        <v>22</v>
      </c>
      <c r="X121">
        <f t="shared" si="3"/>
        <v>23</v>
      </c>
      <c r="Y121">
        <f t="shared" si="3"/>
        <v>24</v>
      </c>
      <c r="Z121">
        <f t="shared" si="3"/>
        <v>25</v>
      </c>
      <c r="AA121">
        <f t="shared" si="3"/>
        <v>26</v>
      </c>
      <c r="AB121">
        <f t="shared" si="3"/>
        <v>27</v>
      </c>
      <c r="AC121">
        <f t="shared" si="3"/>
        <v>28</v>
      </c>
      <c r="AD121">
        <f>IF(ABS(AC121)&lt;$C120,AC121+1,-AC121+1)</f>
        <v>-27</v>
      </c>
      <c r="AE121">
        <f>IF(ABS(AD121)&lt;$C120,AD121+1,-AD121+1)</f>
        <v>-26</v>
      </c>
      <c r="AF121">
        <f>IF(ABS(AE121)&lt;$C120,AE121+1,-AE121+1)</f>
        <v>-25</v>
      </c>
    </row>
    <row r="122" spans="1:32">
      <c r="A122" t="str">
        <f>A121</f>
        <v>Vasaris</v>
      </c>
      <c r="B122" t="str">
        <f t="shared" ref="B122:AF122" ca="1" si="4">IF(B121&gt;0,IF(OR(OFFSET($I$1,$B120-1,0)=B121,OFFSET($I$1,$B120-1,1)=B121,OFFSET($I$1,$B120-1,2)=B121),"SV",CHOOSE(WEEKDAY(DATE($A120,$B120,B121),2),"--","--","--","--","--","SS","SK")),"XX")</f>
        <v>SK</v>
      </c>
      <c r="C122" t="str">
        <f t="shared" ca="1" si="4"/>
        <v>--</v>
      </c>
      <c r="D122" t="str">
        <f t="shared" ca="1" si="4"/>
        <v>--</v>
      </c>
      <c r="E122" t="str">
        <f t="shared" ca="1" si="4"/>
        <v>--</v>
      </c>
      <c r="F122" t="str">
        <f t="shared" ca="1" si="4"/>
        <v>--</v>
      </c>
      <c r="G122" t="str">
        <f t="shared" ca="1" si="4"/>
        <v>--</v>
      </c>
      <c r="H122" t="str">
        <f t="shared" ca="1" si="4"/>
        <v>SS</v>
      </c>
      <c r="I122" t="str">
        <f t="shared" ca="1" si="4"/>
        <v>SK</v>
      </c>
      <c r="J122" t="str">
        <f t="shared" ca="1" si="4"/>
        <v>--</v>
      </c>
      <c r="K122" t="str">
        <f t="shared" ca="1" si="4"/>
        <v>--</v>
      </c>
      <c r="L122" t="str">
        <f t="shared" ca="1" si="4"/>
        <v>--</v>
      </c>
      <c r="M122" t="str">
        <f t="shared" ca="1" si="4"/>
        <v>--</v>
      </c>
      <c r="N122" t="str">
        <f t="shared" ca="1" si="4"/>
        <v>--</v>
      </c>
      <c r="O122" t="str">
        <f t="shared" ca="1" si="4"/>
        <v>SS</v>
      </c>
      <c r="P122" t="str">
        <f t="shared" ca="1" si="4"/>
        <v>SK</v>
      </c>
      <c r="Q122" t="str">
        <f t="shared" ca="1" si="4"/>
        <v>SV</v>
      </c>
      <c r="R122" t="str">
        <f t="shared" ca="1" si="4"/>
        <v>--</v>
      </c>
      <c r="S122" t="str">
        <f t="shared" ca="1" si="4"/>
        <v>--</v>
      </c>
      <c r="T122" t="str">
        <f t="shared" ca="1" si="4"/>
        <v>--</v>
      </c>
      <c r="U122" t="str">
        <f t="shared" ca="1" si="4"/>
        <v>--</v>
      </c>
      <c r="V122" t="str">
        <f t="shared" ca="1" si="4"/>
        <v>SS</v>
      </c>
      <c r="W122" t="str">
        <f t="shared" ca="1" si="4"/>
        <v>SK</v>
      </c>
      <c r="X122" t="str">
        <f t="shared" ca="1" si="4"/>
        <v>--</v>
      </c>
      <c r="Y122" t="str">
        <f t="shared" ca="1" si="4"/>
        <v>--</v>
      </c>
      <c r="Z122" t="str">
        <f t="shared" ca="1" si="4"/>
        <v>--</v>
      </c>
      <c r="AA122" t="str">
        <f t="shared" ca="1" si="4"/>
        <v>--</v>
      </c>
      <c r="AB122" t="str">
        <f t="shared" ca="1" si="4"/>
        <v>--</v>
      </c>
      <c r="AC122" t="str">
        <f t="shared" ca="1" si="4"/>
        <v>SS</v>
      </c>
      <c r="AD122" t="str">
        <f t="shared" ca="1" si="4"/>
        <v>XX</v>
      </c>
      <c r="AE122" t="str">
        <f t="shared" ca="1" si="4"/>
        <v>XX</v>
      </c>
      <c r="AF122" t="str">
        <f t="shared" ca="1" si="4"/>
        <v>XX</v>
      </c>
    </row>
    <row r="123" spans="1:32">
      <c r="A123" s="85" t="e">
        <f>ROW(#REF!)-1</f>
        <v>#REF!</v>
      </c>
      <c r="B123" s="85" t="e">
        <f>ROW(#REF!)-1</f>
        <v>#REF!</v>
      </c>
      <c r="C123" s="85" t="e">
        <f>ROW(#REF!)-1</f>
        <v>#REF!</v>
      </c>
      <c r="D123" s="85" t="e">
        <f>ROW(#REF!)-1</f>
        <v>#REF!</v>
      </c>
      <c r="E123" s="85" t="e">
        <f>ROW(#REF!)-1</f>
        <v>#REF!</v>
      </c>
      <c r="F123" s="85" t="e">
        <f>ROW(#REF!)-1</f>
        <v>#REF!</v>
      </c>
      <c r="G123" s="85" t="e">
        <f>ROW(#REF!)-1</f>
        <v>#REF!</v>
      </c>
      <c r="H123" s="85" t="e">
        <f>ROW(#REF!)-1</f>
        <v>#REF!</v>
      </c>
      <c r="I123" s="85" t="e">
        <f>ROW(#REF!)-1</f>
        <v>#REF!</v>
      </c>
      <c r="J123" s="85" t="e">
        <f>ROW(#REF!)-1</f>
        <v>#REF!</v>
      </c>
      <c r="K123" s="85" t="e">
        <f>ROW(#REF!)-1</f>
        <v>#REF!</v>
      </c>
      <c r="L123" s="85" t="e">
        <f>ROW(#REF!)-1</f>
        <v>#REF!</v>
      </c>
      <c r="M123" s="85" t="e">
        <f>ROW(#REF!)-1</f>
        <v>#REF!</v>
      </c>
      <c r="N123" s="85" t="e">
        <f>ROW(#REF!)-1</f>
        <v>#REF!</v>
      </c>
      <c r="O123" s="85" t="e">
        <f>ROW(#REF!)-1</f>
        <v>#REF!</v>
      </c>
      <c r="P123" s="85" t="e">
        <f>ROW(#REF!)-1</f>
        <v>#REF!</v>
      </c>
      <c r="Q123" s="85" t="e">
        <f>ROW(#REF!)-1</f>
        <v>#REF!</v>
      </c>
      <c r="R123" s="85" t="e">
        <f>ROW(#REF!)-1</f>
        <v>#REF!</v>
      </c>
      <c r="S123" s="85" t="e">
        <f>ROW(#REF!)-1</f>
        <v>#REF!</v>
      </c>
      <c r="T123" s="85" t="e">
        <f>ROW(#REF!)-1</f>
        <v>#REF!</v>
      </c>
      <c r="U123" s="85" t="e">
        <f>ROW(#REF!)-1</f>
        <v>#REF!</v>
      </c>
      <c r="V123" s="85" t="e">
        <f>ROW(#REF!)-1</f>
        <v>#REF!</v>
      </c>
      <c r="W123" s="85" t="e">
        <f>ROW(#REF!)-1</f>
        <v>#REF!</v>
      </c>
      <c r="X123" s="85" t="e">
        <f>ROW(#REF!)-1</f>
        <v>#REF!</v>
      </c>
      <c r="Y123" s="85" t="e">
        <f>ROW(#REF!)-1</f>
        <v>#REF!</v>
      </c>
      <c r="Z123" s="85" t="e">
        <f>ROW(#REF!)-1</f>
        <v>#REF!</v>
      </c>
      <c r="AA123" s="85" t="e">
        <f>ROW(#REF!)-1</f>
        <v>#REF!</v>
      </c>
      <c r="AB123" s="85" t="e">
        <f>ROW(#REF!)-1</f>
        <v>#REF!</v>
      </c>
      <c r="AC123" s="85" t="e">
        <f>ROW(#REF!)-1</f>
        <v>#REF!</v>
      </c>
      <c r="AD123" s="85" t="e">
        <f>ROW(#REF!)-1</f>
        <v>#REF!</v>
      </c>
      <c r="AE123" s="85" t="e">
        <f>ROW(#REF!)-1</f>
        <v>#REF!</v>
      </c>
      <c r="AF123" s="85" t="e">
        <f>ROW(#REF!)-1</f>
        <v>#REF!</v>
      </c>
    </row>
    <row r="129" spans="1:32">
      <c r="A129" t="s">
        <v>115</v>
      </c>
      <c r="B129" t="s">
        <v>130</v>
      </c>
      <c r="C129" t="s">
        <v>129</v>
      </c>
      <c r="F129" t="s">
        <v>128</v>
      </c>
    </row>
    <row r="130" spans="1:32">
      <c r="A130">
        <f>Dinamika!$B$1</f>
        <v>2026</v>
      </c>
      <c r="B130">
        <v>3</v>
      </c>
      <c r="C130">
        <f>DAY(EOMONTH(DATE(A130,B130,1),0))</f>
        <v>31</v>
      </c>
      <c r="F130" t="str">
        <f>CHOOSE($B130,$B$1,$B$2,$B$3,$B$4,$B$5,$B$6,$B$7,$B$8,$B$9,$B$10,$B$11,$B$12)</f>
        <v>Kovas</v>
      </c>
    </row>
    <row r="131" spans="1:32">
      <c r="A131" t="str">
        <f>CHOOSE($B130,$B$1,$B$2,$B$3,$B$4,$B$5,$B$6,$B$7,$B$8,$B$9,$B$10,$B$11,$B$12)</f>
        <v>Kovas</v>
      </c>
      <c r="B131">
        <v>1</v>
      </c>
      <c r="C131">
        <f>B131+1</f>
        <v>2</v>
      </c>
      <c r="D131">
        <f t="shared" ref="D131:T131" si="5">C131+1</f>
        <v>3</v>
      </c>
      <c r="E131">
        <f t="shared" si="5"/>
        <v>4</v>
      </c>
      <c r="F131">
        <f t="shared" si="5"/>
        <v>5</v>
      </c>
      <c r="G131">
        <f t="shared" si="5"/>
        <v>6</v>
      </c>
      <c r="H131">
        <f t="shared" si="5"/>
        <v>7</v>
      </c>
      <c r="I131">
        <f t="shared" si="5"/>
        <v>8</v>
      </c>
      <c r="J131">
        <f t="shared" si="5"/>
        <v>9</v>
      </c>
      <c r="K131">
        <f t="shared" si="5"/>
        <v>10</v>
      </c>
      <c r="L131">
        <f t="shared" si="5"/>
        <v>11</v>
      </c>
      <c r="M131">
        <f t="shared" si="5"/>
        <v>12</v>
      </c>
      <c r="N131">
        <f t="shared" si="5"/>
        <v>13</v>
      </c>
      <c r="O131">
        <f t="shared" si="5"/>
        <v>14</v>
      </c>
      <c r="P131">
        <f t="shared" si="5"/>
        <v>15</v>
      </c>
      <c r="Q131">
        <f t="shared" si="5"/>
        <v>16</v>
      </c>
      <c r="R131">
        <f t="shared" si="5"/>
        <v>17</v>
      </c>
      <c r="S131">
        <f t="shared" si="5"/>
        <v>18</v>
      </c>
      <c r="T131">
        <f t="shared" si="5"/>
        <v>19</v>
      </c>
      <c r="U131">
        <f>T131+1</f>
        <v>20</v>
      </c>
      <c r="V131">
        <f t="shared" ref="V131:AC131" si="6">U131+1</f>
        <v>21</v>
      </c>
      <c r="W131">
        <f t="shared" si="6"/>
        <v>22</v>
      </c>
      <c r="X131">
        <f t="shared" si="6"/>
        <v>23</v>
      </c>
      <c r="Y131">
        <f t="shared" si="6"/>
        <v>24</v>
      </c>
      <c r="Z131">
        <f t="shared" si="6"/>
        <v>25</v>
      </c>
      <c r="AA131">
        <f t="shared" si="6"/>
        <v>26</v>
      </c>
      <c r="AB131">
        <f t="shared" si="6"/>
        <v>27</v>
      </c>
      <c r="AC131">
        <f t="shared" si="6"/>
        <v>28</v>
      </c>
      <c r="AD131">
        <f>IF(ABS(AC131)&lt;$C130,AC131+1,-AC131+1)</f>
        <v>29</v>
      </c>
      <c r="AE131">
        <f>IF(ABS(AD131)&lt;$C130,AD131+1,-AD131+1)</f>
        <v>30</v>
      </c>
      <c r="AF131">
        <f>IF(ABS(AE131)&lt;$C130,AE131+1,-AE131+1)</f>
        <v>31</v>
      </c>
    </row>
    <row r="132" spans="1:32">
      <c r="A132" s="85"/>
      <c r="B132" t="str">
        <f t="shared" ref="B132:AF132" ca="1" si="7">IF(B131&gt;0,IF(OR(OFFSET($I$1,$B130-1,0)=B131,OFFSET($I$1,$B130-1,1)=B131,OFFSET($I$1,$B130-1,2)=B131),"SV",CHOOSE(WEEKDAY(DATE($A130,$B130,B131),2),"--","--","--","--","--","SS","SK")),"XX")</f>
        <v>SK</v>
      </c>
      <c r="C132" t="str">
        <f t="shared" ca="1" si="7"/>
        <v>--</v>
      </c>
      <c r="D132" t="str">
        <f t="shared" ca="1" si="7"/>
        <v>--</v>
      </c>
      <c r="E132" t="str">
        <f t="shared" ca="1" si="7"/>
        <v>--</v>
      </c>
      <c r="F132" t="str">
        <f t="shared" ca="1" si="7"/>
        <v>--</v>
      </c>
      <c r="G132" t="str">
        <f t="shared" ca="1" si="7"/>
        <v>--</v>
      </c>
      <c r="H132" t="str">
        <f t="shared" ca="1" si="7"/>
        <v>SS</v>
      </c>
      <c r="I132" t="str">
        <f t="shared" ca="1" si="7"/>
        <v>SK</v>
      </c>
      <c r="J132" t="str">
        <f t="shared" ca="1" si="7"/>
        <v>--</v>
      </c>
      <c r="K132" t="str">
        <f t="shared" ca="1" si="7"/>
        <v>--</v>
      </c>
      <c r="L132" t="str">
        <f t="shared" ca="1" si="7"/>
        <v>SV</v>
      </c>
      <c r="M132" t="str">
        <f t="shared" ca="1" si="7"/>
        <v>--</v>
      </c>
      <c r="N132" t="str">
        <f t="shared" ca="1" si="7"/>
        <v>--</v>
      </c>
      <c r="O132" t="str">
        <f t="shared" ca="1" si="7"/>
        <v>SS</v>
      </c>
      <c r="P132" t="str">
        <f t="shared" ca="1" si="7"/>
        <v>SK</v>
      </c>
      <c r="Q132" t="str">
        <f t="shared" ca="1" si="7"/>
        <v>--</v>
      </c>
      <c r="R132" t="str">
        <f t="shared" ca="1" si="7"/>
        <v>--</v>
      </c>
      <c r="S132" t="str">
        <f t="shared" ca="1" si="7"/>
        <v>--</v>
      </c>
      <c r="T132" t="str">
        <f t="shared" ca="1" si="7"/>
        <v>--</v>
      </c>
      <c r="U132" t="str">
        <f t="shared" ca="1" si="7"/>
        <v>--</v>
      </c>
      <c r="V132" t="str">
        <f t="shared" ca="1" si="7"/>
        <v>SS</v>
      </c>
      <c r="W132" t="str">
        <f t="shared" ca="1" si="7"/>
        <v>SK</v>
      </c>
      <c r="X132" t="str">
        <f t="shared" ca="1" si="7"/>
        <v>--</v>
      </c>
      <c r="Y132" t="str">
        <f t="shared" ca="1" si="7"/>
        <v>--</v>
      </c>
      <c r="Z132" t="str">
        <f t="shared" ca="1" si="7"/>
        <v>--</v>
      </c>
      <c r="AA132" t="str">
        <f t="shared" ca="1" si="7"/>
        <v>--</v>
      </c>
      <c r="AB132" t="str">
        <f t="shared" ca="1" si="7"/>
        <v>--</v>
      </c>
      <c r="AC132" t="str">
        <f t="shared" ca="1" si="7"/>
        <v>SS</v>
      </c>
      <c r="AD132" t="str">
        <f t="shared" ca="1" si="7"/>
        <v>SK</v>
      </c>
      <c r="AE132" t="str">
        <f t="shared" ca="1" si="7"/>
        <v>--</v>
      </c>
      <c r="AF132" t="str">
        <f t="shared" ca="1" si="7"/>
        <v>--</v>
      </c>
    </row>
    <row r="133" spans="1:32">
      <c r="A133" s="85" t="e">
        <f>ROW(#REF!)-1</f>
        <v>#REF!</v>
      </c>
      <c r="B133" s="85" t="e">
        <f>ROW(#REF!)-1</f>
        <v>#REF!</v>
      </c>
      <c r="C133" s="85" t="e">
        <f>ROW(#REF!)-1</f>
        <v>#REF!</v>
      </c>
      <c r="D133" s="85" t="e">
        <f>ROW(#REF!)-1</f>
        <v>#REF!</v>
      </c>
      <c r="E133" s="85" t="e">
        <f>ROW(#REF!)-1</f>
        <v>#REF!</v>
      </c>
      <c r="F133" s="85" t="e">
        <f>ROW(#REF!)-1</f>
        <v>#REF!</v>
      </c>
      <c r="G133" s="85" t="e">
        <f>ROW(#REF!)-1</f>
        <v>#REF!</v>
      </c>
      <c r="H133" s="85" t="e">
        <f>ROW(#REF!)-1</f>
        <v>#REF!</v>
      </c>
      <c r="I133" s="85" t="e">
        <f>ROW(#REF!)-1</f>
        <v>#REF!</v>
      </c>
      <c r="J133" s="85" t="e">
        <f>ROW(#REF!)-1</f>
        <v>#REF!</v>
      </c>
      <c r="K133" s="85" t="e">
        <f>ROW(#REF!)-1</f>
        <v>#REF!</v>
      </c>
      <c r="L133" s="85" t="e">
        <f>ROW(#REF!)-1</f>
        <v>#REF!</v>
      </c>
      <c r="M133" s="85" t="e">
        <f>ROW(#REF!)-1</f>
        <v>#REF!</v>
      </c>
      <c r="N133" s="85" t="e">
        <f>ROW(#REF!)-1</f>
        <v>#REF!</v>
      </c>
      <c r="O133" s="85" t="e">
        <f>ROW(#REF!)-1</f>
        <v>#REF!</v>
      </c>
      <c r="P133" s="85" t="e">
        <f>ROW(#REF!)-1</f>
        <v>#REF!</v>
      </c>
      <c r="Q133" s="85" t="e">
        <f>ROW(#REF!)-1</f>
        <v>#REF!</v>
      </c>
      <c r="R133" s="85" t="e">
        <f>ROW(#REF!)-1</f>
        <v>#REF!</v>
      </c>
      <c r="S133" s="85" t="e">
        <f>ROW(#REF!)-1</f>
        <v>#REF!</v>
      </c>
      <c r="T133" s="85" t="e">
        <f>ROW(#REF!)-1</f>
        <v>#REF!</v>
      </c>
      <c r="U133" s="85" t="e">
        <f>ROW(#REF!)-1</f>
        <v>#REF!</v>
      </c>
      <c r="V133" s="85" t="e">
        <f>ROW(#REF!)-1</f>
        <v>#REF!</v>
      </c>
      <c r="W133" s="85" t="e">
        <f>ROW(#REF!)-1</f>
        <v>#REF!</v>
      </c>
      <c r="X133" s="85" t="e">
        <f>ROW(#REF!)-1</f>
        <v>#REF!</v>
      </c>
      <c r="Y133" s="85" t="e">
        <f>ROW(#REF!)-1</f>
        <v>#REF!</v>
      </c>
      <c r="Z133" s="85" t="e">
        <f>ROW(#REF!)-1</f>
        <v>#REF!</v>
      </c>
      <c r="AA133" s="85" t="e">
        <f>ROW(#REF!)-1</f>
        <v>#REF!</v>
      </c>
      <c r="AB133" s="85" t="e">
        <f>ROW(#REF!)-1</f>
        <v>#REF!</v>
      </c>
      <c r="AC133" s="85" t="e">
        <f>ROW(#REF!)-1</f>
        <v>#REF!</v>
      </c>
      <c r="AD133" s="85" t="e">
        <f>ROW(#REF!)-1</f>
        <v>#REF!</v>
      </c>
      <c r="AE133" s="85" t="e">
        <f>ROW(#REF!)-1</f>
        <v>#REF!</v>
      </c>
      <c r="AF133" s="85" t="e">
        <f>ROW(#REF!)-1</f>
        <v>#REF!</v>
      </c>
    </row>
    <row r="139" spans="1:32">
      <c r="A139" t="s">
        <v>115</v>
      </c>
      <c r="B139" t="s">
        <v>130</v>
      </c>
      <c r="C139" t="s">
        <v>129</v>
      </c>
      <c r="F139" t="s">
        <v>128</v>
      </c>
    </row>
    <row r="140" spans="1:32">
      <c r="A140">
        <f>Dinamika!$B$1</f>
        <v>2026</v>
      </c>
      <c r="B140">
        <v>4</v>
      </c>
      <c r="C140">
        <f>DAY(EOMONTH(DATE(A140,B140,1),0))</f>
        <v>30</v>
      </c>
      <c r="F140" t="str">
        <f>CHOOSE($B140,$B$1,$B$2,$B$3,$B$4,$B$5,$B$6,$B$7,$B$8,$B$9,$B$10,$B$11,$B$12)</f>
        <v>Balandis</v>
      </c>
    </row>
    <row r="141" spans="1:32">
      <c r="A141" t="str">
        <f>CHOOSE($B140,$B$1,$B$2,$B$3,$B$4,$B$5,$B$6,$B$7,$B$8,$B$9,$B$10,$B$11,$B$12)</f>
        <v>Balandis</v>
      </c>
      <c r="B141">
        <v>1</v>
      </c>
      <c r="C141">
        <f>B141+1</f>
        <v>2</v>
      </c>
      <c r="D141">
        <f t="shared" ref="D141:T141" si="8">C141+1</f>
        <v>3</v>
      </c>
      <c r="E141">
        <f t="shared" si="8"/>
        <v>4</v>
      </c>
      <c r="F141">
        <f t="shared" si="8"/>
        <v>5</v>
      </c>
      <c r="G141">
        <f t="shared" si="8"/>
        <v>6</v>
      </c>
      <c r="H141">
        <f t="shared" si="8"/>
        <v>7</v>
      </c>
      <c r="I141">
        <f t="shared" si="8"/>
        <v>8</v>
      </c>
      <c r="J141">
        <f t="shared" si="8"/>
        <v>9</v>
      </c>
      <c r="K141">
        <f t="shared" si="8"/>
        <v>10</v>
      </c>
      <c r="L141">
        <f t="shared" si="8"/>
        <v>11</v>
      </c>
      <c r="M141">
        <f t="shared" si="8"/>
        <v>12</v>
      </c>
      <c r="N141">
        <f t="shared" si="8"/>
        <v>13</v>
      </c>
      <c r="O141">
        <f t="shared" si="8"/>
        <v>14</v>
      </c>
      <c r="P141">
        <f t="shared" si="8"/>
        <v>15</v>
      </c>
      <c r="Q141">
        <f t="shared" si="8"/>
        <v>16</v>
      </c>
      <c r="R141">
        <f t="shared" si="8"/>
        <v>17</v>
      </c>
      <c r="S141">
        <f t="shared" si="8"/>
        <v>18</v>
      </c>
      <c r="T141">
        <f t="shared" si="8"/>
        <v>19</v>
      </c>
      <c r="U141">
        <f>T141+1</f>
        <v>20</v>
      </c>
      <c r="V141">
        <f t="shared" ref="V141:AC141" si="9">U141+1</f>
        <v>21</v>
      </c>
      <c r="W141">
        <f t="shared" si="9"/>
        <v>22</v>
      </c>
      <c r="X141">
        <f t="shared" si="9"/>
        <v>23</v>
      </c>
      <c r="Y141">
        <f t="shared" si="9"/>
        <v>24</v>
      </c>
      <c r="Z141">
        <f t="shared" si="9"/>
        <v>25</v>
      </c>
      <c r="AA141">
        <f t="shared" si="9"/>
        <v>26</v>
      </c>
      <c r="AB141">
        <f t="shared" si="9"/>
        <v>27</v>
      </c>
      <c r="AC141">
        <f t="shared" si="9"/>
        <v>28</v>
      </c>
      <c r="AD141">
        <f>IF(ABS(AC141)&lt;$C140,AC141+1,-AC141+1)</f>
        <v>29</v>
      </c>
      <c r="AE141">
        <f>IF(ABS(AD141)&lt;$C140,AD141+1,-AD141+1)</f>
        <v>30</v>
      </c>
      <c r="AF141">
        <f>IF(ABS(AE141)&lt;$C140,AE141+1,-AE141+1)</f>
        <v>-29</v>
      </c>
    </row>
    <row r="142" spans="1:32">
      <c r="A142" s="85"/>
      <c r="B142" t="str">
        <f t="shared" ref="B142:AF142" ca="1" si="10">IF(B141&gt;0,IF(OR(OFFSET($I$1,$B140-1,0)=B141,OFFSET($I$1,$B140-1,1)=B141,OFFSET($I$1,$B140-1,2)=B141),"SV",CHOOSE(WEEKDAY(DATE($A140,$B140,B141),2),"--","--","--","--","--","SS","SK")),"XX")</f>
        <v>--</v>
      </c>
      <c r="C142" t="str">
        <f t="shared" ca="1" si="10"/>
        <v>--</v>
      </c>
      <c r="D142" t="str">
        <f t="shared" ca="1" si="10"/>
        <v>--</v>
      </c>
      <c r="E142" t="str">
        <f t="shared" ca="1" si="10"/>
        <v>SS</v>
      </c>
      <c r="F142" t="str">
        <f t="shared" ca="1" si="10"/>
        <v>SV</v>
      </c>
      <c r="G142" t="str">
        <f t="shared" ca="1" si="10"/>
        <v>--</v>
      </c>
      <c r="H142" t="str">
        <f t="shared" ca="1" si="10"/>
        <v>--</v>
      </c>
      <c r="I142" t="str">
        <f t="shared" ca="1" si="10"/>
        <v>--</v>
      </c>
      <c r="J142" t="str">
        <f t="shared" ca="1" si="10"/>
        <v>--</v>
      </c>
      <c r="K142" t="str">
        <f t="shared" ca="1" si="10"/>
        <v>--</v>
      </c>
      <c r="L142" t="str">
        <f t="shared" ca="1" si="10"/>
        <v>SS</v>
      </c>
      <c r="M142" t="str">
        <f t="shared" ca="1" si="10"/>
        <v>SK</v>
      </c>
      <c r="N142" t="str">
        <f t="shared" ca="1" si="10"/>
        <v>--</v>
      </c>
      <c r="O142" t="str">
        <f t="shared" ca="1" si="10"/>
        <v>--</v>
      </c>
      <c r="P142" t="str">
        <f t="shared" ca="1" si="10"/>
        <v>--</v>
      </c>
      <c r="Q142" t="str">
        <f t="shared" ca="1" si="10"/>
        <v>--</v>
      </c>
      <c r="R142" t="str">
        <f t="shared" ca="1" si="10"/>
        <v>--</v>
      </c>
      <c r="S142" t="str">
        <f t="shared" ca="1" si="10"/>
        <v>SS</v>
      </c>
      <c r="T142" t="str">
        <f t="shared" ca="1" si="10"/>
        <v>SK</v>
      </c>
      <c r="U142" t="str">
        <f t="shared" ca="1" si="10"/>
        <v>--</v>
      </c>
      <c r="V142" t="str">
        <f t="shared" ca="1" si="10"/>
        <v>--</v>
      </c>
      <c r="W142" t="str">
        <f t="shared" ca="1" si="10"/>
        <v>--</v>
      </c>
      <c r="X142" t="str">
        <f t="shared" ca="1" si="10"/>
        <v>--</v>
      </c>
      <c r="Y142" t="str">
        <f t="shared" ca="1" si="10"/>
        <v>--</v>
      </c>
      <c r="Z142" t="str">
        <f t="shared" ca="1" si="10"/>
        <v>SS</v>
      </c>
      <c r="AA142" t="str">
        <f t="shared" ca="1" si="10"/>
        <v>SK</v>
      </c>
      <c r="AB142" t="str">
        <f t="shared" ca="1" si="10"/>
        <v>--</v>
      </c>
      <c r="AC142" t="str">
        <f t="shared" ca="1" si="10"/>
        <v>--</v>
      </c>
      <c r="AD142" t="str">
        <f t="shared" ca="1" si="10"/>
        <v>--</v>
      </c>
      <c r="AE142" t="str">
        <f t="shared" ca="1" si="10"/>
        <v>--</v>
      </c>
      <c r="AF142" t="str">
        <f t="shared" ca="1" si="10"/>
        <v>XX</v>
      </c>
    </row>
    <row r="143" spans="1:32">
      <c r="A143" s="85" t="e">
        <f>ROW(#REF!)-1</f>
        <v>#REF!</v>
      </c>
      <c r="B143" s="85" t="e">
        <f>ROW(#REF!)-1</f>
        <v>#REF!</v>
      </c>
      <c r="C143" s="85" t="e">
        <f>ROW(#REF!)-1</f>
        <v>#REF!</v>
      </c>
      <c r="D143" s="85" t="e">
        <f>ROW(#REF!)-1</f>
        <v>#REF!</v>
      </c>
      <c r="E143" s="85" t="e">
        <f>ROW(#REF!)-1</f>
        <v>#REF!</v>
      </c>
      <c r="F143" s="85" t="e">
        <f>ROW(#REF!)-1</f>
        <v>#REF!</v>
      </c>
      <c r="G143" s="85" t="e">
        <f>ROW(#REF!)-1</f>
        <v>#REF!</v>
      </c>
      <c r="H143" s="85" t="e">
        <f>ROW(#REF!)-1</f>
        <v>#REF!</v>
      </c>
      <c r="I143" s="85" t="e">
        <f>ROW(#REF!)-1</f>
        <v>#REF!</v>
      </c>
      <c r="J143" s="85" t="e">
        <f>ROW(#REF!)-1</f>
        <v>#REF!</v>
      </c>
      <c r="K143" s="85" t="e">
        <f>ROW(#REF!)-1</f>
        <v>#REF!</v>
      </c>
      <c r="L143" s="85" t="e">
        <f>ROW(#REF!)-1</f>
        <v>#REF!</v>
      </c>
      <c r="M143" s="85" t="e">
        <f>ROW(#REF!)-1</f>
        <v>#REF!</v>
      </c>
      <c r="N143" s="85" t="e">
        <f>ROW(#REF!)-1</f>
        <v>#REF!</v>
      </c>
      <c r="O143" s="85" t="e">
        <f>ROW(#REF!)-1</f>
        <v>#REF!</v>
      </c>
      <c r="P143" s="85" t="e">
        <f>ROW(#REF!)-1</f>
        <v>#REF!</v>
      </c>
      <c r="Q143" s="85" t="e">
        <f>ROW(#REF!)-1</f>
        <v>#REF!</v>
      </c>
      <c r="R143" s="85" t="e">
        <f>ROW(#REF!)-1</f>
        <v>#REF!</v>
      </c>
      <c r="S143" s="85" t="e">
        <f>ROW(#REF!)-1</f>
        <v>#REF!</v>
      </c>
      <c r="T143" s="85" t="e">
        <f>ROW(#REF!)-1</f>
        <v>#REF!</v>
      </c>
      <c r="U143" s="85" t="e">
        <f>ROW(#REF!)-1</f>
        <v>#REF!</v>
      </c>
      <c r="V143" s="85" t="e">
        <f>ROW(#REF!)-1</f>
        <v>#REF!</v>
      </c>
      <c r="W143" s="85" t="e">
        <f>ROW(#REF!)-1</f>
        <v>#REF!</v>
      </c>
      <c r="X143" s="85" t="e">
        <f>ROW(#REF!)-1</f>
        <v>#REF!</v>
      </c>
      <c r="Y143" s="85" t="e">
        <f>ROW(#REF!)-1</f>
        <v>#REF!</v>
      </c>
      <c r="Z143" s="85" t="e">
        <f>ROW(#REF!)-1</f>
        <v>#REF!</v>
      </c>
      <c r="AA143" s="85" t="e">
        <f>ROW(#REF!)-1</f>
        <v>#REF!</v>
      </c>
      <c r="AB143" s="85" t="e">
        <f>ROW(#REF!)-1</f>
        <v>#REF!</v>
      </c>
      <c r="AC143" s="85" t="e">
        <f>ROW(#REF!)-1</f>
        <v>#REF!</v>
      </c>
      <c r="AD143" s="85" t="e">
        <f>ROW(#REF!)-1</f>
        <v>#REF!</v>
      </c>
      <c r="AE143" s="85" t="e">
        <f>ROW(#REF!)-1</f>
        <v>#REF!</v>
      </c>
      <c r="AF143" s="85" t="e">
        <f>ROW(#REF!)-1</f>
        <v>#REF!</v>
      </c>
    </row>
    <row r="149" spans="1:32">
      <c r="A149" t="s">
        <v>115</v>
      </c>
      <c r="B149" t="s">
        <v>130</v>
      </c>
      <c r="C149" t="s">
        <v>129</v>
      </c>
      <c r="F149" t="s">
        <v>128</v>
      </c>
    </row>
    <row r="150" spans="1:32">
      <c r="A150">
        <f>Dinamika!$B$1</f>
        <v>2026</v>
      </c>
      <c r="B150">
        <v>5</v>
      </c>
      <c r="C150">
        <f>DAY(EOMONTH(DATE(A150,B150,1),0))</f>
        <v>31</v>
      </c>
      <c r="F150" t="str">
        <f>CHOOSE($B150,$B$1,$B$2,$B$3,$B$4,$B$5,$B$6,$B$7,$B$8,$B$9,$B$10,$B$11,$B$12)</f>
        <v>Gegužė</v>
      </c>
    </row>
    <row r="151" spans="1:32">
      <c r="A151" t="str">
        <f>CHOOSE($B150,$B$1,$B$2,$B$3,$B$4,$B$5,$B$6,$B$7,$B$8,$B$9,$B$10,$B$11,$B$12)</f>
        <v>Gegužė</v>
      </c>
      <c r="B151">
        <v>1</v>
      </c>
      <c r="C151">
        <f>B151+1</f>
        <v>2</v>
      </c>
      <c r="D151">
        <f t="shared" ref="D151:T151" si="11">C151+1</f>
        <v>3</v>
      </c>
      <c r="E151">
        <f t="shared" si="11"/>
        <v>4</v>
      </c>
      <c r="F151">
        <f t="shared" si="11"/>
        <v>5</v>
      </c>
      <c r="G151">
        <f t="shared" si="11"/>
        <v>6</v>
      </c>
      <c r="H151">
        <f t="shared" si="11"/>
        <v>7</v>
      </c>
      <c r="I151">
        <f t="shared" si="11"/>
        <v>8</v>
      </c>
      <c r="J151">
        <f t="shared" si="11"/>
        <v>9</v>
      </c>
      <c r="K151">
        <f t="shared" si="11"/>
        <v>10</v>
      </c>
      <c r="L151">
        <f t="shared" si="11"/>
        <v>11</v>
      </c>
      <c r="M151">
        <f t="shared" si="11"/>
        <v>12</v>
      </c>
      <c r="N151">
        <f t="shared" si="11"/>
        <v>13</v>
      </c>
      <c r="O151">
        <f t="shared" si="11"/>
        <v>14</v>
      </c>
      <c r="P151">
        <f t="shared" si="11"/>
        <v>15</v>
      </c>
      <c r="Q151">
        <f t="shared" si="11"/>
        <v>16</v>
      </c>
      <c r="R151">
        <f t="shared" si="11"/>
        <v>17</v>
      </c>
      <c r="S151">
        <f t="shared" si="11"/>
        <v>18</v>
      </c>
      <c r="T151">
        <f t="shared" si="11"/>
        <v>19</v>
      </c>
      <c r="U151">
        <f>T151+1</f>
        <v>20</v>
      </c>
      <c r="V151">
        <f t="shared" ref="V151:AC151" si="12">U151+1</f>
        <v>21</v>
      </c>
      <c r="W151">
        <f t="shared" si="12"/>
        <v>22</v>
      </c>
      <c r="X151">
        <f t="shared" si="12"/>
        <v>23</v>
      </c>
      <c r="Y151">
        <f t="shared" si="12"/>
        <v>24</v>
      </c>
      <c r="Z151">
        <f t="shared" si="12"/>
        <v>25</v>
      </c>
      <c r="AA151">
        <f t="shared" si="12"/>
        <v>26</v>
      </c>
      <c r="AB151">
        <f t="shared" si="12"/>
        <v>27</v>
      </c>
      <c r="AC151">
        <f t="shared" si="12"/>
        <v>28</v>
      </c>
      <c r="AD151">
        <f>IF(ABS(AC151)&lt;$C150,AC151+1,-AC151+1)</f>
        <v>29</v>
      </c>
      <c r="AE151">
        <f>IF(ABS(AD151)&lt;$C150,AD151+1,-AD151+1)</f>
        <v>30</v>
      </c>
      <c r="AF151">
        <f>IF(ABS(AE151)&lt;$C150,AE151+1,-AE151+1)</f>
        <v>31</v>
      </c>
    </row>
    <row r="152" spans="1:32">
      <c r="A152" t="str">
        <f>A151</f>
        <v>Gegužė</v>
      </c>
      <c r="B152" t="str">
        <f t="shared" ref="B152:AF152" ca="1" si="13">IF(B151&gt;0,IF(OR(OFFSET($I$1,$B150-1,0)=B151,OFFSET($I$1,$B150-1,1)=B151,OFFSET($I$1,$B150-1,2)=B151),"SV",CHOOSE(WEEKDAY(DATE($A150,$B150,B151),2),"--","--","--","--","--","SS","SK")),"XX")</f>
        <v>SV</v>
      </c>
      <c r="C152" t="str">
        <f t="shared" ca="1" si="13"/>
        <v>SS</v>
      </c>
      <c r="D152" t="str">
        <f t="shared" ca="1" si="13"/>
        <v>SK</v>
      </c>
      <c r="E152" t="str">
        <f t="shared" ca="1" si="13"/>
        <v>--</v>
      </c>
      <c r="F152" t="str">
        <f t="shared" ca="1" si="13"/>
        <v>--</v>
      </c>
      <c r="G152" t="str">
        <f t="shared" ca="1" si="13"/>
        <v>--</v>
      </c>
      <c r="H152" t="str">
        <f t="shared" ca="1" si="13"/>
        <v>--</v>
      </c>
      <c r="I152" t="str">
        <f t="shared" ca="1" si="13"/>
        <v>--</v>
      </c>
      <c r="J152" t="str">
        <f t="shared" ca="1" si="13"/>
        <v>SS</v>
      </c>
      <c r="K152" t="str">
        <f t="shared" ca="1" si="13"/>
        <v>SK</v>
      </c>
      <c r="L152" t="str">
        <f t="shared" ca="1" si="13"/>
        <v>--</v>
      </c>
      <c r="M152" t="str">
        <f t="shared" ca="1" si="13"/>
        <v>--</v>
      </c>
      <c r="N152" t="str">
        <f t="shared" ca="1" si="13"/>
        <v>--</v>
      </c>
      <c r="O152" t="str">
        <f t="shared" ca="1" si="13"/>
        <v>--</v>
      </c>
      <c r="P152" t="str">
        <f t="shared" ca="1" si="13"/>
        <v>--</v>
      </c>
      <c r="Q152" t="str">
        <f t="shared" ca="1" si="13"/>
        <v>SS</v>
      </c>
      <c r="R152" t="str">
        <f t="shared" ca="1" si="13"/>
        <v>SK</v>
      </c>
      <c r="S152" t="str">
        <f t="shared" ca="1" si="13"/>
        <v>--</v>
      </c>
      <c r="T152" t="str">
        <f t="shared" ca="1" si="13"/>
        <v>--</v>
      </c>
      <c r="U152" t="str">
        <f t="shared" ca="1" si="13"/>
        <v>--</v>
      </c>
      <c r="V152" t="str">
        <f t="shared" ca="1" si="13"/>
        <v>--</v>
      </c>
      <c r="W152" t="str">
        <f t="shared" ca="1" si="13"/>
        <v>--</v>
      </c>
      <c r="X152" t="str">
        <f t="shared" ca="1" si="13"/>
        <v>SS</v>
      </c>
      <c r="Y152" t="str">
        <f t="shared" ca="1" si="13"/>
        <v>SK</v>
      </c>
      <c r="Z152" t="str">
        <f t="shared" ca="1" si="13"/>
        <v>--</v>
      </c>
      <c r="AA152" t="str">
        <f t="shared" ca="1" si="13"/>
        <v>--</v>
      </c>
      <c r="AB152" t="str">
        <f t="shared" ca="1" si="13"/>
        <v>--</v>
      </c>
      <c r="AC152" t="str">
        <f t="shared" ca="1" si="13"/>
        <v>--</v>
      </c>
      <c r="AD152" t="str">
        <f t="shared" ca="1" si="13"/>
        <v>--</v>
      </c>
      <c r="AE152" t="str">
        <f t="shared" ca="1" si="13"/>
        <v>SS</v>
      </c>
      <c r="AF152" t="str">
        <f t="shared" ca="1" si="13"/>
        <v>SK</v>
      </c>
    </row>
    <row r="153" spans="1:32">
      <c r="A153" s="85" t="e">
        <f>ROW(#REF!)-1</f>
        <v>#REF!</v>
      </c>
      <c r="B153" s="85" t="e">
        <f>ROW(#REF!)-1</f>
        <v>#REF!</v>
      </c>
      <c r="C153" s="85" t="e">
        <f>ROW(#REF!)-1</f>
        <v>#REF!</v>
      </c>
      <c r="D153" s="85" t="e">
        <f>ROW(#REF!)-1</f>
        <v>#REF!</v>
      </c>
      <c r="E153" s="85" t="e">
        <f>ROW(#REF!)-1</f>
        <v>#REF!</v>
      </c>
      <c r="F153" s="85" t="e">
        <f>ROW(#REF!)-1</f>
        <v>#REF!</v>
      </c>
      <c r="G153" s="85" t="e">
        <f>ROW(#REF!)-1</f>
        <v>#REF!</v>
      </c>
      <c r="H153" s="85" t="e">
        <f>ROW(#REF!)-1</f>
        <v>#REF!</v>
      </c>
      <c r="I153" s="85" t="e">
        <f>ROW(#REF!)-1</f>
        <v>#REF!</v>
      </c>
      <c r="J153" s="85" t="e">
        <f>ROW(#REF!)-1</f>
        <v>#REF!</v>
      </c>
      <c r="K153" s="85" t="e">
        <f>ROW(#REF!)-1</f>
        <v>#REF!</v>
      </c>
      <c r="L153" s="85" t="e">
        <f>ROW(#REF!)-1</f>
        <v>#REF!</v>
      </c>
      <c r="M153" s="85" t="e">
        <f>ROW(#REF!)-1</f>
        <v>#REF!</v>
      </c>
      <c r="N153" s="85" t="e">
        <f>ROW(#REF!)-1</f>
        <v>#REF!</v>
      </c>
      <c r="O153" s="85" t="e">
        <f>ROW(#REF!)-1</f>
        <v>#REF!</v>
      </c>
      <c r="P153" s="85" t="e">
        <f>ROW(#REF!)-1</f>
        <v>#REF!</v>
      </c>
      <c r="Q153" s="85" t="e">
        <f>ROW(#REF!)-1</f>
        <v>#REF!</v>
      </c>
      <c r="R153" s="85" t="e">
        <f>ROW(#REF!)-1</f>
        <v>#REF!</v>
      </c>
      <c r="S153" s="85" t="e">
        <f>ROW(#REF!)-1</f>
        <v>#REF!</v>
      </c>
      <c r="T153" s="85" t="e">
        <f>ROW(#REF!)-1</f>
        <v>#REF!</v>
      </c>
      <c r="U153" s="85" t="e">
        <f>ROW(#REF!)-1</f>
        <v>#REF!</v>
      </c>
      <c r="V153" s="85" t="e">
        <f>ROW(#REF!)-1</f>
        <v>#REF!</v>
      </c>
      <c r="W153" s="85" t="e">
        <f>ROW(#REF!)-1</f>
        <v>#REF!</v>
      </c>
      <c r="X153" s="85" t="e">
        <f>ROW(#REF!)-1</f>
        <v>#REF!</v>
      </c>
      <c r="Y153" s="85" t="e">
        <f>ROW(#REF!)-1</f>
        <v>#REF!</v>
      </c>
      <c r="Z153" s="85" t="e">
        <f>ROW(#REF!)-1</f>
        <v>#REF!</v>
      </c>
      <c r="AA153" s="85" t="e">
        <f>ROW(#REF!)-1</f>
        <v>#REF!</v>
      </c>
      <c r="AB153" s="85" t="e">
        <f>ROW(#REF!)-1</f>
        <v>#REF!</v>
      </c>
      <c r="AC153" s="85" t="e">
        <f>ROW(#REF!)-1</f>
        <v>#REF!</v>
      </c>
      <c r="AD153" s="85" t="e">
        <f>ROW(#REF!)-1</f>
        <v>#REF!</v>
      </c>
      <c r="AE153" s="85" t="e">
        <f>ROW(#REF!)-1</f>
        <v>#REF!</v>
      </c>
      <c r="AF153" s="85" t="e">
        <f>ROW(#REF!)-1</f>
        <v>#REF!</v>
      </c>
    </row>
    <row r="159" spans="1:32">
      <c r="A159" t="s">
        <v>115</v>
      </c>
      <c r="B159" t="s">
        <v>130</v>
      </c>
      <c r="C159" t="s">
        <v>129</v>
      </c>
      <c r="F159" t="s">
        <v>128</v>
      </c>
    </row>
    <row r="160" spans="1:32">
      <c r="A160">
        <f>Dinamika!$B$1</f>
        <v>2026</v>
      </c>
      <c r="B160">
        <v>6</v>
      </c>
      <c r="C160">
        <f>DAY(EOMONTH(DATE(A160,B160,1),0))</f>
        <v>30</v>
      </c>
      <c r="F160" t="str">
        <f>CHOOSE($B160,$B$1,$B$2,$B$3,$B$4,$B$5,$B$6,$B$7,$B$8,$B$9,$B$10,$B$11,$B$12)</f>
        <v>Birželis</v>
      </c>
    </row>
    <row r="161" spans="1:32">
      <c r="A161" t="str">
        <f>CHOOSE($B160,$B$1,$B$2,$B$3,$B$4,$B$5,$B$6,$B$7,$B$8,$B$9,$B$10,$B$11,$B$12)</f>
        <v>Birželis</v>
      </c>
      <c r="B161">
        <v>1</v>
      </c>
      <c r="C161">
        <f>B161+1</f>
        <v>2</v>
      </c>
      <c r="D161">
        <f t="shared" ref="D161:T161" si="14">C161+1</f>
        <v>3</v>
      </c>
      <c r="E161">
        <f t="shared" si="14"/>
        <v>4</v>
      </c>
      <c r="F161">
        <f t="shared" si="14"/>
        <v>5</v>
      </c>
      <c r="G161">
        <f t="shared" si="14"/>
        <v>6</v>
      </c>
      <c r="H161">
        <f t="shared" si="14"/>
        <v>7</v>
      </c>
      <c r="I161">
        <f t="shared" si="14"/>
        <v>8</v>
      </c>
      <c r="J161">
        <f t="shared" si="14"/>
        <v>9</v>
      </c>
      <c r="K161">
        <f t="shared" si="14"/>
        <v>10</v>
      </c>
      <c r="L161">
        <f t="shared" si="14"/>
        <v>11</v>
      </c>
      <c r="M161">
        <f t="shared" si="14"/>
        <v>12</v>
      </c>
      <c r="N161">
        <f t="shared" si="14"/>
        <v>13</v>
      </c>
      <c r="O161">
        <f t="shared" si="14"/>
        <v>14</v>
      </c>
      <c r="P161">
        <f t="shared" si="14"/>
        <v>15</v>
      </c>
      <c r="Q161">
        <f t="shared" si="14"/>
        <v>16</v>
      </c>
      <c r="R161">
        <f t="shared" si="14"/>
        <v>17</v>
      </c>
      <c r="S161">
        <f t="shared" si="14"/>
        <v>18</v>
      </c>
      <c r="T161">
        <f t="shared" si="14"/>
        <v>19</v>
      </c>
      <c r="U161">
        <f>T161+1</f>
        <v>20</v>
      </c>
      <c r="V161">
        <f t="shared" ref="V161:AC161" si="15">U161+1</f>
        <v>21</v>
      </c>
      <c r="W161">
        <f t="shared" si="15"/>
        <v>22</v>
      </c>
      <c r="X161">
        <f t="shared" si="15"/>
        <v>23</v>
      </c>
      <c r="Y161">
        <f t="shared" si="15"/>
        <v>24</v>
      </c>
      <c r="Z161">
        <f t="shared" si="15"/>
        <v>25</v>
      </c>
      <c r="AA161">
        <f t="shared" si="15"/>
        <v>26</v>
      </c>
      <c r="AB161">
        <f t="shared" si="15"/>
        <v>27</v>
      </c>
      <c r="AC161">
        <f t="shared" si="15"/>
        <v>28</v>
      </c>
      <c r="AD161">
        <f>IF(ABS(AC161)&lt;$C160,AC161+1,-AC161+1)</f>
        <v>29</v>
      </c>
      <c r="AE161">
        <f>IF(ABS(AD161)&lt;$C160,AD161+1,-AD161+1)</f>
        <v>30</v>
      </c>
      <c r="AF161">
        <f>IF(ABS(AE161)&lt;$C160,AE161+1,-AE161+1)</f>
        <v>-29</v>
      </c>
    </row>
    <row r="162" spans="1:32">
      <c r="A162" t="str">
        <f>A161</f>
        <v>Birželis</v>
      </c>
      <c r="B162" t="str">
        <f t="shared" ref="B162:AF162" ca="1" si="16">IF(B161&gt;0,IF(OR(OFFSET($I$1,$B160-1,0)=B161,OFFSET($I$1,$B160-1,1)=B161,OFFSET($I$1,$B160-1,2)=B161),"SV",CHOOSE(WEEKDAY(DATE($A160,$B160,B161),2),"--","--","--","--","--","SS","SK")),"XX")</f>
        <v>--</v>
      </c>
      <c r="C162" t="str">
        <f t="shared" ca="1" si="16"/>
        <v>--</v>
      </c>
      <c r="D162" t="str">
        <f t="shared" ca="1" si="16"/>
        <v>--</v>
      </c>
      <c r="E162" t="str">
        <f t="shared" ca="1" si="16"/>
        <v>--</v>
      </c>
      <c r="F162" t="str">
        <f t="shared" ca="1" si="16"/>
        <v>--</v>
      </c>
      <c r="G162" t="str">
        <f t="shared" ca="1" si="16"/>
        <v>SS</v>
      </c>
      <c r="H162" t="str">
        <f t="shared" ca="1" si="16"/>
        <v>SK</v>
      </c>
      <c r="I162" t="str">
        <f t="shared" ca="1" si="16"/>
        <v>--</v>
      </c>
      <c r="J162" t="str">
        <f t="shared" ca="1" si="16"/>
        <v>--</v>
      </c>
      <c r="K162" t="str">
        <f t="shared" ca="1" si="16"/>
        <v>--</v>
      </c>
      <c r="L162" t="str">
        <f t="shared" ca="1" si="16"/>
        <v>--</v>
      </c>
      <c r="M162" t="str">
        <f t="shared" ca="1" si="16"/>
        <v>--</v>
      </c>
      <c r="N162" t="str">
        <f t="shared" ca="1" si="16"/>
        <v>SS</v>
      </c>
      <c r="O162" t="str">
        <f t="shared" ca="1" si="16"/>
        <v>SK</v>
      </c>
      <c r="P162" t="str">
        <f t="shared" ca="1" si="16"/>
        <v>--</v>
      </c>
      <c r="Q162" t="str">
        <f t="shared" ca="1" si="16"/>
        <v>--</v>
      </c>
      <c r="R162" t="str">
        <f t="shared" ca="1" si="16"/>
        <v>--</v>
      </c>
      <c r="S162" t="str">
        <f t="shared" ca="1" si="16"/>
        <v>--</v>
      </c>
      <c r="T162" t="str">
        <f t="shared" ca="1" si="16"/>
        <v>--</v>
      </c>
      <c r="U162" t="str">
        <f t="shared" ca="1" si="16"/>
        <v>SS</v>
      </c>
      <c r="V162" t="str">
        <f t="shared" ca="1" si="16"/>
        <v>SK</v>
      </c>
      <c r="W162" t="str">
        <f t="shared" ca="1" si="16"/>
        <v>--</v>
      </c>
      <c r="X162" t="str">
        <f t="shared" ca="1" si="16"/>
        <v>--</v>
      </c>
      <c r="Y162" t="str">
        <f t="shared" ca="1" si="16"/>
        <v>--</v>
      </c>
      <c r="Z162" t="str">
        <f t="shared" ca="1" si="16"/>
        <v>--</v>
      </c>
      <c r="AA162" t="str">
        <f t="shared" ca="1" si="16"/>
        <v>SV</v>
      </c>
      <c r="AB162" t="str">
        <f t="shared" ca="1" si="16"/>
        <v>SS</v>
      </c>
      <c r="AC162" t="str">
        <f t="shared" ca="1" si="16"/>
        <v>SK</v>
      </c>
      <c r="AD162" t="str">
        <f t="shared" ca="1" si="16"/>
        <v>--</v>
      </c>
      <c r="AE162" t="str">
        <f t="shared" ca="1" si="16"/>
        <v>--</v>
      </c>
      <c r="AF162" t="str">
        <f t="shared" ca="1" si="16"/>
        <v>XX</v>
      </c>
    </row>
    <row r="163" spans="1:32">
      <c r="A163" s="85" t="e">
        <f>ROW(#REF!)-1</f>
        <v>#REF!</v>
      </c>
      <c r="B163" t="e">
        <f>ROW(#REF!)-1</f>
        <v>#REF!</v>
      </c>
      <c r="C163" s="85" t="e">
        <f>ROW(#REF!)-1</f>
        <v>#REF!</v>
      </c>
      <c r="D163" s="85" t="e">
        <f>ROW(#REF!)-1</f>
        <v>#REF!</v>
      </c>
      <c r="E163" s="85" t="e">
        <f>ROW(#REF!)-1</f>
        <v>#REF!</v>
      </c>
      <c r="F163" s="85" t="e">
        <f>ROW(#REF!)-1</f>
        <v>#REF!</v>
      </c>
      <c r="G163" s="85" t="e">
        <f>ROW(#REF!)-1</f>
        <v>#REF!</v>
      </c>
      <c r="H163" s="85" t="e">
        <f>ROW(#REF!)-1</f>
        <v>#REF!</v>
      </c>
      <c r="I163" s="85" t="e">
        <f>ROW(#REF!)-1</f>
        <v>#REF!</v>
      </c>
      <c r="J163" s="85" t="e">
        <f>ROW(#REF!)-1</f>
        <v>#REF!</v>
      </c>
      <c r="K163" s="85" t="e">
        <f>ROW(#REF!)-1</f>
        <v>#REF!</v>
      </c>
      <c r="L163" s="85" t="e">
        <f>ROW(#REF!)-1</f>
        <v>#REF!</v>
      </c>
      <c r="M163" s="85" t="e">
        <f>ROW(#REF!)-1</f>
        <v>#REF!</v>
      </c>
      <c r="N163" s="85" t="e">
        <f>ROW(#REF!)-1</f>
        <v>#REF!</v>
      </c>
      <c r="O163" s="85" t="e">
        <f>ROW(#REF!)-1</f>
        <v>#REF!</v>
      </c>
      <c r="P163" s="85" t="e">
        <f>ROW(#REF!)-1</f>
        <v>#REF!</v>
      </c>
      <c r="Q163" s="85" t="e">
        <f>ROW(#REF!)-1</f>
        <v>#REF!</v>
      </c>
      <c r="R163" s="85" t="e">
        <f>ROW(#REF!)-1</f>
        <v>#REF!</v>
      </c>
      <c r="S163" s="85" t="e">
        <f>ROW(#REF!)-1</f>
        <v>#REF!</v>
      </c>
      <c r="T163" s="85" t="e">
        <f>ROW(#REF!)-1</f>
        <v>#REF!</v>
      </c>
      <c r="U163" s="85" t="e">
        <f>ROW(#REF!)-1</f>
        <v>#REF!</v>
      </c>
      <c r="V163" s="85" t="e">
        <f>ROW(#REF!)-1</f>
        <v>#REF!</v>
      </c>
      <c r="W163" s="85" t="e">
        <f>ROW(#REF!)-1</f>
        <v>#REF!</v>
      </c>
      <c r="X163" s="85" t="e">
        <f>ROW(#REF!)-1</f>
        <v>#REF!</v>
      </c>
      <c r="Y163" s="85" t="e">
        <f>ROW(#REF!)-1</f>
        <v>#REF!</v>
      </c>
      <c r="Z163" s="85" t="e">
        <f>ROW(#REF!)-1</f>
        <v>#REF!</v>
      </c>
      <c r="AA163" s="85" t="e">
        <f>ROW(#REF!)-1</f>
        <v>#REF!</v>
      </c>
      <c r="AB163" s="85" t="e">
        <f>ROW(#REF!)-1</f>
        <v>#REF!</v>
      </c>
      <c r="AC163" s="85" t="e">
        <f>ROW(#REF!)-1</f>
        <v>#REF!</v>
      </c>
      <c r="AD163" s="85" t="e">
        <f>ROW(#REF!)-1</f>
        <v>#REF!</v>
      </c>
      <c r="AE163" s="85" t="e">
        <f>ROW(#REF!)-1</f>
        <v>#REF!</v>
      </c>
      <c r="AF163" s="85" t="e">
        <f>ROW(#REF!)-1</f>
        <v>#REF!</v>
      </c>
    </row>
    <row r="169" spans="1:32">
      <c r="A169" t="s">
        <v>115</v>
      </c>
      <c r="B169" t="s">
        <v>130</v>
      </c>
      <c r="C169" t="s">
        <v>129</v>
      </c>
      <c r="F169" t="s">
        <v>128</v>
      </c>
    </row>
    <row r="170" spans="1:32">
      <c r="A170">
        <f>Dinamika!$B$1</f>
        <v>2026</v>
      </c>
      <c r="B170">
        <v>7</v>
      </c>
      <c r="C170">
        <f>DAY(EOMONTH(DATE(A170,B170,1),0))</f>
        <v>31</v>
      </c>
      <c r="F170" t="str">
        <f>CHOOSE($B170,$B$1,$B$2,$B$3,$B$4,$B$5,$B$6,$B$7,$B$8,$B$9,$B$10,$B$11,$B$12)</f>
        <v>Liepa</v>
      </c>
    </row>
    <row r="171" spans="1:32">
      <c r="A171" t="str">
        <f>CHOOSE($B170,$B$1,$B$2,$B$3,$B$4,$B$5,$B$6,$B$7,$B$8,$B$9,$B$10,$B$11,$B$12)</f>
        <v>Liepa</v>
      </c>
      <c r="B171">
        <v>1</v>
      </c>
      <c r="C171">
        <f>B171+1</f>
        <v>2</v>
      </c>
      <c r="D171">
        <f t="shared" ref="D171:T171" si="17">C171+1</f>
        <v>3</v>
      </c>
      <c r="E171">
        <f t="shared" si="17"/>
        <v>4</v>
      </c>
      <c r="F171">
        <f t="shared" si="17"/>
        <v>5</v>
      </c>
      <c r="G171">
        <f t="shared" si="17"/>
        <v>6</v>
      </c>
      <c r="H171">
        <f t="shared" si="17"/>
        <v>7</v>
      </c>
      <c r="I171">
        <f t="shared" si="17"/>
        <v>8</v>
      </c>
      <c r="J171">
        <f t="shared" si="17"/>
        <v>9</v>
      </c>
      <c r="K171">
        <f t="shared" si="17"/>
        <v>10</v>
      </c>
      <c r="L171">
        <f t="shared" si="17"/>
        <v>11</v>
      </c>
      <c r="M171">
        <f t="shared" si="17"/>
        <v>12</v>
      </c>
      <c r="N171">
        <f t="shared" si="17"/>
        <v>13</v>
      </c>
      <c r="O171">
        <f t="shared" si="17"/>
        <v>14</v>
      </c>
      <c r="P171">
        <f t="shared" si="17"/>
        <v>15</v>
      </c>
      <c r="Q171">
        <f t="shared" si="17"/>
        <v>16</v>
      </c>
      <c r="R171">
        <f t="shared" si="17"/>
        <v>17</v>
      </c>
      <c r="S171">
        <f t="shared" si="17"/>
        <v>18</v>
      </c>
      <c r="T171">
        <f t="shared" si="17"/>
        <v>19</v>
      </c>
      <c r="U171">
        <f>T171+1</f>
        <v>20</v>
      </c>
      <c r="V171">
        <f t="shared" ref="V171:AC171" si="18">U171+1</f>
        <v>21</v>
      </c>
      <c r="W171">
        <f t="shared" si="18"/>
        <v>22</v>
      </c>
      <c r="X171">
        <f t="shared" si="18"/>
        <v>23</v>
      </c>
      <c r="Y171">
        <f t="shared" si="18"/>
        <v>24</v>
      </c>
      <c r="Z171">
        <f t="shared" si="18"/>
        <v>25</v>
      </c>
      <c r="AA171">
        <f t="shared" si="18"/>
        <v>26</v>
      </c>
      <c r="AB171">
        <f t="shared" si="18"/>
        <v>27</v>
      </c>
      <c r="AC171">
        <f t="shared" si="18"/>
        <v>28</v>
      </c>
      <c r="AD171">
        <f>IF(ABS(AC171)&lt;$C170,AC171+1,-AC171+1)</f>
        <v>29</v>
      </c>
      <c r="AE171">
        <f>IF(ABS(AD171)&lt;$C170,AD171+1,-AD171+1)</f>
        <v>30</v>
      </c>
      <c r="AF171">
        <f>IF(ABS(AE171)&lt;$C170,AE171+1,-AE171+1)</f>
        <v>31</v>
      </c>
    </row>
    <row r="172" spans="1:32">
      <c r="A172" t="str">
        <f>A171</f>
        <v>Liepa</v>
      </c>
      <c r="B172" t="str">
        <f t="shared" ref="B172:AF172" ca="1" si="19">IF(B171&gt;0,IF(OR(OFFSET($I$1,$B170-1,0)=B171,OFFSET($I$1,$B170-1,1)=B171,OFFSET($I$1,$B170-1,2)=B171),"SV",CHOOSE(WEEKDAY(DATE($A170,$B170,B171),2),"--","--","--","--","--","SS","SK")),"XX")</f>
        <v>--</v>
      </c>
      <c r="C172" t="str">
        <f t="shared" ca="1" si="19"/>
        <v>--</v>
      </c>
      <c r="D172" t="str">
        <f t="shared" ca="1" si="19"/>
        <v>--</v>
      </c>
      <c r="E172" t="str">
        <f t="shared" ca="1" si="19"/>
        <v>SS</v>
      </c>
      <c r="F172" t="str">
        <f t="shared" ca="1" si="19"/>
        <v>SK</v>
      </c>
      <c r="G172" t="str">
        <f t="shared" ca="1" si="19"/>
        <v>SV</v>
      </c>
      <c r="H172" t="str">
        <f t="shared" ca="1" si="19"/>
        <v>--</v>
      </c>
      <c r="I172" t="str">
        <f t="shared" ca="1" si="19"/>
        <v>--</v>
      </c>
      <c r="J172" t="str">
        <f t="shared" ca="1" si="19"/>
        <v>--</v>
      </c>
      <c r="K172" t="str">
        <f t="shared" ca="1" si="19"/>
        <v>--</v>
      </c>
      <c r="L172" t="str">
        <f t="shared" ca="1" si="19"/>
        <v>SS</v>
      </c>
      <c r="M172" t="str">
        <f t="shared" ca="1" si="19"/>
        <v>SK</v>
      </c>
      <c r="N172" t="str">
        <f t="shared" ca="1" si="19"/>
        <v>--</v>
      </c>
      <c r="O172" t="str">
        <f t="shared" ca="1" si="19"/>
        <v>--</v>
      </c>
      <c r="P172" t="str">
        <f t="shared" ca="1" si="19"/>
        <v>--</v>
      </c>
      <c r="Q172" t="str">
        <f t="shared" ca="1" si="19"/>
        <v>--</v>
      </c>
      <c r="R172" t="str">
        <f t="shared" ca="1" si="19"/>
        <v>--</v>
      </c>
      <c r="S172" t="str">
        <f t="shared" ca="1" si="19"/>
        <v>SS</v>
      </c>
      <c r="T172" t="str">
        <f t="shared" ca="1" si="19"/>
        <v>SK</v>
      </c>
      <c r="U172" t="str">
        <f t="shared" ca="1" si="19"/>
        <v>--</v>
      </c>
      <c r="V172" t="str">
        <f t="shared" ca="1" si="19"/>
        <v>--</v>
      </c>
      <c r="W172" t="str">
        <f t="shared" ca="1" si="19"/>
        <v>--</v>
      </c>
      <c r="X172" t="str">
        <f t="shared" ca="1" si="19"/>
        <v>--</v>
      </c>
      <c r="Y172" t="str">
        <f t="shared" ca="1" si="19"/>
        <v>--</v>
      </c>
      <c r="Z172" t="str">
        <f t="shared" ca="1" si="19"/>
        <v>SS</v>
      </c>
      <c r="AA172" t="str">
        <f t="shared" ca="1" si="19"/>
        <v>SK</v>
      </c>
      <c r="AB172" t="str">
        <f t="shared" ca="1" si="19"/>
        <v>--</v>
      </c>
      <c r="AC172" t="str">
        <f t="shared" ca="1" si="19"/>
        <v>--</v>
      </c>
      <c r="AD172" t="str">
        <f t="shared" ca="1" si="19"/>
        <v>--</v>
      </c>
      <c r="AE172" t="str">
        <f t="shared" ca="1" si="19"/>
        <v>--</v>
      </c>
      <c r="AF172" t="str">
        <f t="shared" ca="1" si="19"/>
        <v>--</v>
      </c>
    </row>
    <row r="173" spans="1:32">
      <c r="A173" s="85" t="e">
        <f>ROW(#REF!)-1</f>
        <v>#REF!</v>
      </c>
      <c r="B173" s="85" t="e">
        <f>ROW(#REF!)-1</f>
        <v>#REF!</v>
      </c>
      <c r="C173" s="85" t="e">
        <f>ROW(#REF!)-1</f>
        <v>#REF!</v>
      </c>
      <c r="D173" s="85" t="e">
        <f>ROW(#REF!)-1</f>
        <v>#REF!</v>
      </c>
      <c r="E173" s="85" t="e">
        <f>ROW(#REF!)-1</f>
        <v>#REF!</v>
      </c>
      <c r="F173" s="85" t="e">
        <f>ROW(#REF!)-1</f>
        <v>#REF!</v>
      </c>
      <c r="G173" s="85" t="e">
        <f>ROW(#REF!)-1</f>
        <v>#REF!</v>
      </c>
      <c r="H173" s="85" t="e">
        <f>ROW(#REF!)-1</f>
        <v>#REF!</v>
      </c>
      <c r="I173" s="85" t="e">
        <f>ROW(#REF!)-1</f>
        <v>#REF!</v>
      </c>
      <c r="J173" s="85" t="e">
        <f>ROW(#REF!)-1</f>
        <v>#REF!</v>
      </c>
      <c r="K173" s="85" t="e">
        <f>ROW(#REF!)-1</f>
        <v>#REF!</v>
      </c>
      <c r="L173" s="85" t="e">
        <f>ROW(#REF!)-1</f>
        <v>#REF!</v>
      </c>
      <c r="M173" s="85" t="e">
        <f>ROW(#REF!)-1</f>
        <v>#REF!</v>
      </c>
      <c r="N173" s="85" t="e">
        <f>ROW(#REF!)-1</f>
        <v>#REF!</v>
      </c>
      <c r="O173" s="85" t="e">
        <f>ROW(#REF!)-1</f>
        <v>#REF!</v>
      </c>
      <c r="P173" s="85" t="e">
        <f>ROW(#REF!)-1</f>
        <v>#REF!</v>
      </c>
      <c r="Q173" s="85" t="e">
        <f>ROW(#REF!)-1</f>
        <v>#REF!</v>
      </c>
      <c r="R173" s="85" t="e">
        <f>ROW(#REF!)-1</f>
        <v>#REF!</v>
      </c>
      <c r="S173" s="85" t="e">
        <f>ROW(#REF!)-1</f>
        <v>#REF!</v>
      </c>
      <c r="T173" s="85" t="e">
        <f>ROW(#REF!)-1</f>
        <v>#REF!</v>
      </c>
      <c r="U173" s="85" t="e">
        <f>ROW(#REF!)-1</f>
        <v>#REF!</v>
      </c>
      <c r="V173" s="85" t="e">
        <f>ROW(#REF!)-1</f>
        <v>#REF!</v>
      </c>
      <c r="W173" s="85" t="e">
        <f>ROW(#REF!)-1</f>
        <v>#REF!</v>
      </c>
      <c r="X173" s="85" t="e">
        <f>ROW(#REF!)-1</f>
        <v>#REF!</v>
      </c>
      <c r="Y173" s="85" t="e">
        <f>ROW(#REF!)-1</f>
        <v>#REF!</v>
      </c>
      <c r="Z173" s="85" t="e">
        <f>ROW(#REF!)-1</f>
        <v>#REF!</v>
      </c>
      <c r="AA173" s="85" t="e">
        <f>ROW(#REF!)-1</f>
        <v>#REF!</v>
      </c>
      <c r="AB173" s="85" t="e">
        <f>ROW(#REF!)-1</f>
        <v>#REF!</v>
      </c>
      <c r="AC173" s="85" t="e">
        <f>ROW(#REF!)-1</f>
        <v>#REF!</v>
      </c>
      <c r="AD173" s="85" t="e">
        <f>ROW(#REF!)-1</f>
        <v>#REF!</v>
      </c>
      <c r="AE173" s="85" t="e">
        <f>ROW(#REF!)-1</f>
        <v>#REF!</v>
      </c>
      <c r="AF173" s="85" t="e">
        <f>ROW(#REF!)-1</f>
        <v>#REF!</v>
      </c>
    </row>
    <row r="179" spans="1:32">
      <c r="A179" t="s">
        <v>115</v>
      </c>
      <c r="B179" t="s">
        <v>130</v>
      </c>
      <c r="C179" t="s">
        <v>129</v>
      </c>
      <c r="F179" t="s">
        <v>128</v>
      </c>
    </row>
    <row r="180" spans="1:32">
      <c r="A180">
        <f>Dinamika!$B$1</f>
        <v>2026</v>
      </c>
      <c r="B180">
        <v>8</v>
      </c>
      <c r="C180">
        <f>DAY(EOMONTH(DATE(A180,B180,1),0))</f>
        <v>31</v>
      </c>
      <c r="F180" t="str">
        <f>CHOOSE($B180,$B$1,$B$2,$B$3,$B$4,$B$5,$B$6,$B$7,$B$8,$B$9,$B$10,$B$11,$B$12)</f>
        <v>Rugpjūtis</v>
      </c>
    </row>
    <row r="181" spans="1:32">
      <c r="A181" t="str">
        <f>CHOOSE($B180,$B$1,$B$2,$B$3,$B$4,$B$5,$B$6,$B$7,$B$8,$B$9,$B$10,$B$11,$B$12)</f>
        <v>Rugpjūtis</v>
      </c>
      <c r="B181">
        <v>1</v>
      </c>
      <c r="C181">
        <f>B181+1</f>
        <v>2</v>
      </c>
      <c r="D181">
        <f t="shared" ref="D181:T181" si="20">C181+1</f>
        <v>3</v>
      </c>
      <c r="E181">
        <f t="shared" si="20"/>
        <v>4</v>
      </c>
      <c r="F181">
        <f t="shared" si="20"/>
        <v>5</v>
      </c>
      <c r="G181">
        <f t="shared" si="20"/>
        <v>6</v>
      </c>
      <c r="H181">
        <f t="shared" si="20"/>
        <v>7</v>
      </c>
      <c r="I181">
        <f t="shared" si="20"/>
        <v>8</v>
      </c>
      <c r="J181">
        <f t="shared" si="20"/>
        <v>9</v>
      </c>
      <c r="K181">
        <f t="shared" si="20"/>
        <v>10</v>
      </c>
      <c r="L181">
        <f t="shared" si="20"/>
        <v>11</v>
      </c>
      <c r="M181">
        <f t="shared" si="20"/>
        <v>12</v>
      </c>
      <c r="N181">
        <f t="shared" si="20"/>
        <v>13</v>
      </c>
      <c r="O181">
        <f t="shared" si="20"/>
        <v>14</v>
      </c>
      <c r="P181">
        <f t="shared" si="20"/>
        <v>15</v>
      </c>
      <c r="Q181">
        <f t="shared" si="20"/>
        <v>16</v>
      </c>
      <c r="R181">
        <f t="shared" si="20"/>
        <v>17</v>
      </c>
      <c r="S181">
        <f t="shared" si="20"/>
        <v>18</v>
      </c>
      <c r="T181">
        <f t="shared" si="20"/>
        <v>19</v>
      </c>
      <c r="U181">
        <f>T181+1</f>
        <v>20</v>
      </c>
      <c r="V181">
        <f t="shared" ref="V181:AC181" si="21">U181+1</f>
        <v>21</v>
      </c>
      <c r="W181">
        <f t="shared" si="21"/>
        <v>22</v>
      </c>
      <c r="X181">
        <f t="shared" si="21"/>
        <v>23</v>
      </c>
      <c r="Y181">
        <f t="shared" si="21"/>
        <v>24</v>
      </c>
      <c r="Z181">
        <f t="shared" si="21"/>
        <v>25</v>
      </c>
      <c r="AA181">
        <f t="shared" si="21"/>
        <v>26</v>
      </c>
      <c r="AB181">
        <f t="shared" si="21"/>
        <v>27</v>
      </c>
      <c r="AC181">
        <f t="shared" si="21"/>
        <v>28</v>
      </c>
      <c r="AD181">
        <f>IF(ABS(AC181)&lt;$C180,AC181+1,-AC181+1)</f>
        <v>29</v>
      </c>
      <c r="AE181">
        <f>IF(ABS(AD181)&lt;$C180,AD181+1,-AD181+1)</f>
        <v>30</v>
      </c>
      <c r="AF181">
        <f>IF(ABS(AE181)&lt;$C180,AE181+1,-AE181+1)</f>
        <v>31</v>
      </c>
    </row>
    <row r="182" spans="1:32">
      <c r="A182" t="str">
        <f>A181</f>
        <v>Rugpjūtis</v>
      </c>
      <c r="B182" t="str">
        <f t="shared" ref="B182:AF182" ca="1" si="22">IF(B181&gt;0,IF(OR(OFFSET($I$1,$B180-1,0)=B181,OFFSET($I$1,$B180-1,1)=B181,OFFSET($I$1,$B180-1,2)=B181),"SV",CHOOSE(WEEKDAY(DATE($A180,$B180,B181),2),"--","--","--","--","--","SS","SK")),"XX")</f>
        <v>SS</v>
      </c>
      <c r="C182" t="str">
        <f t="shared" ca="1" si="22"/>
        <v>SK</v>
      </c>
      <c r="D182" t="str">
        <f t="shared" ca="1" si="22"/>
        <v>--</v>
      </c>
      <c r="E182" t="str">
        <f t="shared" ca="1" si="22"/>
        <v>--</v>
      </c>
      <c r="F182" t="str">
        <f t="shared" ca="1" si="22"/>
        <v>--</v>
      </c>
      <c r="G182" t="str">
        <f t="shared" ca="1" si="22"/>
        <v>--</v>
      </c>
      <c r="H182" t="str">
        <f t="shared" ca="1" si="22"/>
        <v>--</v>
      </c>
      <c r="I182" t="str">
        <f t="shared" ca="1" si="22"/>
        <v>SS</v>
      </c>
      <c r="J182" t="str">
        <f t="shared" ca="1" si="22"/>
        <v>SK</v>
      </c>
      <c r="K182" t="str">
        <f t="shared" ca="1" si="22"/>
        <v>--</v>
      </c>
      <c r="L182" t="str">
        <f t="shared" ca="1" si="22"/>
        <v>--</v>
      </c>
      <c r="M182" t="str">
        <f t="shared" ca="1" si="22"/>
        <v>--</v>
      </c>
      <c r="N182" t="str">
        <f t="shared" ca="1" si="22"/>
        <v>--</v>
      </c>
      <c r="O182" t="str">
        <f t="shared" ca="1" si="22"/>
        <v>--</v>
      </c>
      <c r="P182" t="str">
        <f t="shared" ca="1" si="22"/>
        <v>SV</v>
      </c>
      <c r="Q182" t="str">
        <f t="shared" ca="1" si="22"/>
        <v>SK</v>
      </c>
      <c r="R182" t="str">
        <f t="shared" ca="1" si="22"/>
        <v>--</v>
      </c>
      <c r="S182" t="str">
        <f t="shared" ca="1" si="22"/>
        <v>--</v>
      </c>
      <c r="T182" t="str">
        <f t="shared" ca="1" si="22"/>
        <v>--</v>
      </c>
      <c r="U182" t="str">
        <f t="shared" ca="1" si="22"/>
        <v>--</v>
      </c>
      <c r="V182" t="str">
        <f t="shared" ca="1" si="22"/>
        <v>--</v>
      </c>
      <c r="W182" t="str">
        <f t="shared" ca="1" si="22"/>
        <v>SS</v>
      </c>
      <c r="X182" t="str">
        <f t="shared" ca="1" si="22"/>
        <v>SK</v>
      </c>
      <c r="Y182" t="str">
        <f t="shared" ca="1" si="22"/>
        <v>--</v>
      </c>
      <c r="Z182" t="str">
        <f t="shared" ca="1" si="22"/>
        <v>--</v>
      </c>
      <c r="AA182" t="str">
        <f t="shared" ca="1" si="22"/>
        <v>--</v>
      </c>
      <c r="AB182" t="str">
        <f t="shared" ca="1" si="22"/>
        <v>--</v>
      </c>
      <c r="AC182" t="str">
        <f t="shared" ca="1" si="22"/>
        <v>--</v>
      </c>
      <c r="AD182" t="str">
        <f t="shared" ca="1" si="22"/>
        <v>SS</v>
      </c>
      <c r="AE182" t="str">
        <f t="shared" ca="1" si="22"/>
        <v>SK</v>
      </c>
      <c r="AF182" t="str">
        <f t="shared" ca="1" si="22"/>
        <v>--</v>
      </c>
    </row>
    <row r="183" spans="1:32">
      <c r="A183" s="85" t="e">
        <f>ROW(#REF!)-1</f>
        <v>#REF!</v>
      </c>
      <c r="B183" s="85" t="e">
        <f>ROW(#REF!)-1</f>
        <v>#REF!</v>
      </c>
      <c r="C183" s="85" t="e">
        <f>ROW(#REF!)-1</f>
        <v>#REF!</v>
      </c>
      <c r="D183" s="85" t="e">
        <f>ROW(#REF!)-1</f>
        <v>#REF!</v>
      </c>
      <c r="E183" s="85" t="e">
        <f>ROW(#REF!)-1</f>
        <v>#REF!</v>
      </c>
      <c r="F183" s="85" t="e">
        <f>ROW(#REF!)-1</f>
        <v>#REF!</v>
      </c>
      <c r="G183" s="85" t="e">
        <f>ROW(#REF!)-1</f>
        <v>#REF!</v>
      </c>
      <c r="H183" s="85" t="e">
        <f>ROW(#REF!)-1</f>
        <v>#REF!</v>
      </c>
      <c r="I183" s="85" t="e">
        <f>ROW(#REF!)-1</f>
        <v>#REF!</v>
      </c>
      <c r="J183" s="85" t="e">
        <f>ROW(#REF!)-1</f>
        <v>#REF!</v>
      </c>
      <c r="K183" s="85" t="e">
        <f>ROW(#REF!)-1</f>
        <v>#REF!</v>
      </c>
      <c r="L183" s="85" t="e">
        <f>ROW(#REF!)-1</f>
        <v>#REF!</v>
      </c>
      <c r="M183" s="85" t="e">
        <f>ROW(#REF!)-1</f>
        <v>#REF!</v>
      </c>
      <c r="N183" s="85" t="e">
        <f>ROW(#REF!)-1</f>
        <v>#REF!</v>
      </c>
      <c r="O183" s="85" t="e">
        <f>ROW(#REF!)-1</f>
        <v>#REF!</v>
      </c>
      <c r="P183" s="85" t="e">
        <f>ROW(#REF!)-1</f>
        <v>#REF!</v>
      </c>
      <c r="Q183" s="85" t="e">
        <f>ROW(#REF!)-1</f>
        <v>#REF!</v>
      </c>
      <c r="R183" s="85" t="e">
        <f>ROW(#REF!)-1</f>
        <v>#REF!</v>
      </c>
      <c r="S183" s="85" t="e">
        <f>ROW(#REF!)-1</f>
        <v>#REF!</v>
      </c>
      <c r="T183" s="85" t="e">
        <f>ROW(#REF!)-1</f>
        <v>#REF!</v>
      </c>
      <c r="U183" s="85" t="e">
        <f>ROW(#REF!)-1</f>
        <v>#REF!</v>
      </c>
      <c r="V183" s="85" t="e">
        <f>ROW(#REF!)-1</f>
        <v>#REF!</v>
      </c>
      <c r="W183" s="85" t="e">
        <f>ROW(#REF!)-1</f>
        <v>#REF!</v>
      </c>
      <c r="X183" s="85" t="e">
        <f>ROW(#REF!)-1</f>
        <v>#REF!</v>
      </c>
      <c r="Y183" s="85" t="e">
        <f>ROW(#REF!)-1</f>
        <v>#REF!</v>
      </c>
      <c r="Z183" s="85" t="e">
        <f>ROW(#REF!)-1</f>
        <v>#REF!</v>
      </c>
      <c r="AA183" s="85" t="e">
        <f>ROW(#REF!)-1</f>
        <v>#REF!</v>
      </c>
      <c r="AB183" s="85" t="e">
        <f>ROW(#REF!)-1</f>
        <v>#REF!</v>
      </c>
      <c r="AC183" s="85" t="e">
        <f>ROW(#REF!)-1</f>
        <v>#REF!</v>
      </c>
      <c r="AD183" s="85" t="e">
        <f>ROW(#REF!)-1</f>
        <v>#REF!</v>
      </c>
      <c r="AE183" s="85" t="e">
        <f>ROW(#REF!)-1</f>
        <v>#REF!</v>
      </c>
      <c r="AF183" s="85" t="e">
        <f>ROW(#REF!)-1</f>
        <v>#REF!</v>
      </c>
    </row>
    <row r="189" spans="1:32">
      <c r="A189" t="s">
        <v>115</v>
      </c>
      <c r="B189" t="s">
        <v>130</v>
      </c>
      <c r="C189" t="s">
        <v>129</v>
      </c>
      <c r="F189" t="s">
        <v>128</v>
      </c>
    </row>
    <row r="190" spans="1:32">
      <c r="A190">
        <f>Dinamika!$B$1</f>
        <v>2026</v>
      </c>
      <c r="B190">
        <v>9</v>
      </c>
      <c r="C190">
        <f>DAY(EOMONTH(DATE(A190,B190,1),0))</f>
        <v>30</v>
      </c>
      <c r="F190" t="str">
        <f>CHOOSE($B190,$B$1,$B$2,$B$3,$B$4,$B$5,$B$6,$B$7,$B$8,$B$9,$B$10,$B$11,$B$12)</f>
        <v>Rugsėjis</v>
      </c>
    </row>
    <row r="191" spans="1:32">
      <c r="A191" t="str">
        <f>CHOOSE($B190,$B$1,$B$2,$B$3,$B$4,$B$5,$B$6,$B$7,$B$8,$B$9,$B$10,$B$11,$B$12)</f>
        <v>Rugsėjis</v>
      </c>
      <c r="B191">
        <v>1</v>
      </c>
      <c r="C191">
        <f>B191+1</f>
        <v>2</v>
      </c>
      <c r="D191">
        <f t="shared" ref="D191:T191" si="23">C191+1</f>
        <v>3</v>
      </c>
      <c r="E191">
        <f t="shared" si="23"/>
        <v>4</v>
      </c>
      <c r="F191">
        <f t="shared" si="23"/>
        <v>5</v>
      </c>
      <c r="G191">
        <f t="shared" si="23"/>
        <v>6</v>
      </c>
      <c r="H191">
        <f t="shared" si="23"/>
        <v>7</v>
      </c>
      <c r="I191">
        <f t="shared" si="23"/>
        <v>8</v>
      </c>
      <c r="J191">
        <f t="shared" si="23"/>
        <v>9</v>
      </c>
      <c r="K191">
        <f t="shared" si="23"/>
        <v>10</v>
      </c>
      <c r="L191">
        <f t="shared" si="23"/>
        <v>11</v>
      </c>
      <c r="M191">
        <f t="shared" si="23"/>
        <v>12</v>
      </c>
      <c r="N191">
        <f t="shared" si="23"/>
        <v>13</v>
      </c>
      <c r="O191">
        <f t="shared" si="23"/>
        <v>14</v>
      </c>
      <c r="P191">
        <f t="shared" si="23"/>
        <v>15</v>
      </c>
      <c r="Q191">
        <f t="shared" si="23"/>
        <v>16</v>
      </c>
      <c r="R191">
        <f t="shared" si="23"/>
        <v>17</v>
      </c>
      <c r="S191">
        <f t="shared" si="23"/>
        <v>18</v>
      </c>
      <c r="T191">
        <f t="shared" si="23"/>
        <v>19</v>
      </c>
      <c r="U191">
        <f>T191+1</f>
        <v>20</v>
      </c>
      <c r="V191">
        <f t="shared" ref="V191:AC191" si="24">U191+1</f>
        <v>21</v>
      </c>
      <c r="W191">
        <f t="shared" si="24"/>
        <v>22</v>
      </c>
      <c r="X191">
        <f t="shared" si="24"/>
        <v>23</v>
      </c>
      <c r="Y191">
        <f t="shared" si="24"/>
        <v>24</v>
      </c>
      <c r="Z191">
        <f t="shared" si="24"/>
        <v>25</v>
      </c>
      <c r="AA191">
        <f t="shared" si="24"/>
        <v>26</v>
      </c>
      <c r="AB191">
        <f t="shared" si="24"/>
        <v>27</v>
      </c>
      <c r="AC191">
        <f t="shared" si="24"/>
        <v>28</v>
      </c>
      <c r="AD191">
        <f>IF(ABS(AC191)&lt;$C190,AC191+1,-AC191+1)</f>
        <v>29</v>
      </c>
      <c r="AE191">
        <f>IF(ABS(AD191)&lt;$C190,AD191+1,-AD191+1)</f>
        <v>30</v>
      </c>
      <c r="AF191">
        <f>IF(ABS(AE191)&lt;$C190,AE191+1,-AE191+1)</f>
        <v>-29</v>
      </c>
    </row>
    <row r="192" spans="1:32">
      <c r="A192" t="str">
        <f>A191</f>
        <v>Rugsėjis</v>
      </c>
      <c r="B192" t="str">
        <f t="shared" ref="B192:AF192" ca="1" si="25">IF(B191&gt;0,IF(OR(OFFSET($I$1,$B190-1,0)=B191,OFFSET($I$1,$B190-1,1)=B191,OFFSET($I$1,$B190-1,2)=B191),"SV",CHOOSE(WEEKDAY(DATE($A190,$B190,B191),2),"--","--","--","--","--","SS","SK")),"XX")</f>
        <v>--</v>
      </c>
      <c r="C192" t="str">
        <f t="shared" ca="1" si="25"/>
        <v>--</v>
      </c>
      <c r="D192" t="str">
        <f t="shared" ca="1" si="25"/>
        <v>--</v>
      </c>
      <c r="E192" t="str">
        <f t="shared" ca="1" si="25"/>
        <v>--</v>
      </c>
      <c r="F192" t="str">
        <f t="shared" ca="1" si="25"/>
        <v>SS</v>
      </c>
      <c r="G192" t="str">
        <f t="shared" ca="1" si="25"/>
        <v>SK</v>
      </c>
      <c r="H192" t="str">
        <f t="shared" ca="1" si="25"/>
        <v>--</v>
      </c>
      <c r="I192" t="str">
        <f t="shared" ca="1" si="25"/>
        <v>--</v>
      </c>
      <c r="J192" t="str">
        <f t="shared" ca="1" si="25"/>
        <v>--</v>
      </c>
      <c r="K192" t="str">
        <f t="shared" ca="1" si="25"/>
        <v>--</v>
      </c>
      <c r="L192" t="str">
        <f t="shared" ca="1" si="25"/>
        <v>--</v>
      </c>
      <c r="M192" t="str">
        <f t="shared" ca="1" si="25"/>
        <v>SS</v>
      </c>
      <c r="N192" t="str">
        <f t="shared" ca="1" si="25"/>
        <v>SK</v>
      </c>
      <c r="O192" t="str">
        <f t="shared" ca="1" si="25"/>
        <v>--</v>
      </c>
      <c r="P192" t="str">
        <f t="shared" ca="1" si="25"/>
        <v>--</v>
      </c>
      <c r="Q192" t="str">
        <f t="shared" ca="1" si="25"/>
        <v>--</v>
      </c>
      <c r="R192" t="str">
        <f t="shared" ca="1" si="25"/>
        <v>--</v>
      </c>
      <c r="S192" t="str">
        <f t="shared" ca="1" si="25"/>
        <v>--</v>
      </c>
      <c r="T192" t="str">
        <f t="shared" ca="1" si="25"/>
        <v>SS</v>
      </c>
      <c r="U192" t="str">
        <f t="shared" ca="1" si="25"/>
        <v>SK</v>
      </c>
      <c r="V192" t="str">
        <f t="shared" ca="1" si="25"/>
        <v>--</v>
      </c>
      <c r="W192" t="str">
        <f t="shared" ca="1" si="25"/>
        <v>--</v>
      </c>
      <c r="X192" t="str">
        <f t="shared" ca="1" si="25"/>
        <v>--</v>
      </c>
      <c r="Y192" t="str">
        <f t="shared" ca="1" si="25"/>
        <v>--</v>
      </c>
      <c r="Z192" t="str">
        <f t="shared" ca="1" si="25"/>
        <v>--</v>
      </c>
      <c r="AA192" t="str">
        <f t="shared" ca="1" si="25"/>
        <v>SS</v>
      </c>
      <c r="AB192" t="str">
        <f t="shared" ca="1" si="25"/>
        <v>SK</v>
      </c>
      <c r="AC192" t="str">
        <f t="shared" ca="1" si="25"/>
        <v>--</v>
      </c>
      <c r="AD192" t="str">
        <f t="shared" ca="1" si="25"/>
        <v>--</v>
      </c>
      <c r="AE192" t="str">
        <f t="shared" ca="1" si="25"/>
        <v>--</v>
      </c>
      <c r="AF192" t="str">
        <f t="shared" ca="1" si="25"/>
        <v>XX</v>
      </c>
    </row>
    <row r="193" spans="1:32">
      <c r="A193" s="85" t="e">
        <f>ROW(#REF!)-1</f>
        <v>#REF!</v>
      </c>
      <c r="B193" s="85" t="e">
        <f>ROW(#REF!)-1</f>
        <v>#REF!</v>
      </c>
      <c r="C193" s="85" t="e">
        <f>ROW(#REF!)-1</f>
        <v>#REF!</v>
      </c>
      <c r="D193" s="85" t="e">
        <f>ROW(#REF!)-1</f>
        <v>#REF!</v>
      </c>
      <c r="E193" s="85" t="e">
        <f>ROW(#REF!)-1</f>
        <v>#REF!</v>
      </c>
      <c r="F193" s="85" t="e">
        <f>ROW(#REF!)-1</f>
        <v>#REF!</v>
      </c>
      <c r="G193" s="85" t="e">
        <f>ROW(#REF!)-1</f>
        <v>#REF!</v>
      </c>
      <c r="H193" s="85" t="e">
        <f>ROW(#REF!)-1</f>
        <v>#REF!</v>
      </c>
      <c r="I193" s="85" t="e">
        <f>ROW(#REF!)-1</f>
        <v>#REF!</v>
      </c>
      <c r="J193" s="85" t="e">
        <f>ROW(#REF!)-1</f>
        <v>#REF!</v>
      </c>
      <c r="K193" s="85" t="e">
        <f>ROW(#REF!)-1</f>
        <v>#REF!</v>
      </c>
      <c r="L193" s="85" t="e">
        <f>ROW(#REF!)-1</f>
        <v>#REF!</v>
      </c>
      <c r="M193" s="85" t="e">
        <f>ROW(#REF!)-1</f>
        <v>#REF!</v>
      </c>
      <c r="N193" s="85" t="e">
        <f>ROW(#REF!)-1</f>
        <v>#REF!</v>
      </c>
      <c r="O193" s="85" t="e">
        <f>ROW(#REF!)-1</f>
        <v>#REF!</v>
      </c>
      <c r="P193" s="85" t="e">
        <f>ROW(#REF!)-1</f>
        <v>#REF!</v>
      </c>
      <c r="Q193" s="85" t="e">
        <f>ROW(#REF!)-1</f>
        <v>#REF!</v>
      </c>
      <c r="R193" s="85" t="e">
        <f>ROW(#REF!)-1</f>
        <v>#REF!</v>
      </c>
      <c r="S193" s="85" t="e">
        <f>ROW(#REF!)-1</f>
        <v>#REF!</v>
      </c>
      <c r="T193" s="85" t="e">
        <f>ROW(#REF!)-1</f>
        <v>#REF!</v>
      </c>
      <c r="U193" s="85" t="e">
        <f>ROW(#REF!)-1</f>
        <v>#REF!</v>
      </c>
      <c r="V193" s="85" t="e">
        <f>ROW(#REF!)-1</f>
        <v>#REF!</v>
      </c>
      <c r="W193" s="85" t="e">
        <f>ROW(#REF!)-1</f>
        <v>#REF!</v>
      </c>
      <c r="X193" s="85" t="e">
        <f>ROW(#REF!)-1</f>
        <v>#REF!</v>
      </c>
      <c r="Y193" s="85" t="e">
        <f>ROW(#REF!)-1</f>
        <v>#REF!</v>
      </c>
      <c r="Z193" s="85" t="e">
        <f>ROW(#REF!)-1</f>
        <v>#REF!</v>
      </c>
      <c r="AA193" s="85" t="e">
        <f>ROW(#REF!)-1</f>
        <v>#REF!</v>
      </c>
      <c r="AB193" s="85" t="e">
        <f>ROW(#REF!)-1</f>
        <v>#REF!</v>
      </c>
      <c r="AC193" s="85" t="e">
        <f>ROW(#REF!)-1</f>
        <v>#REF!</v>
      </c>
      <c r="AD193" s="85" t="e">
        <f>ROW(#REF!)-1</f>
        <v>#REF!</v>
      </c>
      <c r="AE193" s="85" t="e">
        <f>ROW(#REF!)-1</f>
        <v>#REF!</v>
      </c>
      <c r="AF193" s="85" t="e">
        <f>ROW(#REF!)-1</f>
        <v>#REF!</v>
      </c>
    </row>
    <row r="199" spans="1:32">
      <c r="A199" t="s">
        <v>115</v>
      </c>
      <c r="B199" t="s">
        <v>130</v>
      </c>
      <c r="C199" t="s">
        <v>129</v>
      </c>
      <c r="F199" t="s">
        <v>128</v>
      </c>
    </row>
    <row r="200" spans="1:32">
      <c r="A200">
        <f>Dinamika!$B$1</f>
        <v>2026</v>
      </c>
      <c r="B200">
        <v>10</v>
      </c>
      <c r="C200">
        <f>DAY(EOMONTH(DATE(A200,B200,1),0))</f>
        <v>31</v>
      </c>
      <c r="F200" t="str">
        <f>CHOOSE($B200,$B$1,$B$2,$B$3,$B$4,$B$5,$B$6,$B$7,$B$8,$B$9,$B$10,$B$11,$B$12)</f>
        <v>Spalis</v>
      </c>
    </row>
    <row r="201" spans="1:32">
      <c r="A201" t="str">
        <f>CHOOSE($B200,$B$1,$B$2,$B$3,$B$4,$B$5,$B$6,$B$7,$B$8,$B$9,$B$10,$B$11,$B$12)</f>
        <v>Spalis</v>
      </c>
      <c r="B201">
        <v>1</v>
      </c>
      <c r="C201">
        <f>B201+1</f>
        <v>2</v>
      </c>
      <c r="D201">
        <f t="shared" ref="D201:T201" si="26">C201+1</f>
        <v>3</v>
      </c>
      <c r="E201">
        <f t="shared" si="26"/>
        <v>4</v>
      </c>
      <c r="F201">
        <f t="shared" si="26"/>
        <v>5</v>
      </c>
      <c r="G201">
        <f t="shared" si="26"/>
        <v>6</v>
      </c>
      <c r="H201">
        <f t="shared" si="26"/>
        <v>7</v>
      </c>
      <c r="I201">
        <f t="shared" si="26"/>
        <v>8</v>
      </c>
      <c r="J201">
        <f t="shared" si="26"/>
        <v>9</v>
      </c>
      <c r="K201">
        <f t="shared" si="26"/>
        <v>10</v>
      </c>
      <c r="L201">
        <f t="shared" si="26"/>
        <v>11</v>
      </c>
      <c r="M201">
        <f t="shared" si="26"/>
        <v>12</v>
      </c>
      <c r="N201">
        <f t="shared" si="26"/>
        <v>13</v>
      </c>
      <c r="O201">
        <f t="shared" si="26"/>
        <v>14</v>
      </c>
      <c r="P201">
        <f t="shared" si="26"/>
        <v>15</v>
      </c>
      <c r="Q201">
        <f t="shared" si="26"/>
        <v>16</v>
      </c>
      <c r="R201">
        <f t="shared" si="26"/>
        <v>17</v>
      </c>
      <c r="S201">
        <f t="shared" si="26"/>
        <v>18</v>
      </c>
      <c r="T201">
        <f t="shared" si="26"/>
        <v>19</v>
      </c>
      <c r="U201">
        <f>T201+1</f>
        <v>20</v>
      </c>
      <c r="V201">
        <f t="shared" ref="V201:AC201" si="27">U201+1</f>
        <v>21</v>
      </c>
      <c r="W201">
        <f t="shared" si="27"/>
        <v>22</v>
      </c>
      <c r="X201">
        <f t="shared" si="27"/>
        <v>23</v>
      </c>
      <c r="Y201">
        <f t="shared" si="27"/>
        <v>24</v>
      </c>
      <c r="Z201">
        <f t="shared" si="27"/>
        <v>25</v>
      </c>
      <c r="AA201">
        <f t="shared" si="27"/>
        <v>26</v>
      </c>
      <c r="AB201">
        <f t="shared" si="27"/>
        <v>27</v>
      </c>
      <c r="AC201">
        <f t="shared" si="27"/>
        <v>28</v>
      </c>
      <c r="AD201">
        <f>IF(ABS(AC201)&lt;$C200,AC201+1,-AC201+1)</f>
        <v>29</v>
      </c>
      <c r="AE201">
        <f>IF(ABS(AD201)&lt;$C200,AD201+1,-AD201+1)</f>
        <v>30</v>
      </c>
      <c r="AF201">
        <f>IF(ABS(AE201)&lt;$C200,AE201+1,-AE201+1)</f>
        <v>31</v>
      </c>
    </row>
    <row r="202" spans="1:32">
      <c r="A202" t="str">
        <f>A201</f>
        <v>Spalis</v>
      </c>
      <c r="B202" t="str">
        <f t="shared" ref="B202:AF202" ca="1" si="28">IF(B201&gt;0,IF(OR(OFFSET($I$1,$B200-1,0)=B201,OFFSET($I$1,$B200-1,1)=B201,OFFSET($I$1,$B200-1,2)=B201),"SV",CHOOSE(WEEKDAY(DATE($A200,$B200,B201),2),"--","--","--","--","--","SS","SK")),"XX")</f>
        <v>--</v>
      </c>
      <c r="C202" t="str">
        <f t="shared" ca="1" si="28"/>
        <v>--</v>
      </c>
      <c r="D202" t="str">
        <f t="shared" ca="1" si="28"/>
        <v>SS</v>
      </c>
      <c r="E202" t="str">
        <f t="shared" ca="1" si="28"/>
        <v>SK</v>
      </c>
      <c r="F202" t="str">
        <f t="shared" ca="1" si="28"/>
        <v>--</v>
      </c>
      <c r="G202" t="str">
        <f t="shared" ca="1" si="28"/>
        <v>--</v>
      </c>
      <c r="H202" t="str">
        <f t="shared" ca="1" si="28"/>
        <v>--</v>
      </c>
      <c r="I202" t="str">
        <f t="shared" ca="1" si="28"/>
        <v>--</v>
      </c>
      <c r="J202" t="str">
        <f t="shared" ca="1" si="28"/>
        <v>--</v>
      </c>
      <c r="K202" t="str">
        <f t="shared" ca="1" si="28"/>
        <v>SS</v>
      </c>
      <c r="L202" t="str">
        <f t="shared" ca="1" si="28"/>
        <v>SK</v>
      </c>
      <c r="M202" t="str">
        <f t="shared" ca="1" si="28"/>
        <v>--</v>
      </c>
      <c r="N202" t="str">
        <f t="shared" ca="1" si="28"/>
        <v>--</v>
      </c>
      <c r="O202" t="str">
        <f t="shared" ca="1" si="28"/>
        <v>--</v>
      </c>
      <c r="P202" t="str">
        <f t="shared" ca="1" si="28"/>
        <v>--</v>
      </c>
      <c r="Q202" t="str">
        <f t="shared" ca="1" si="28"/>
        <v>--</v>
      </c>
      <c r="R202" t="str">
        <f t="shared" ca="1" si="28"/>
        <v>SS</v>
      </c>
      <c r="S202" t="str">
        <f t="shared" ca="1" si="28"/>
        <v>SK</v>
      </c>
      <c r="T202" t="str">
        <f t="shared" ca="1" si="28"/>
        <v>--</v>
      </c>
      <c r="U202" t="str">
        <f t="shared" ca="1" si="28"/>
        <v>--</v>
      </c>
      <c r="V202" t="str">
        <f t="shared" ca="1" si="28"/>
        <v>--</v>
      </c>
      <c r="W202" t="str">
        <f t="shared" ca="1" si="28"/>
        <v>--</v>
      </c>
      <c r="X202" t="str">
        <f t="shared" ca="1" si="28"/>
        <v>--</v>
      </c>
      <c r="Y202" t="str">
        <f t="shared" ca="1" si="28"/>
        <v>SS</v>
      </c>
      <c r="Z202" t="str">
        <f t="shared" ca="1" si="28"/>
        <v>SK</v>
      </c>
      <c r="AA202" t="str">
        <f t="shared" ca="1" si="28"/>
        <v>--</v>
      </c>
      <c r="AB202" t="str">
        <f t="shared" ca="1" si="28"/>
        <v>--</v>
      </c>
      <c r="AC202" t="str">
        <f t="shared" ca="1" si="28"/>
        <v>--</v>
      </c>
      <c r="AD202" t="str">
        <f t="shared" ca="1" si="28"/>
        <v>--</v>
      </c>
      <c r="AE202" t="str">
        <f t="shared" ca="1" si="28"/>
        <v>--</v>
      </c>
      <c r="AF202" t="str">
        <f t="shared" ca="1" si="28"/>
        <v>SS</v>
      </c>
    </row>
    <row r="203" spans="1:32">
      <c r="A203" s="85" t="e">
        <f>ROW(#REF!)-1</f>
        <v>#REF!</v>
      </c>
      <c r="B203" s="85" t="e">
        <f>ROW(#REF!)-1</f>
        <v>#REF!</v>
      </c>
      <c r="C203" s="85" t="e">
        <f>ROW(#REF!)-1</f>
        <v>#REF!</v>
      </c>
      <c r="D203" s="85" t="e">
        <f>ROW(#REF!)-1</f>
        <v>#REF!</v>
      </c>
      <c r="E203" s="85" t="e">
        <f>ROW(#REF!)-1</f>
        <v>#REF!</v>
      </c>
      <c r="F203" s="85" t="e">
        <f>ROW(#REF!)-1</f>
        <v>#REF!</v>
      </c>
      <c r="G203" s="85" t="e">
        <f>ROW(#REF!)-1</f>
        <v>#REF!</v>
      </c>
      <c r="H203" s="85" t="e">
        <f>ROW(#REF!)-1</f>
        <v>#REF!</v>
      </c>
      <c r="I203" s="85" t="e">
        <f>ROW(#REF!)-1</f>
        <v>#REF!</v>
      </c>
      <c r="J203" s="85" t="e">
        <f>ROW(#REF!)-1</f>
        <v>#REF!</v>
      </c>
      <c r="K203" s="85" t="e">
        <f>ROW(#REF!)-1</f>
        <v>#REF!</v>
      </c>
      <c r="L203" s="85" t="e">
        <f>ROW(#REF!)-1</f>
        <v>#REF!</v>
      </c>
      <c r="M203" s="85" t="e">
        <f>ROW(#REF!)-1</f>
        <v>#REF!</v>
      </c>
      <c r="N203" s="85" t="e">
        <f>ROW(#REF!)-1</f>
        <v>#REF!</v>
      </c>
      <c r="O203" s="85" t="e">
        <f>ROW(#REF!)-1</f>
        <v>#REF!</v>
      </c>
      <c r="P203" s="85" t="e">
        <f>ROW(#REF!)-1</f>
        <v>#REF!</v>
      </c>
      <c r="Q203" s="85" t="e">
        <f>ROW(#REF!)-1</f>
        <v>#REF!</v>
      </c>
      <c r="R203" s="85" t="e">
        <f>ROW(#REF!)-1</f>
        <v>#REF!</v>
      </c>
      <c r="S203" s="85" t="e">
        <f>ROW(#REF!)-1</f>
        <v>#REF!</v>
      </c>
      <c r="T203" s="85" t="e">
        <f>ROW(#REF!)-1</f>
        <v>#REF!</v>
      </c>
      <c r="U203" s="85" t="e">
        <f>ROW(#REF!)-1</f>
        <v>#REF!</v>
      </c>
      <c r="V203" s="85" t="e">
        <f>ROW(#REF!)-1</f>
        <v>#REF!</v>
      </c>
      <c r="W203" s="85" t="e">
        <f>ROW(#REF!)-1</f>
        <v>#REF!</v>
      </c>
      <c r="X203" s="85" t="e">
        <f>ROW(#REF!)-1</f>
        <v>#REF!</v>
      </c>
      <c r="Y203" s="85" t="e">
        <f>ROW(#REF!)-1</f>
        <v>#REF!</v>
      </c>
      <c r="Z203" s="85" t="e">
        <f>ROW(#REF!)-1</f>
        <v>#REF!</v>
      </c>
      <c r="AA203" s="85" t="e">
        <f>ROW(#REF!)-1</f>
        <v>#REF!</v>
      </c>
      <c r="AB203" s="85" t="e">
        <f>ROW(#REF!)-1</f>
        <v>#REF!</v>
      </c>
      <c r="AC203" s="85" t="e">
        <f>ROW(#REF!)-1</f>
        <v>#REF!</v>
      </c>
      <c r="AD203" s="85" t="e">
        <f>ROW(#REF!)-1</f>
        <v>#REF!</v>
      </c>
      <c r="AE203" s="85" t="e">
        <f>ROW(#REF!)-1</f>
        <v>#REF!</v>
      </c>
      <c r="AF203" s="85" t="e">
        <f>ROW(#REF!)-1</f>
        <v>#REF!</v>
      </c>
    </row>
    <row r="209" spans="1:32">
      <c r="A209" t="s">
        <v>115</v>
      </c>
      <c r="B209" t="s">
        <v>130</v>
      </c>
      <c r="C209" t="s">
        <v>129</v>
      </c>
      <c r="F209" t="s">
        <v>128</v>
      </c>
    </row>
    <row r="210" spans="1:32">
      <c r="A210">
        <f>Dinamika!$B$1</f>
        <v>2026</v>
      </c>
      <c r="B210">
        <v>11</v>
      </c>
      <c r="C210">
        <f>DAY(EOMONTH(DATE(A210,B210,1),0))</f>
        <v>30</v>
      </c>
      <c r="F210" t="str">
        <f>CHOOSE($B210,$B$1,$B$2,$B$3,$B$4,$B$5,$B$6,$B$7,$B$8,$B$9,$B$10,$B$11,$B$12)</f>
        <v>Lapkritis</v>
      </c>
    </row>
    <row r="211" spans="1:32">
      <c r="A211" t="str">
        <f>CHOOSE($B210,$B$1,$B$2,$B$3,$B$4,$B$5,$B$6,$B$7,$B$8,$B$9,$B$10,$B$11,$B$12)</f>
        <v>Lapkritis</v>
      </c>
      <c r="B211">
        <v>1</v>
      </c>
      <c r="C211">
        <f>B211+1</f>
        <v>2</v>
      </c>
      <c r="D211">
        <f t="shared" ref="D211:T211" si="29">C211+1</f>
        <v>3</v>
      </c>
      <c r="E211">
        <f t="shared" si="29"/>
        <v>4</v>
      </c>
      <c r="F211">
        <f t="shared" si="29"/>
        <v>5</v>
      </c>
      <c r="G211">
        <f t="shared" si="29"/>
        <v>6</v>
      </c>
      <c r="H211">
        <f t="shared" si="29"/>
        <v>7</v>
      </c>
      <c r="I211">
        <f t="shared" si="29"/>
        <v>8</v>
      </c>
      <c r="J211">
        <f t="shared" si="29"/>
        <v>9</v>
      </c>
      <c r="K211">
        <f t="shared" si="29"/>
        <v>10</v>
      </c>
      <c r="L211">
        <f t="shared" si="29"/>
        <v>11</v>
      </c>
      <c r="M211">
        <f t="shared" si="29"/>
        <v>12</v>
      </c>
      <c r="N211">
        <f t="shared" si="29"/>
        <v>13</v>
      </c>
      <c r="O211">
        <f t="shared" si="29"/>
        <v>14</v>
      </c>
      <c r="P211">
        <f t="shared" si="29"/>
        <v>15</v>
      </c>
      <c r="Q211">
        <f t="shared" si="29"/>
        <v>16</v>
      </c>
      <c r="R211">
        <f t="shared" si="29"/>
        <v>17</v>
      </c>
      <c r="S211">
        <f t="shared" si="29"/>
        <v>18</v>
      </c>
      <c r="T211">
        <f t="shared" si="29"/>
        <v>19</v>
      </c>
      <c r="U211">
        <f>T211+1</f>
        <v>20</v>
      </c>
      <c r="V211">
        <f t="shared" ref="V211:AC211" si="30">U211+1</f>
        <v>21</v>
      </c>
      <c r="W211">
        <f t="shared" si="30"/>
        <v>22</v>
      </c>
      <c r="X211">
        <f t="shared" si="30"/>
        <v>23</v>
      </c>
      <c r="Y211">
        <f t="shared" si="30"/>
        <v>24</v>
      </c>
      <c r="Z211">
        <f t="shared" si="30"/>
        <v>25</v>
      </c>
      <c r="AA211">
        <f t="shared" si="30"/>
        <v>26</v>
      </c>
      <c r="AB211">
        <f t="shared" si="30"/>
        <v>27</v>
      </c>
      <c r="AC211">
        <f t="shared" si="30"/>
        <v>28</v>
      </c>
      <c r="AD211">
        <f>IF(ABS(AC211)&lt;$C210,AC211+1,-AC211+1)</f>
        <v>29</v>
      </c>
      <c r="AE211">
        <f>IF(ABS(AD211)&lt;$C210,AD211+1,-AD211+1)</f>
        <v>30</v>
      </c>
      <c r="AF211">
        <f>IF(ABS(AE211)&lt;$C210,AE211+1,-AE211+1)</f>
        <v>-29</v>
      </c>
    </row>
    <row r="212" spans="1:32">
      <c r="A212" t="str">
        <f>A211</f>
        <v>Lapkritis</v>
      </c>
      <c r="B212" t="str">
        <f t="shared" ref="B212:AF212" ca="1" si="31">IF(B211&gt;0,IF(OR(OFFSET($I$1,$B210-1,0)=B211,OFFSET($I$1,$B210-1,1)=B211,OFFSET($I$1,$B210-1,2)=B211),"SV",CHOOSE(WEEKDAY(DATE($A210,$B210,B211),2),"--","--","--","--","--","SS","SK")),"XX")</f>
        <v>SV</v>
      </c>
      <c r="C212" t="str">
        <f t="shared" ca="1" si="31"/>
        <v>SV</v>
      </c>
      <c r="D212" t="str">
        <f t="shared" ca="1" si="31"/>
        <v>--</v>
      </c>
      <c r="E212" t="str">
        <f t="shared" ca="1" si="31"/>
        <v>--</v>
      </c>
      <c r="F212" t="str">
        <f t="shared" ca="1" si="31"/>
        <v>--</v>
      </c>
      <c r="G212" t="str">
        <f t="shared" ca="1" si="31"/>
        <v>--</v>
      </c>
      <c r="H212" t="str">
        <f t="shared" ca="1" si="31"/>
        <v>SS</v>
      </c>
      <c r="I212" t="str">
        <f t="shared" ca="1" si="31"/>
        <v>SK</v>
      </c>
      <c r="J212" t="str">
        <f t="shared" ca="1" si="31"/>
        <v>--</v>
      </c>
      <c r="K212" t="str">
        <f t="shared" ca="1" si="31"/>
        <v>--</v>
      </c>
      <c r="L212" t="str">
        <f t="shared" ca="1" si="31"/>
        <v>--</v>
      </c>
      <c r="M212" t="str">
        <f t="shared" ca="1" si="31"/>
        <v>--</v>
      </c>
      <c r="N212" t="str">
        <f t="shared" ca="1" si="31"/>
        <v>--</v>
      </c>
      <c r="O212" t="str">
        <f t="shared" ca="1" si="31"/>
        <v>SS</v>
      </c>
      <c r="P212" t="str">
        <f t="shared" ca="1" si="31"/>
        <v>SK</v>
      </c>
      <c r="Q212" t="str">
        <f t="shared" ca="1" si="31"/>
        <v>--</v>
      </c>
      <c r="R212" t="str">
        <f t="shared" ca="1" si="31"/>
        <v>--</v>
      </c>
      <c r="S212" t="str">
        <f t="shared" ca="1" si="31"/>
        <v>--</v>
      </c>
      <c r="T212" t="str">
        <f t="shared" ca="1" si="31"/>
        <v>--</v>
      </c>
      <c r="U212" t="str">
        <f t="shared" ca="1" si="31"/>
        <v>--</v>
      </c>
      <c r="V212" t="str">
        <f t="shared" ca="1" si="31"/>
        <v>SS</v>
      </c>
      <c r="W212" t="str">
        <f t="shared" ca="1" si="31"/>
        <v>SK</v>
      </c>
      <c r="X212" t="str">
        <f t="shared" ca="1" si="31"/>
        <v>--</v>
      </c>
      <c r="Y212" t="str">
        <f t="shared" ca="1" si="31"/>
        <v>--</v>
      </c>
      <c r="Z212" t="str">
        <f t="shared" ca="1" si="31"/>
        <v>--</v>
      </c>
      <c r="AA212" t="str">
        <f t="shared" ca="1" si="31"/>
        <v>--</v>
      </c>
      <c r="AB212" t="str">
        <f t="shared" ca="1" si="31"/>
        <v>--</v>
      </c>
      <c r="AC212" t="str">
        <f t="shared" ca="1" si="31"/>
        <v>SS</v>
      </c>
      <c r="AD212" t="str">
        <f t="shared" ca="1" si="31"/>
        <v>SK</v>
      </c>
      <c r="AE212" t="str">
        <f t="shared" ca="1" si="31"/>
        <v>--</v>
      </c>
      <c r="AF212" t="str">
        <f t="shared" ca="1" si="31"/>
        <v>XX</v>
      </c>
    </row>
    <row r="213" spans="1:32">
      <c r="A213" s="85" t="e">
        <f>ROW(#REF!)-1</f>
        <v>#REF!</v>
      </c>
      <c r="B213" s="85" t="e">
        <f>ROW(#REF!)-1</f>
        <v>#REF!</v>
      </c>
      <c r="C213" s="85" t="e">
        <f>ROW(#REF!)-1</f>
        <v>#REF!</v>
      </c>
      <c r="D213" s="85" t="e">
        <f>ROW(#REF!)-1</f>
        <v>#REF!</v>
      </c>
      <c r="E213" s="85" t="e">
        <f>ROW(#REF!)-1</f>
        <v>#REF!</v>
      </c>
      <c r="F213" s="85" t="e">
        <f>ROW(#REF!)-1</f>
        <v>#REF!</v>
      </c>
      <c r="G213" s="85" t="e">
        <f>ROW(#REF!)-1</f>
        <v>#REF!</v>
      </c>
      <c r="H213" s="85" t="e">
        <f>ROW(#REF!)-1</f>
        <v>#REF!</v>
      </c>
      <c r="I213" s="85" t="e">
        <f>ROW(#REF!)-1</f>
        <v>#REF!</v>
      </c>
      <c r="J213" s="85" t="e">
        <f>ROW(#REF!)-1</f>
        <v>#REF!</v>
      </c>
      <c r="K213" s="85" t="e">
        <f>ROW(#REF!)-1</f>
        <v>#REF!</v>
      </c>
      <c r="L213" s="85" t="e">
        <f>ROW(#REF!)-1</f>
        <v>#REF!</v>
      </c>
      <c r="M213" s="85" t="e">
        <f>ROW(#REF!)-1</f>
        <v>#REF!</v>
      </c>
      <c r="N213" s="85" t="e">
        <f>ROW(#REF!)-1</f>
        <v>#REF!</v>
      </c>
      <c r="O213" s="85" t="e">
        <f>ROW(#REF!)-1</f>
        <v>#REF!</v>
      </c>
      <c r="P213" s="85" t="e">
        <f>ROW(#REF!)-1</f>
        <v>#REF!</v>
      </c>
      <c r="Q213" s="85" t="e">
        <f>ROW(#REF!)-1</f>
        <v>#REF!</v>
      </c>
      <c r="R213" s="85" t="e">
        <f>ROW(#REF!)-1</f>
        <v>#REF!</v>
      </c>
      <c r="S213" s="85" t="e">
        <f>ROW(#REF!)-1</f>
        <v>#REF!</v>
      </c>
      <c r="T213" s="85" t="e">
        <f>ROW(#REF!)-1</f>
        <v>#REF!</v>
      </c>
      <c r="U213" s="85" t="e">
        <f>ROW(#REF!)-1</f>
        <v>#REF!</v>
      </c>
      <c r="V213" s="85" t="e">
        <f>ROW(#REF!)-1</f>
        <v>#REF!</v>
      </c>
      <c r="W213" s="85" t="e">
        <f>ROW(#REF!)-1</f>
        <v>#REF!</v>
      </c>
      <c r="X213" s="85" t="e">
        <f>ROW(#REF!)-1</f>
        <v>#REF!</v>
      </c>
      <c r="Y213" s="85" t="e">
        <f>ROW(#REF!)-1</f>
        <v>#REF!</v>
      </c>
      <c r="Z213" s="85" t="e">
        <f>ROW(#REF!)-1</f>
        <v>#REF!</v>
      </c>
      <c r="AA213" s="85" t="e">
        <f>ROW(#REF!)-1</f>
        <v>#REF!</v>
      </c>
      <c r="AB213" s="85" t="e">
        <f>ROW(#REF!)-1</f>
        <v>#REF!</v>
      </c>
      <c r="AC213" s="85" t="e">
        <f>ROW(#REF!)-1</f>
        <v>#REF!</v>
      </c>
      <c r="AD213" s="85" t="e">
        <f>ROW(#REF!)-1</f>
        <v>#REF!</v>
      </c>
      <c r="AE213" s="85" t="e">
        <f>ROW(#REF!)-1</f>
        <v>#REF!</v>
      </c>
      <c r="AF213" s="85" t="e">
        <f>ROW(#REF!)-1</f>
        <v>#REF!</v>
      </c>
    </row>
    <row r="219" spans="1:32">
      <c r="A219" t="s">
        <v>115</v>
      </c>
      <c r="B219" t="s">
        <v>130</v>
      </c>
      <c r="C219" t="s">
        <v>129</v>
      </c>
      <c r="F219" t="s">
        <v>128</v>
      </c>
    </row>
    <row r="220" spans="1:32">
      <c r="A220">
        <f>Dinamika!$B$1</f>
        <v>2026</v>
      </c>
      <c r="B220">
        <v>12</v>
      </c>
      <c r="C220">
        <f>DAY(EOMONTH(DATE(A220,B220,1),0))</f>
        <v>31</v>
      </c>
      <c r="F220" t="str">
        <f>CHOOSE($B220,$B$1,$B$2,$B$3,$B$4,$B$5,$B$6,$B$7,$B$8,$B$9,$B$10,$B$11,$B$12)</f>
        <v>Gruodis</v>
      </c>
    </row>
    <row r="221" spans="1:32">
      <c r="A221" t="str">
        <f>CHOOSE($B220,$B$1,$B$2,$B$3,$B$4,$B$5,$B$6,$B$7,$B$8,$B$9,$B$10,$B$11,$B$12)</f>
        <v>Gruodis</v>
      </c>
      <c r="B221">
        <v>1</v>
      </c>
      <c r="C221">
        <f>B221+1</f>
        <v>2</v>
      </c>
      <c r="D221">
        <f t="shared" ref="D221:T221" si="32">C221+1</f>
        <v>3</v>
      </c>
      <c r="E221">
        <f t="shared" si="32"/>
        <v>4</v>
      </c>
      <c r="F221">
        <f t="shared" si="32"/>
        <v>5</v>
      </c>
      <c r="G221">
        <f t="shared" si="32"/>
        <v>6</v>
      </c>
      <c r="H221">
        <f t="shared" si="32"/>
        <v>7</v>
      </c>
      <c r="I221">
        <f t="shared" si="32"/>
        <v>8</v>
      </c>
      <c r="J221">
        <f t="shared" si="32"/>
        <v>9</v>
      </c>
      <c r="K221">
        <f t="shared" si="32"/>
        <v>10</v>
      </c>
      <c r="L221">
        <f t="shared" si="32"/>
        <v>11</v>
      </c>
      <c r="M221">
        <f t="shared" si="32"/>
        <v>12</v>
      </c>
      <c r="N221">
        <f t="shared" si="32"/>
        <v>13</v>
      </c>
      <c r="O221">
        <f t="shared" si="32"/>
        <v>14</v>
      </c>
      <c r="P221">
        <f t="shared" si="32"/>
        <v>15</v>
      </c>
      <c r="Q221">
        <f t="shared" si="32"/>
        <v>16</v>
      </c>
      <c r="R221">
        <f t="shared" si="32"/>
        <v>17</v>
      </c>
      <c r="S221">
        <f t="shared" si="32"/>
        <v>18</v>
      </c>
      <c r="T221">
        <f t="shared" si="32"/>
        <v>19</v>
      </c>
      <c r="U221">
        <f>T221+1</f>
        <v>20</v>
      </c>
      <c r="V221">
        <f t="shared" ref="V221:AC221" si="33">U221+1</f>
        <v>21</v>
      </c>
      <c r="W221">
        <f t="shared" si="33"/>
        <v>22</v>
      </c>
      <c r="X221">
        <f t="shared" si="33"/>
        <v>23</v>
      </c>
      <c r="Y221">
        <f t="shared" si="33"/>
        <v>24</v>
      </c>
      <c r="Z221">
        <f t="shared" si="33"/>
        <v>25</v>
      </c>
      <c r="AA221">
        <f t="shared" si="33"/>
        <v>26</v>
      </c>
      <c r="AB221">
        <f t="shared" si="33"/>
        <v>27</v>
      </c>
      <c r="AC221">
        <f t="shared" si="33"/>
        <v>28</v>
      </c>
      <c r="AD221">
        <f>IF(ABS(AC221)&lt;$C220,AC221+1,-AC221+1)</f>
        <v>29</v>
      </c>
      <c r="AE221">
        <f>IF(ABS(AD221)&lt;$C220,AD221+1,-AD221+1)</f>
        <v>30</v>
      </c>
      <c r="AF221">
        <f>IF(ABS(AE221)&lt;$C220,AE221+1,-AE221+1)</f>
        <v>31</v>
      </c>
    </row>
    <row r="222" spans="1:32">
      <c r="A222" t="str">
        <f>A221</f>
        <v>Gruodis</v>
      </c>
      <c r="B222" t="str">
        <f t="shared" ref="B222:AF222" ca="1" si="34">IF(B221&gt;0,IF(OR(OFFSET($I$1,$B220-1,0)=B221,OFFSET($I$1,$B220-1,1)=B221,OFFSET($I$1,$B220-1,2)=B221),"SV",CHOOSE(WEEKDAY(DATE($A220,$B220,B221),2),"--","--","--","--","--","SS","SK")),"XX")</f>
        <v>--</v>
      </c>
      <c r="C222" t="str">
        <f t="shared" ca="1" si="34"/>
        <v>--</v>
      </c>
      <c r="D222" t="str">
        <f t="shared" ca="1" si="34"/>
        <v>--</v>
      </c>
      <c r="E222" t="str">
        <f t="shared" ca="1" si="34"/>
        <v>--</v>
      </c>
      <c r="F222" t="str">
        <f t="shared" ca="1" si="34"/>
        <v>SS</v>
      </c>
      <c r="G222" t="str">
        <f t="shared" ca="1" si="34"/>
        <v>SK</v>
      </c>
      <c r="H222" t="str">
        <f t="shared" ca="1" si="34"/>
        <v>--</v>
      </c>
      <c r="I222" t="str">
        <f t="shared" ca="1" si="34"/>
        <v>--</v>
      </c>
      <c r="J222" t="str">
        <f t="shared" ca="1" si="34"/>
        <v>--</v>
      </c>
      <c r="K222" t="str">
        <f t="shared" ca="1" si="34"/>
        <v>--</v>
      </c>
      <c r="L222" t="str">
        <f t="shared" ca="1" si="34"/>
        <v>--</v>
      </c>
      <c r="M222" t="str">
        <f t="shared" ca="1" si="34"/>
        <v>SS</v>
      </c>
      <c r="N222" t="str">
        <f t="shared" ca="1" si="34"/>
        <v>SK</v>
      </c>
      <c r="O222" t="str">
        <f t="shared" ca="1" si="34"/>
        <v>--</v>
      </c>
      <c r="P222" t="str">
        <f t="shared" ca="1" si="34"/>
        <v>--</v>
      </c>
      <c r="Q222" t="str">
        <f t="shared" ca="1" si="34"/>
        <v>--</v>
      </c>
      <c r="R222" t="str">
        <f t="shared" ca="1" si="34"/>
        <v>--</v>
      </c>
      <c r="S222" t="str">
        <f t="shared" ca="1" si="34"/>
        <v>--</v>
      </c>
      <c r="T222" t="str">
        <f t="shared" ca="1" si="34"/>
        <v>SS</v>
      </c>
      <c r="U222" t="str">
        <f t="shared" ca="1" si="34"/>
        <v>SK</v>
      </c>
      <c r="V222" t="str">
        <f t="shared" ca="1" si="34"/>
        <v>--</v>
      </c>
      <c r="W222" t="str">
        <f t="shared" ca="1" si="34"/>
        <v>--</v>
      </c>
      <c r="X222" t="str">
        <f t="shared" ca="1" si="34"/>
        <v>--</v>
      </c>
      <c r="Y222" t="str">
        <f t="shared" ca="1" si="34"/>
        <v>SV</v>
      </c>
      <c r="Z222" t="str">
        <f t="shared" ca="1" si="34"/>
        <v>SV</v>
      </c>
      <c r="AA222" t="str">
        <f t="shared" ca="1" si="34"/>
        <v>SV</v>
      </c>
      <c r="AB222" t="str">
        <f t="shared" ca="1" si="34"/>
        <v>SK</v>
      </c>
      <c r="AC222" t="str">
        <f t="shared" ca="1" si="34"/>
        <v>--</v>
      </c>
      <c r="AD222" t="str">
        <f t="shared" ca="1" si="34"/>
        <v>--</v>
      </c>
      <c r="AE222" t="str">
        <f t="shared" ca="1" si="34"/>
        <v>--</v>
      </c>
      <c r="AF222" t="str">
        <f t="shared" ca="1" si="34"/>
        <v>--</v>
      </c>
    </row>
    <row r="223" spans="1:32">
      <c r="A223" s="85" t="e">
        <f>ROW(#REF!)-1</f>
        <v>#REF!</v>
      </c>
      <c r="B223" s="85" t="e">
        <f>ROW(#REF!)-1</f>
        <v>#REF!</v>
      </c>
      <c r="C223" s="85" t="e">
        <f>ROW(#REF!)-1</f>
        <v>#REF!</v>
      </c>
      <c r="D223" s="85" t="e">
        <f>ROW(#REF!)-1</f>
        <v>#REF!</v>
      </c>
      <c r="E223" s="85" t="e">
        <f>ROW(#REF!)-1</f>
        <v>#REF!</v>
      </c>
      <c r="F223" s="85" t="e">
        <f>ROW(#REF!)-1</f>
        <v>#REF!</v>
      </c>
      <c r="G223" s="85" t="e">
        <f>ROW(#REF!)-1</f>
        <v>#REF!</v>
      </c>
      <c r="H223" s="85" t="e">
        <f>ROW(#REF!)-1</f>
        <v>#REF!</v>
      </c>
      <c r="I223" s="85" t="e">
        <f>ROW(#REF!)-1</f>
        <v>#REF!</v>
      </c>
      <c r="J223" s="85" t="e">
        <f>ROW(#REF!)-1</f>
        <v>#REF!</v>
      </c>
      <c r="K223" s="85" t="e">
        <f>ROW(#REF!)-1</f>
        <v>#REF!</v>
      </c>
      <c r="L223" s="85" t="e">
        <f>ROW(#REF!)-1</f>
        <v>#REF!</v>
      </c>
      <c r="M223" s="85" t="e">
        <f>ROW(#REF!)-1</f>
        <v>#REF!</v>
      </c>
      <c r="N223" s="85" t="e">
        <f>ROW(#REF!)-1</f>
        <v>#REF!</v>
      </c>
      <c r="O223" s="85" t="e">
        <f>ROW(#REF!)-1</f>
        <v>#REF!</v>
      </c>
      <c r="P223" s="85" t="e">
        <f>ROW(#REF!)-1</f>
        <v>#REF!</v>
      </c>
      <c r="Q223" s="85" t="e">
        <f>ROW(#REF!)-1</f>
        <v>#REF!</v>
      </c>
      <c r="R223" s="85" t="e">
        <f>ROW(#REF!)-1</f>
        <v>#REF!</v>
      </c>
      <c r="S223" s="85" t="e">
        <f>ROW(#REF!)-1</f>
        <v>#REF!</v>
      </c>
      <c r="T223" s="85" t="e">
        <f>ROW(#REF!)-1</f>
        <v>#REF!</v>
      </c>
      <c r="U223" s="85" t="e">
        <f>ROW(#REF!)-1</f>
        <v>#REF!</v>
      </c>
      <c r="V223" s="85" t="e">
        <f>ROW(#REF!)-1</f>
        <v>#REF!</v>
      </c>
      <c r="W223" s="85" t="e">
        <f>ROW(#REF!)-1</f>
        <v>#REF!</v>
      </c>
      <c r="X223" s="85" t="e">
        <f>ROW(#REF!)-1</f>
        <v>#REF!</v>
      </c>
      <c r="Y223" s="85" t="e">
        <f>ROW(#REF!)-1</f>
        <v>#REF!</v>
      </c>
      <c r="Z223" s="85" t="e">
        <f>ROW(#REF!)-1</f>
        <v>#REF!</v>
      </c>
      <c r="AA223" s="85" t="e">
        <f>ROW(#REF!)-1</f>
        <v>#REF!</v>
      </c>
      <c r="AB223" s="85" t="e">
        <f>ROW(#REF!)-1</f>
        <v>#REF!</v>
      </c>
      <c r="AC223" s="85" t="e">
        <f>ROW(#REF!)-1</f>
        <v>#REF!</v>
      </c>
      <c r="AD223" s="85" t="e">
        <f>ROW(#REF!)-1</f>
        <v>#REF!</v>
      </c>
      <c r="AE223" s="85" t="e">
        <f>ROW(#REF!)-1</f>
        <v>#REF!</v>
      </c>
      <c r="AF223" s="85" t="e">
        <f>ROW(#REF!)-1</f>
        <v>#REF!</v>
      </c>
    </row>
  </sheetData>
  <sortState ref="AG1:AI30">
    <sortCondition ref="AG1:AG30"/>
    <sortCondition ref="AH1:AH30"/>
    <sortCondition ref="AI1:AI30"/>
  </sortState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V39"/>
  <sheetViews>
    <sheetView tabSelected="1" workbookViewId="0">
      <selection activeCell="F12" sqref="F12"/>
    </sheetView>
  </sheetViews>
  <sheetFormatPr defaultColWidth="15.109375" defaultRowHeight="14.4"/>
  <cols>
    <col min="1" max="1" width="2.44140625" style="1" customWidth="1"/>
    <col min="2" max="2" width="44.44140625" style="1" customWidth="1"/>
    <col min="3" max="3" width="15.33203125" style="1" customWidth="1"/>
    <col min="4" max="4" width="25.109375" style="1" customWidth="1"/>
    <col min="5" max="5" width="13.6640625" style="1" customWidth="1"/>
    <col min="6" max="6" width="12.33203125" style="1" customWidth="1"/>
    <col min="7" max="7" width="14.5546875" style="1" customWidth="1"/>
    <col min="8" max="8" width="14.109375" style="1" customWidth="1"/>
    <col min="9" max="9" width="16.88671875" style="1" customWidth="1"/>
    <col min="10" max="10" width="15.33203125" style="1" customWidth="1"/>
    <col min="11" max="11" width="9.33203125" style="1" customWidth="1"/>
    <col min="12" max="12" width="9.88671875" style="1" customWidth="1"/>
    <col min="17" max="17" width="20.88671875" style="1" customWidth="1"/>
    <col min="18" max="18" width="24.33203125" customWidth="1"/>
  </cols>
  <sheetData>
    <row r="1" spans="2:22">
      <c r="B1" s="222"/>
      <c r="Q1" s="1" t="s">
        <v>0</v>
      </c>
    </row>
    <row r="2" spans="2:22" ht="15" thickBot="1"/>
    <row r="3" spans="2:22" ht="14.25" customHeight="1">
      <c r="B3" s="110"/>
      <c r="D3" s="86" t="s">
        <v>159</v>
      </c>
      <c r="U3" s="215" t="s">
        <v>155</v>
      </c>
      <c r="V3" s="216" t="e">
        <f>SUM(V6:V16,L253)</f>
        <v>#REF!</v>
      </c>
    </row>
    <row r="4" spans="2:22" ht="14.25" customHeight="1">
      <c r="B4" s="223" t="s">
        <v>1</v>
      </c>
      <c r="C4" s="223"/>
      <c r="D4" s="223"/>
      <c r="M4" s="2"/>
      <c r="O4" s="2"/>
      <c r="P4" s="2"/>
      <c r="Q4" s="2"/>
      <c r="R4" s="2"/>
      <c r="S4" s="2"/>
      <c r="T4" s="2"/>
      <c r="U4" s="217"/>
      <c r="V4" s="218"/>
    </row>
    <row r="5" spans="2:22" ht="15" customHeight="1">
      <c r="B5" s="224" t="str">
        <f ca="1">CONCATENATE(YEAR(NOW()+C3)," m. ",OFFSET('0'!A1,MONTH(NOW()+C3)-1,0)," mėn. ",DAY(NOW()+C3)," d.")</f>
        <v>2026 m. sausio mėn. 1 d.</v>
      </c>
      <c r="C5" s="224"/>
      <c r="D5" s="224"/>
      <c r="U5" s="217" t="s">
        <v>154</v>
      </c>
      <c r="V5" s="218"/>
    </row>
    <row r="6" spans="2:22" ht="30" customHeight="1">
      <c r="B6" s="3"/>
      <c r="C6" s="4" t="s">
        <v>2</v>
      </c>
      <c r="D6" s="5" t="s">
        <v>201</v>
      </c>
      <c r="U6" s="217">
        <v>1</v>
      </c>
      <c r="V6" s="219" t="e">
        <f>#REF!</f>
        <v>#REF!</v>
      </c>
    </row>
    <row r="7" spans="2:22" ht="18" customHeight="1">
      <c r="B7" s="6" t="s">
        <v>3</v>
      </c>
      <c r="C7" s="111" t="e">
        <f ca="1">INDIRECT(ADDRESS(OFFSET('0'!$B$113,(MONTH(NOW()+C3)-1)*10,DAY(NOW()+C3)-1)+1,4,4,TRUE,OFFSET('0'!$B$1,MONTH(NOW()+C3)-1,0)))</f>
        <v>#REF!</v>
      </c>
      <c r="D7" s="112" t="e">
        <f t="shared" ref="D7:D18" si="0">Q23</f>
        <v>#REF!</v>
      </c>
      <c r="F7" s="7" t="s">
        <v>4</v>
      </c>
      <c r="G7" s="7"/>
      <c r="H7" s="7"/>
      <c r="I7" s="7" t="s">
        <v>163</v>
      </c>
      <c r="J7" s="7"/>
      <c r="K7" s="7"/>
      <c r="L7" s="7"/>
      <c r="M7" s="7"/>
      <c r="N7" s="7"/>
      <c r="U7" s="217">
        <v>2</v>
      </c>
      <c r="V7" s="219" t="e">
        <f>#REF!</f>
        <v>#REF!</v>
      </c>
    </row>
    <row r="8" spans="2:22">
      <c r="B8" s="6" t="s">
        <v>5</v>
      </c>
      <c r="C8" s="112" t="e">
        <f ca="1">INDIRECT(ADDRESS(OFFSET('0'!$B$113,(MONTH(NOW()+C3)-1)*10,DAY(NOW()+C3)-1)+1,5,4,TRUE,OFFSET('0'!$B$1,MONTH(NOW()+C3)-1,0)))</f>
        <v>#REF!</v>
      </c>
      <c r="D8" s="112" t="e">
        <f t="shared" si="0"/>
        <v>#REF!</v>
      </c>
      <c r="F8" s="86" t="s">
        <v>164</v>
      </c>
      <c r="U8" s="217">
        <v>3</v>
      </c>
      <c r="V8" s="219" t="e">
        <f>#REF!</f>
        <v>#REF!</v>
      </c>
    </row>
    <row r="9" spans="2:22">
      <c r="B9" s="6" t="s">
        <v>6</v>
      </c>
      <c r="C9" s="112" t="e">
        <f ca="1">INDIRECT(ADDRESS(OFFSET('0'!$B$113,(MONTH(NOW()+C3)-1)*10,DAY(NOW()+C3)-1)+1,15,4,TRUE,OFFSET('0'!$B$1,MONTH(NOW()+C3)-1,0)))</f>
        <v>#REF!</v>
      </c>
      <c r="D9" s="112" t="e">
        <f t="shared" si="0"/>
        <v>#REF!</v>
      </c>
      <c r="U9" s="217">
        <v>4</v>
      </c>
      <c r="V9" s="219" t="e">
        <f>#REF!</f>
        <v>#REF!</v>
      </c>
    </row>
    <row r="10" spans="2:22">
      <c r="B10" s="6" t="s">
        <v>7</v>
      </c>
      <c r="C10" s="112" t="e">
        <f ca="1">INDIRECT(ADDRESS(OFFSET('0'!$B$113,(MONTH(NOW()+C3)-1)*10,DAY(NOW()+C3)-1)+1,16,4,TRUE,OFFSET('0'!$B$1,MONTH(NOW()+C3)-1,0)))</f>
        <v>#REF!</v>
      </c>
      <c r="D10" s="112" t="e">
        <f t="shared" si="0"/>
        <v>#REF!</v>
      </c>
      <c r="U10" s="217">
        <v>5</v>
      </c>
      <c r="V10" s="219" t="e">
        <f>#REF!</f>
        <v>#REF!</v>
      </c>
    </row>
    <row r="11" spans="2:22" ht="15" customHeight="1">
      <c r="B11" s="6" t="s">
        <v>8</v>
      </c>
      <c r="C11" s="112" t="e">
        <f ca="1">INDIRECT(ADDRESS(OFFSET('0'!$B$113,(MONTH(NOW()+C3)-1)*10,DAY(NOW()+C3)-1)+1,6,4,TRUE,OFFSET('0'!$B$1,MONTH(NOW()+C3)-1,0)))</f>
        <v>#REF!</v>
      </c>
      <c r="D11" s="112" t="e">
        <f t="shared" si="0"/>
        <v>#REF!</v>
      </c>
      <c r="U11" s="217">
        <v>6</v>
      </c>
      <c r="V11" s="219" t="e">
        <f>#REF!</f>
        <v>#REF!</v>
      </c>
    </row>
    <row r="12" spans="2:22" ht="15" customHeight="1">
      <c r="B12" s="3" t="s">
        <v>9</v>
      </c>
      <c r="C12" s="112" t="e">
        <f ca="1">INDIRECT(ADDRESS(OFFSET('0'!$B$113,(MONTH(NOW()+C3)-1)*10,DAY(NOW()+C3)-1),6,4,TRUE,OFFSET('0'!$B$1,MONTH(NOW()+C3)-1,0)))</f>
        <v>#REF!</v>
      </c>
      <c r="D12" s="112" t="e">
        <f t="shared" si="0"/>
        <v>#REF!</v>
      </c>
      <c r="U12" s="217">
        <v>7</v>
      </c>
      <c r="V12" s="219" t="e">
        <f>#REF!</f>
        <v>#REF!</v>
      </c>
    </row>
    <row r="13" spans="2:22" ht="15" customHeight="1">
      <c r="B13" s="3" t="s">
        <v>10</v>
      </c>
      <c r="C13" s="112" t="e">
        <f ca="1">INDIRECT(ADDRESS(OFFSET('0'!$B$113,(MONTH(NOW()+C3)-1)*10,DAY(NOW()+C3)-1),7,4,TRUE,OFFSET('0'!$B$1,MONTH(NOW()+C3)-1,0)))</f>
        <v>#REF!</v>
      </c>
      <c r="D13" s="112" t="e">
        <f t="shared" si="0"/>
        <v>#REF!</v>
      </c>
      <c r="U13" s="217">
        <v>8</v>
      </c>
      <c r="V13" s="219" t="e">
        <f>#REF!</f>
        <v>#REF!</v>
      </c>
    </row>
    <row r="14" spans="2:22" ht="15" customHeight="1">
      <c r="B14" s="3" t="s">
        <v>11</v>
      </c>
      <c r="C14" s="112" t="e">
        <f ca="1">INDIRECT(ADDRESS(OFFSET('0'!$B$113,(MONTH(NOW()+C3)-1)*10,DAY(NOW()+C3)-1),8,4,TRUE,OFFSET('0'!$B$1,MONTH(NOW()+C3)-1,0)))</f>
        <v>#REF!</v>
      </c>
      <c r="D14" s="112" t="e">
        <f t="shared" si="0"/>
        <v>#REF!</v>
      </c>
      <c r="U14" s="217">
        <v>9</v>
      </c>
      <c r="V14" s="219" t="e">
        <f>#REF!</f>
        <v>#REF!</v>
      </c>
    </row>
    <row r="15" spans="2:22" ht="15" customHeight="1">
      <c r="B15" s="3" t="s">
        <v>12</v>
      </c>
      <c r="C15" s="112" t="e">
        <f ca="1">INDIRECT(ADDRESS(OFFSET('0'!$B$113,(MONTH(NOW()+C3)-1)*10,DAY(NOW()+C3)-1),9,4,TRUE,OFFSET('0'!$B$1,MONTH(NOW()+C3)-1,0)))</f>
        <v>#REF!</v>
      </c>
      <c r="D15" s="112" t="e">
        <f t="shared" si="0"/>
        <v>#REF!</v>
      </c>
      <c r="U15" s="217">
        <v>10</v>
      </c>
      <c r="V15" s="219" t="e">
        <f>#REF!</f>
        <v>#REF!</v>
      </c>
    </row>
    <row r="16" spans="2:22" ht="15" customHeight="1">
      <c r="B16" s="3" t="s">
        <v>13</v>
      </c>
      <c r="C16" s="112" t="e">
        <f ca="1">INDIRECT(ADDRESS(OFFSET('0'!$B$113,(MONTH(NOW()+C3)-1)*10,DAY(NOW()+C3)-1),10,4,TRUE,OFFSET('0'!$B$1,MONTH(NOW()+C3)-1,0)))</f>
        <v>#REF!</v>
      </c>
      <c r="D16" s="112" t="e">
        <f t="shared" si="0"/>
        <v>#REF!</v>
      </c>
      <c r="U16" s="217">
        <v>11</v>
      </c>
      <c r="V16" s="219" t="e">
        <f>#REF!</f>
        <v>#REF!</v>
      </c>
    </row>
    <row r="17" spans="2:22" ht="15" customHeight="1" thickBot="1">
      <c r="B17" s="3" t="s">
        <v>14</v>
      </c>
      <c r="C17" s="112" t="e">
        <f ca="1">INDIRECT(ADDRESS(OFFSET('0'!$B$113,(MONTH(NOW()+C3)-1)*10,DAY(NOW()+C3)-1),11,4,TRUE,OFFSET('0'!$B$1,MONTH(NOW()+C3)-1,0)))</f>
        <v>#REF!</v>
      </c>
      <c r="D17" s="112" t="e">
        <f t="shared" si="0"/>
        <v>#REF!</v>
      </c>
      <c r="U17" s="220"/>
      <c r="V17" s="221"/>
    </row>
    <row r="18" spans="2:22">
      <c r="B18" s="6" t="s">
        <v>15</v>
      </c>
      <c r="C18" s="113" t="e">
        <f ca="1">INDIRECT(ADDRESS(OFFSET('0'!$B$113,(MONTH(NOW()+C3)-1)*10,DAY(NOW()+C3)-1)+1,12,4,TRUE,OFFSET('0'!$B$1,MONTH(NOW()+C3)-1,0)))</f>
        <v>#REF!</v>
      </c>
      <c r="D18" s="114" t="e">
        <f t="shared" si="0"/>
        <v>#REF!</v>
      </c>
    </row>
    <row r="19" spans="2:22">
      <c r="B19" s="225" t="s">
        <v>16</v>
      </c>
      <c r="C19" s="225"/>
      <c r="D19" s="225"/>
    </row>
    <row r="20" spans="2:22">
      <c r="B20" s="8"/>
    </row>
    <row r="21" spans="2:22" ht="28.5" customHeight="1">
      <c r="D21" s="226" t="s">
        <v>17</v>
      </c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</row>
    <row r="22" spans="2:22" ht="48" customHeight="1">
      <c r="D22" s="9"/>
      <c r="E22" s="10" t="s">
        <v>18</v>
      </c>
      <c r="F22" s="10" t="s">
        <v>19</v>
      </c>
      <c r="G22" s="11" t="s">
        <v>20</v>
      </c>
      <c r="H22" s="11" t="s">
        <v>21</v>
      </c>
      <c r="I22" s="11" t="s">
        <v>22</v>
      </c>
      <c r="J22" s="11" t="s">
        <v>23</v>
      </c>
      <c r="K22" s="11" t="s">
        <v>24</v>
      </c>
      <c r="L22" s="11" t="s">
        <v>25</v>
      </c>
      <c r="M22" s="11" t="s">
        <v>26</v>
      </c>
      <c r="N22" s="11" t="s">
        <v>27</v>
      </c>
      <c r="O22" s="11" t="s">
        <v>28</v>
      </c>
      <c r="P22" s="11" t="s">
        <v>29</v>
      </c>
      <c r="Q22" s="12" t="s">
        <v>30</v>
      </c>
      <c r="R22" s="12" t="s">
        <v>199</v>
      </c>
    </row>
    <row r="23" spans="2:22" ht="27.6">
      <c r="D23" s="13" t="s">
        <v>3</v>
      </c>
      <c r="E23" s="213" t="e">
        <f>#REF!</f>
        <v>#REF!</v>
      </c>
      <c r="F23" s="213" t="e">
        <f>#REF!</f>
        <v>#REF!</v>
      </c>
      <c r="G23" s="87" t="e">
        <f>#REF!</f>
        <v>#REF!</v>
      </c>
      <c r="H23" s="87" t="e">
        <f>#REF!</f>
        <v>#REF!</v>
      </c>
      <c r="I23" s="87" t="e">
        <f>#REF!</f>
        <v>#REF!</v>
      </c>
      <c r="J23" s="87" t="e">
        <f>#REF!</f>
        <v>#REF!</v>
      </c>
      <c r="K23" s="87" t="e">
        <f>#REF!</f>
        <v>#REF!</v>
      </c>
      <c r="L23" s="87" t="e">
        <f>#REF!</f>
        <v>#REF!</v>
      </c>
      <c r="M23" s="87" t="e">
        <f>#REF!</f>
        <v>#REF!</v>
      </c>
      <c r="N23" s="87" t="e">
        <f>#REF!</f>
        <v>#REF!</v>
      </c>
      <c r="O23" s="87" t="e">
        <f>#REF!</f>
        <v>#REF!</v>
      </c>
      <c r="P23" s="87" t="e">
        <f>#REF!</f>
        <v>#REF!</v>
      </c>
      <c r="Q23" s="12" t="e">
        <f>SUM(E23:P23,R23)</f>
        <v>#REF!</v>
      </c>
      <c r="R23" s="179"/>
    </row>
    <row r="24" spans="2:22">
      <c r="D24" s="13" t="s">
        <v>5</v>
      </c>
      <c r="E24" s="213" t="e">
        <f>#REF!</f>
        <v>#REF!</v>
      </c>
      <c r="F24" s="213" t="e">
        <f>#REF!</f>
        <v>#REF!</v>
      </c>
      <c r="G24" s="87" t="e">
        <f>#REF!</f>
        <v>#REF!</v>
      </c>
      <c r="H24" s="87" t="e">
        <f>#REF!</f>
        <v>#REF!</v>
      </c>
      <c r="I24" s="87" t="e">
        <f>#REF!</f>
        <v>#REF!</v>
      </c>
      <c r="J24" s="87" t="e">
        <f>#REF!</f>
        <v>#REF!</v>
      </c>
      <c r="K24" s="87" t="e">
        <f>#REF!</f>
        <v>#REF!</v>
      </c>
      <c r="L24" s="87" t="e">
        <f>#REF!</f>
        <v>#REF!</v>
      </c>
      <c r="M24" s="87" t="e">
        <f>#REF!</f>
        <v>#REF!</v>
      </c>
      <c r="N24" s="87" t="e">
        <f>#REF!</f>
        <v>#REF!</v>
      </c>
      <c r="O24" s="87" t="e">
        <f>#REF!</f>
        <v>#REF!</v>
      </c>
      <c r="P24" s="87" t="e">
        <f>#REF!</f>
        <v>#REF!</v>
      </c>
      <c r="Q24" s="12" t="e">
        <f t="shared" ref="Q24:Q34" si="1">SUM(E24:P24,R24)</f>
        <v>#REF!</v>
      </c>
      <c r="R24" s="179"/>
    </row>
    <row r="25" spans="2:22" ht="26.25" customHeight="1">
      <c r="D25" s="13" t="s">
        <v>6</v>
      </c>
      <c r="E25" s="213" t="e">
        <f>#REF!</f>
        <v>#REF!</v>
      </c>
      <c r="F25" s="213" t="e">
        <f>#REF!</f>
        <v>#REF!</v>
      </c>
      <c r="G25" s="87" t="e">
        <f>#REF!</f>
        <v>#REF!</v>
      </c>
      <c r="H25" s="87" t="e">
        <f>#REF!</f>
        <v>#REF!</v>
      </c>
      <c r="I25" s="87" t="e">
        <f>#REF!</f>
        <v>#REF!</v>
      </c>
      <c r="J25" s="87" t="e">
        <f>#REF!</f>
        <v>#REF!</v>
      </c>
      <c r="K25" s="87" t="e">
        <f>#REF!</f>
        <v>#REF!</v>
      </c>
      <c r="L25" s="87" t="e">
        <f>#REF!</f>
        <v>#REF!</v>
      </c>
      <c r="M25" s="87" t="e">
        <f>#REF!</f>
        <v>#REF!</v>
      </c>
      <c r="N25" s="87" t="e">
        <f>#REF!</f>
        <v>#REF!</v>
      </c>
      <c r="O25" s="87" t="e">
        <f>#REF!</f>
        <v>#REF!</v>
      </c>
      <c r="P25" s="87" t="e">
        <f>#REF!</f>
        <v>#REF!</v>
      </c>
      <c r="Q25" s="12" t="e">
        <f t="shared" si="1"/>
        <v>#REF!</v>
      </c>
      <c r="R25" s="179"/>
    </row>
    <row r="26" spans="2:22" ht="18.75" customHeight="1">
      <c r="D26" s="13" t="s">
        <v>7</v>
      </c>
      <c r="E26" s="213" t="e">
        <f>#REF!</f>
        <v>#REF!</v>
      </c>
      <c r="F26" s="213" t="e">
        <f>#REF!</f>
        <v>#REF!</v>
      </c>
      <c r="G26" s="87" t="e">
        <f>#REF!</f>
        <v>#REF!</v>
      </c>
      <c r="H26" s="87" t="e">
        <f>#REF!</f>
        <v>#REF!</v>
      </c>
      <c r="I26" s="87" t="e">
        <f>#REF!</f>
        <v>#REF!</v>
      </c>
      <c r="J26" s="87" t="e">
        <f>#REF!</f>
        <v>#REF!</v>
      </c>
      <c r="K26" s="87" t="e">
        <f>#REF!</f>
        <v>#REF!</v>
      </c>
      <c r="L26" s="87" t="e">
        <f>#REF!</f>
        <v>#REF!</v>
      </c>
      <c r="M26" s="87" t="e">
        <f>#REF!</f>
        <v>#REF!</v>
      </c>
      <c r="N26" s="87" t="e">
        <f>#REF!</f>
        <v>#REF!</v>
      </c>
      <c r="O26" s="87" t="e">
        <f>#REF!</f>
        <v>#REF!</v>
      </c>
      <c r="P26" s="87" t="e">
        <f>#REF!</f>
        <v>#REF!</v>
      </c>
      <c r="Q26" s="12" t="e">
        <f t="shared" si="1"/>
        <v>#REF!</v>
      </c>
      <c r="R26" s="179"/>
    </row>
    <row r="27" spans="2:22" ht="25.5" customHeight="1">
      <c r="D27" s="13" t="s">
        <v>31</v>
      </c>
      <c r="E27" s="213" t="e">
        <f>#REF!</f>
        <v>#REF!</v>
      </c>
      <c r="F27" s="213" t="e">
        <f>#REF!</f>
        <v>#REF!</v>
      </c>
      <c r="G27" s="87" t="e">
        <f>#REF!</f>
        <v>#REF!</v>
      </c>
      <c r="H27" s="87" t="e">
        <f>#REF!</f>
        <v>#REF!</v>
      </c>
      <c r="I27" s="87" t="e">
        <f>#REF!</f>
        <v>#REF!</v>
      </c>
      <c r="J27" s="87" t="e">
        <f>#REF!</f>
        <v>#REF!</v>
      </c>
      <c r="K27" s="87" t="e">
        <f>#REF!</f>
        <v>#REF!</v>
      </c>
      <c r="L27" s="87" t="e">
        <f>#REF!</f>
        <v>#REF!</v>
      </c>
      <c r="M27" s="87" t="e">
        <f>#REF!</f>
        <v>#REF!</v>
      </c>
      <c r="N27" s="87" t="e">
        <f>#REF!</f>
        <v>#REF!</v>
      </c>
      <c r="O27" s="87" t="e">
        <f>#REF!</f>
        <v>#REF!</v>
      </c>
      <c r="P27" s="87" t="e">
        <f>#REF!</f>
        <v>#REF!</v>
      </c>
      <c r="Q27" s="12" t="e">
        <f t="shared" si="1"/>
        <v>#REF!</v>
      </c>
      <c r="R27" s="179"/>
    </row>
    <row r="28" spans="2:22">
      <c r="D28" s="14" t="s">
        <v>9</v>
      </c>
      <c r="E28" s="213" t="e">
        <f>#REF!</f>
        <v>#REF!</v>
      </c>
      <c r="F28" s="213" t="e">
        <f>#REF!</f>
        <v>#REF!</v>
      </c>
      <c r="G28" s="87" t="e">
        <f>#REF!</f>
        <v>#REF!</v>
      </c>
      <c r="H28" s="87" t="e">
        <f>#REF!</f>
        <v>#REF!</v>
      </c>
      <c r="I28" s="87" t="e">
        <f>#REF!</f>
        <v>#REF!</v>
      </c>
      <c r="J28" s="87" t="e">
        <f>#REF!</f>
        <v>#REF!</v>
      </c>
      <c r="K28" s="87" t="e">
        <f>#REF!</f>
        <v>#REF!</v>
      </c>
      <c r="L28" s="87" t="e">
        <f>#REF!</f>
        <v>#REF!</v>
      </c>
      <c r="M28" s="87" t="e">
        <f>#REF!</f>
        <v>#REF!</v>
      </c>
      <c r="N28" s="87" t="e">
        <f>#REF!</f>
        <v>#REF!</v>
      </c>
      <c r="O28" s="87" t="e">
        <f>#REF!</f>
        <v>#REF!</v>
      </c>
      <c r="P28" s="87" t="e">
        <f>#REF!</f>
        <v>#REF!</v>
      </c>
      <c r="Q28" s="12" t="e">
        <f t="shared" si="1"/>
        <v>#REF!</v>
      </c>
      <c r="R28" s="179"/>
    </row>
    <row r="29" spans="2:22">
      <c r="D29" s="14" t="s">
        <v>10</v>
      </c>
      <c r="E29" s="213" t="e">
        <f>#REF!</f>
        <v>#REF!</v>
      </c>
      <c r="F29" s="213" t="e">
        <f>#REF!</f>
        <v>#REF!</v>
      </c>
      <c r="G29" s="87" t="e">
        <f>#REF!</f>
        <v>#REF!</v>
      </c>
      <c r="H29" s="87" t="e">
        <f>#REF!</f>
        <v>#REF!</v>
      </c>
      <c r="I29" s="87" t="e">
        <f>#REF!</f>
        <v>#REF!</v>
      </c>
      <c r="J29" s="87" t="e">
        <f>#REF!</f>
        <v>#REF!</v>
      </c>
      <c r="K29" s="87" t="e">
        <f>#REF!</f>
        <v>#REF!</v>
      </c>
      <c r="L29" s="87" t="e">
        <f>#REF!</f>
        <v>#REF!</v>
      </c>
      <c r="M29" s="87" t="e">
        <f>#REF!</f>
        <v>#REF!</v>
      </c>
      <c r="N29" s="87" t="e">
        <f>#REF!</f>
        <v>#REF!</v>
      </c>
      <c r="O29" s="87" t="e">
        <f>#REF!</f>
        <v>#REF!</v>
      </c>
      <c r="P29" s="87" t="e">
        <f>#REF!</f>
        <v>#REF!</v>
      </c>
      <c r="Q29" s="12" t="e">
        <f t="shared" si="1"/>
        <v>#REF!</v>
      </c>
      <c r="R29" s="179"/>
    </row>
    <row r="30" spans="2:22">
      <c r="D30" s="14" t="s">
        <v>11</v>
      </c>
      <c r="E30" s="213" t="e">
        <f>#REF!</f>
        <v>#REF!</v>
      </c>
      <c r="F30" s="213" t="e">
        <f>#REF!</f>
        <v>#REF!</v>
      </c>
      <c r="G30" s="87" t="e">
        <f>#REF!</f>
        <v>#REF!</v>
      </c>
      <c r="H30" s="87" t="e">
        <f>#REF!</f>
        <v>#REF!</v>
      </c>
      <c r="I30" s="87" t="e">
        <f>#REF!</f>
        <v>#REF!</v>
      </c>
      <c r="J30" s="87" t="e">
        <f>#REF!</f>
        <v>#REF!</v>
      </c>
      <c r="K30" s="87" t="e">
        <f>#REF!</f>
        <v>#REF!</v>
      </c>
      <c r="L30" s="87" t="e">
        <f>#REF!</f>
        <v>#REF!</v>
      </c>
      <c r="M30" s="87" t="e">
        <f>#REF!</f>
        <v>#REF!</v>
      </c>
      <c r="N30" s="87" t="e">
        <f>#REF!</f>
        <v>#REF!</v>
      </c>
      <c r="O30" s="87" t="e">
        <f>#REF!</f>
        <v>#REF!</v>
      </c>
      <c r="P30" s="87" t="e">
        <f>#REF!</f>
        <v>#REF!</v>
      </c>
      <c r="Q30" s="12" t="e">
        <f t="shared" si="1"/>
        <v>#REF!</v>
      </c>
      <c r="R30" s="179"/>
    </row>
    <row r="31" spans="2:22">
      <c r="D31" s="14" t="s">
        <v>12</v>
      </c>
      <c r="E31" s="213" t="e">
        <f>#REF!</f>
        <v>#REF!</v>
      </c>
      <c r="F31" s="213" t="e">
        <f>#REF!</f>
        <v>#REF!</v>
      </c>
      <c r="G31" s="87" t="e">
        <f>#REF!</f>
        <v>#REF!</v>
      </c>
      <c r="H31" s="87" t="e">
        <f>#REF!</f>
        <v>#REF!</v>
      </c>
      <c r="I31" s="87" t="e">
        <f>#REF!</f>
        <v>#REF!</v>
      </c>
      <c r="J31" s="87" t="e">
        <f>#REF!</f>
        <v>#REF!</v>
      </c>
      <c r="K31" s="87" t="e">
        <f>#REF!</f>
        <v>#REF!</v>
      </c>
      <c r="L31" s="87" t="e">
        <f>#REF!</f>
        <v>#REF!</v>
      </c>
      <c r="M31" s="87" t="e">
        <f>#REF!</f>
        <v>#REF!</v>
      </c>
      <c r="N31" s="87" t="e">
        <f>#REF!</f>
        <v>#REF!</v>
      </c>
      <c r="O31" s="87" t="e">
        <f>#REF!</f>
        <v>#REF!</v>
      </c>
      <c r="P31" s="87" t="e">
        <f>#REF!</f>
        <v>#REF!</v>
      </c>
      <c r="Q31" s="12" t="e">
        <f t="shared" si="1"/>
        <v>#REF!</v>
      </c>
      <c r="R31" s="179"/>
    </row>
    <row r="32" spans="2:22">
      <c r="D32" s="14" t="s">
        <v>13</v>
      </c>
      <c r="E32" s="213" t="e">
        <f>#REF!</f>
        <v>#REF!</v>
      </c>
      <c r="F32" s="213" t="e">
        <f>#REF!</f>
        <v>#REF!</v>
      </c>
      <c r="G32" s="87" t="e">
        <f>#REF!</f>
        <v>#REF!</v>
      </c>
      <c r="H32" s="87" t="e">
        <f>#REF!</f>
        <v>#REF!</v>
      </c>
      <c r="I32" s="87" t="e">
        <f>#REF!</f>
        <v>#REF!</v>
      </c>
      <c r="J32" s="87" t="e">
        <f>#REF!</f>
        <v>#REF!</v>
      </c>
      <c r="K32" s="87" t="e">
        <f>#REF!</f>
        <v>#REF!</v>
      </c>
      <c r="L32" s="87" t="e">
        <f>#REF!</f>
        <v>#REF!</v>
      </c>
      <c r="M32" s="87" t="e">
        <f>#REF!</f>
        <v>#REF!</v>
      </c>
      <c r="N32" s="87" t="e">
        <f>#REF!</f>
        <v>#REF!</v>
      </c>
      <c r="O32" s="87" t="e">
        <f>#REF!</f>
        <v>#REF!</v>
      </c>
      <c r="P32" s="87" t="e">
        <f>#REF!</f>
        <v>#REF!</v>
      </c>
      <c r="Q32" s="12" t="e">
        <f t="shared" si="1"/>
        <v>#REF!</v>
      </c>
      <c r="R32" s="179"/>
    </row>
    <row r="33" spans="4:18">
      <c r="D33" s="14" t="s">
        <v>14</v>
      </c>
      <c r="E33" s="213" t="e">
        <f>#REF!</f>
        <v>#REF!</v>
      </c>
      <c r="F33" s="213" t="e">
        <f>#REF!</f>
        <v>#REF!</v>
      </c>
      <c r="G33" s="87" t="e">
        <f>#REF!</f>
        <v>#REF!</v>
      </c>
      <c r="H33" s="87" t="e">
        <f>#REF!</f>
        <v>#REF!</v>
      </c>
      <c r="I33" s="87" t="e">
        <f>#REF!</f>
        <v>#REF!</v>
      </c>
      <c r="J33" s="87" t="e">
        <f>#REF!</f>
        <v>#REF!</v>
      </c>
      <c r="K33" s="87" t="e">
        <f>#REF!</f>
        <v>#REF!</v>
      </c>
      <c r="L33" s="87" t="e">
        <f>#REF!</f>
        <v>#REF!</v>
      </c>
      <c r="M33" s="87" t="e">
        <f>#REF!</f>
        <v>#REF!</v>
      </c>
      <c r="N33" s="87" t="e">
        <f>#REF!</f>
        <v>#REF!</v>
      </c>
      <c r="O33" s="87" t="e">
        <f>#REF!</f>
        <v>#REF!</v>
      </c>
      <c r="P33" s="87" t="e">
        <f>#REF!</f>
        <v>#REF!</v>
      </c>
      <c r="Q33" s="12" t="e">
        <f t="shared" si="1"/>
        <v>#REF!</v>
      </c>
      <c r="R33" s="179"/>
    </row>
    <row r="34" spans="4:18" ht="27.6">
      <c r="D34" s="13" t="s">
        <v>32</v>
      </c>
      <c r="E34" s="15" t="e">
        <f>#REF!</f>
        <v>#REF!</v>
      </c>
      <c r="F34" s="214" t="e">
        <f>#REF!</f>
        <v>#REF!</v>
      </c>
      <c r="G34" s="88" t="e">
        <f>#REF!</f>
        <v>#REF!</v>
      </c>
      <c r="H34" s="88" t="e">
        <f>#REF!</f>
        <v>#REF!</v>
      </c>
      <c r="I34" s="88" t="e">
        <f>#REF!</f>
        <v>#REF!</v>
      </c>
      <c r="J34" s="88" t="e">
        <f>#REF!</f>
        <v>#REF!</v>
      </c>
      <c r="K34" s="88" t="e">
        <f>#REF!</f>
        <v>#REF!</v>
      </c>
      <c r="L34" s="88" t="e">
        <f>#REF!</f>
        <v>#REF!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8" t="e">
        <f>#REF!</f>
        <v>#REF!</v>
      </c>
      <c r="Q34" s="16" t="e">
        <f t="shared" si="1"/>
        <v>#REF!</v>
      </c>
      <c r="R34" s="180"/>
    </row>
    <row r="36" spans="4:18" ht="15" customHeight="1">
      <c r="K36" s="227" t="s">
        <v>33</v>
      </c>
      <c r="L36" s="227"/>
      <c r="M36" s="227"/>
      <c r="N36" s="227"/>
      <c r="O36" s="227"/>
      <c r="P36" s="227"/>
      <c r="Q36" s="227"/>
    </row>
    <row r="37" spans="4:18">
      <c r="K37" s="227"/>
      <c r="L37" s="227"/>
      <c r="M37" s="227"/>
      <c r="N37" s="227"/>
      <c r="O37" s="227"/>
      <c r="P37" s="227"/>
      <c r="Q37" s="227"/>
    </row>
    <row r="38" spans="4:18">
      <c r="K38" s="227"/>
      <c r="L38" s="227"/>
      <c r="M38" s="227"/>
      <c r="N38" s="227"/>
      <c r="O38" s="227"/>
      <c r="P38" s="227"/>
      <c r="Q38" s="227"/>
    </row>
    <row r="39" spans="4:18" ht="29.25" customHeight="1">
      <c r="K39" s="227"/>
      <c r="L39" s="227"/>
      <c r="M39" s="227"/>
      <c r="N39" s="227"/>
      <c r="O39" s="227"/>
      <c r="P39" s="227"/>
      <c r="Q39" s="227"/>
    </row>
  </sheetData>
  <dataConsolidate/>
  <mergeCells count="5">
    <mergeCell ref="B4:D4"/>
    <mergeCell ref="B5:D5"/>
    <mergeCell ref="B19:D19"/>
    <mergeCell ref="D21:Q21"/>
    <mergeCell ref="K36:Q39"/>
  </mergeCells>
  <pageMargins left="0.7" right="0.7" top="0.75" bottom="0.75" header="0.51180555555555496" footer="0.51180555555555496"/>
  <pageSetup paperSize="9" firstPageNumber="0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2"/>
  <dimension ref="A1:V254"/>
  <sheetViews>
    <sheetView workbookViewId="0">
      <selection activeCell="L5" sqref="L5"/>
    </sheetView>
  </sheetViews>
  <sheetFormatPr defaultColWidth="15.109375" defaultRowHeight="14.4"/>
  <cols>
    <col min="1" max="1" width="6" style="85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85">
        <v>1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A3" s="46"/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v>0</v>
      </c>
    </row>
    <row r="4" spans="1:22" ht="16.5" customHeight="1" thickTop="1">
      <c r="A4" s="47" t="str">
        <f ca="1">OFFSET('0'!$B$112,($A$1-1)*10,$B4-1)</f>
        <v>SV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1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A5" s="47"/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A6" s="47"/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A7" s="47"/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/>
    </row>
    <row r="8" spans="1:22">
      <c r="A8" s="47"/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</row>
    <row r="9" spans="1:22" ht="15" thickBot="1">
      <c r="A9" s="47"/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</row>
    <row r="10" spans="1:22" ht="15" thickBot="1">
      <c r="A10" s="47"/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1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</row>
    <row r="11" spans="1:22" ht="15" thickBot="1">
      <c r="A11" s="47"/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1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1</v>
      </c>
      <c r="U11" s="85">
        <v>6</v>
      </c>
    </row>
    <row r="12" spans="1:22" ht="15" thickTop="1">
      <c r="A12" s="47" t="str">
        <f ca="1">OFFSET('0'!$B$112,($A$1-1)*10,$B12-1)</f>
        <v>--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</row>
    <row r="13" spans="1:22" ht="17.25" customHeight="1">
      <c r="A13" s="47"/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</row>
    <row r="14" spans="1:22">
      <c r="A14" s="47"/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</row>
    <row r="15" spans="1:22">
      <c r="A15" s="47"/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</row>
    <row r="16" spans="1:22">
      <c r="A16" s="47"/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</row>
    <row r="17" spans="1:22" ht="15" thickBot="1">
      <c r="A17" s="47"/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A18" s="47"/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A19" s="47"/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1</v>
      </c>
    </row>
    <row r="20" spans="1:22" ht="15.6" thickTop="1" thickBot="1">
      <c r="A20" s="47" t="str">
        <f ca="1">OFFSET('0'!$B$112,($A$1-1)*10,$B20-1)</f>
        <v>SS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A21" s="47"/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A22" s="47"/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A23" s="47"/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A24" s="47"/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A25" s="47"/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A26" s="47"/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A27" s="47"/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1</v>
      </c>
    </row>
    <row r="28" spans="1:22" ht="15.6" thickTop="1" thickBot="1">
      <c r="A28" s="47" t="str">
        <f ca="1">OFFSET('0'!$B$112,($A$1-1)*10,$B28-1)</f>
        <v>SK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A29" s="47"/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A30" s="47"/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A31" s="47"/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A32" s="47"/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A33" s="47"/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A34" s="47"/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A35" s="47"/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1</v>
      </c>
    </row>
    <row r="36" spans="1:20" ht="15.6" thickTop="1" thickBot="1">
      <c r="A36" s="47" t="str">
        <f ca="1">OFFSET('0'!$B$112,($A$1-1)*10,$B36-1)</f>
        <v>--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A37" s="47"/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A38" s="47"/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A39" s="47"/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A40" s="47"/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A41" s="47"/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A42" s="47"/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A43" s="47"/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1</v>
      </c>
    </row>
    <row r="44" spans="1:20" ht="15.6" thickTop="1" thickBot="1">
      <c r="A44" s="47" t="str">
        <f ca="1">OFFSET('0'!$B$112,($A$1-1)*10,$B44-1)</f>
        <v>--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A45" s="47"/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A46" s="47"/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A47" s="47"/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A48" s="47"/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A49" s="47"/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A50" s="47"/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A51" s="47"/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1</v>
      </c>
    </row>
    <row r="52" spans="1:20" ht="15.6" thickTop="1" thickBot="1">
      <c r="A52" s="47" t="str">
        <f ca="1">OFFSET('0'!$B$112,($A$1-1)*10,$B52-1)</f>
        <v>--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A53" s="47"/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A54" s="47"/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A55" s="47"/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A56" s="47"/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A57" s="47"/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A58" s="47"/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A59" s="47"/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1</v>
      </c>
    </row>
    <row r="60" spans="1:20" ht="15.6" thickTop="1" thickBot="1">
      <c r="A60" s="47" t="str">
        <f ca="1">OFFSET('0'!$B$112,($A$1-1)*10,$B60-1)</f>
        <v>--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A61" s="47"/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A62" s="47"/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A63" s="47"/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A64" s="47"/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A65" s="47"/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A66" s="47"/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A67" s="47"/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1</v>
      </c>
    </row>
    <row r="68" spans="1:20" ht="15.6" thickTop="1" thickBot="1">
      <c r="A68" s="47" t="str">
        <f ca="1">OFFSET('0'!$B$112,($A$1-1)*10,$B68-1)</f>
        <v>--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A69" s="47"/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A70" s="47"/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A71" s="47"/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A72" s="47"/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A73" s="47"/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A74" s="47"/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A75" s="47"/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1</v>
      </c>
    </row>
    <row r="76" spans="1:20" ht="15.6" thickTop="1" thickBot="1">
      <c r="A76" s="47" t="str">
        <f ca="1">OFFSET('0'!$B$112,($A$1-1)*10,$B76-1)</f>
        <v>SS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A77" s="47"/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A78" s="47"/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A79" s="47"/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A80" s="47"/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A81" s="47"/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A82" s="47"/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A83" s="47"/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1</v>
      </c>
    </row>
    <row r="84" spans="1:20" ht="15.6" thickTop="1" thickBot="1">
      <c r="A84" s="47" t="str">
        <f ca="1">OFFSET('0'!$B$112,($A$1-1)*10,$B84-1)</f>
        <v>SK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A85" s="47"/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A86" s="47"/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A87" s="47"/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A88" s="47"/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A89" s="47"/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A90" s="47"/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A91" s="47"/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1</v>
      </c>
    </row>
    <row r="92" spans="1:20" ht="15.6" thickTop="1" thickBot="1">
      <c r="A92" s="47" t="str">
        <f ca="1">OFFSET('0'!$B$112,($A$1-1)*10,$B92-1)</f>
        <v>--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A93" s="47"/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A94" s="47"/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A95" s="47"/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A96" s="47"/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A97" s="47"/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A98" s="47"/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A99" s="47"/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1</v>
      </c>
    </row>
    <row r="100" spans="1:20" ht="15.6" thickTop="1" thickBot="1">
      <c r="A100" s="47" t="str">
        <f ca="1">OFFSET('0'!$B$112,($A$1-1)*10,$B100-1)</f>
        <v>--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A101" s="47"/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A102" s="47"/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A103" s="47"/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A104" s="47"/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A105" s="47"/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A106" s="47"/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A107" s="47"/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1</v>
      </c>
    </row>
    <row r="108" spans="1:20" ht="15.6" thickTop="1" thickBot="1">
      <c r="A108" s="47" t="str">
        <f ca="1">OFFSET('0'!$B$112,($A$1-1)*10,$B108-1)</f>
        <v>--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A109" s="47"/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A110" s="47"/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A111" s="47"/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A112" s="47"/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A113" s="47"/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A114" s="47"/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A115" s="47"/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1</v>
      </c>
    </row>
    <row r="116" spans="1:22" ht="15.6" thickTop="1" thickBot="1">
      <c r="A116" s="47" t="str">
        <f ca="1">OFFSET('0'!$B$112,($A$1-1)*10,$B116-1)</f>
        <v>--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A117" s="47"/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A118" s="47"/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A119" s="47"/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A120" s="47"/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A121" s="47"/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A122" s="47"/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A123" s="47"/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1</v>
      </c>
      <c r="U123" s="96"/>
    </row>
    <row r="124" spans="1:22" ht="15.6" thickTop="1" thickBot="1">
      <c r="A124" s="47" t="str">
        <f ca="1">OFFSET('0'!$B$112,($A$1-1)*10,$B124-1)</f>
        <v>--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A125" s="47"/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A126" s="47"/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A127" s="47"/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A128" s="47"/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A129" s="47"/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A130" s="47"/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A131" s="47"/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1</v>
      </c>
    </row>
    <row r="132" spans="1:20" ht="15.6" thickTop="1" thickBot="1">
      <c r="A132" s="47" t="str">
        <f ca="1">OFFSET('0'!$B$112,($A$1-1)*10,$B132-1)</f>
        <v>SS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A133" s="47"/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A134" s="47"/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A135" s="47"/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A136" s="47"/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A137" s="47"/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A138" s="47"/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A139" s="47"/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1</v>
      </c>
    </row>
    <row r="140" spans="1:20" ht="15.6" thickTop="1" thickBot="1">
      <c r="A140" s="47" t="str">
        <f ca="1">OFFSET('0'!$B$112,($A$1-1)*10,$B140-1)</f>
        <v>SK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A141" s="47"/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A142" s="47"/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A143" s="47"/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4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4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A146" s="47"/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A147" s="47"/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1</v>
      </c>
    </row>
    <row r="148" spans="1:20" ht="15.6" thickTop="1" thickBot="1">
      <c r="A148" s="47" t="str">
        <f ca="1">OFFSET('0'!$B$112,($A$1-1)*10,$B148-1)</f>
        <v>--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4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A150" s="47"/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A151" s="47"/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A152" s="47"/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A153" s="47"/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A154" s="47"/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A155" s="47"/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1</v>
      </c>
    </row>
    <row r="156" spans="1:20" ht="15.6" thickTop="1" thickBot="1">
      <c r="A156" s="47" t="str">
        <f ca="1">OFFSET('0'!$B$112,($A$1-1)*10,$B156-1)</f>
        <v>--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A157" s="47"/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4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A159" s="47"/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A160" s="47"/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A161" s="47"/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A162" s="47"/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A163" s="47"/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1</v>
      </c>
    </row>
    <row r="164" spans="1:20" ht="15.6" thickTop="1" thickBot="1">
      <c r="A164" s="47" t="str">
        <f ca="1">OFFSET('0'!$B$112,($A$1-1)*10,$B164-1)</f>
        <v>--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A165" s="47"/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4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A167" s="47"/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A168" s="47"/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A169" s="47"/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A170" s="47"/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A171" s="47"/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1</v>
      </c>
    </row>
    <row r="172" spans="1:20" ht="15.6" thickTop="1" thickBot="1">
      <c r="A172" s="47" t="str">
        <f ca="1">OFFSET('0'!$B$112,($A$1-1)*10,$B172-1)</f>
        <v>--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A173" s="47"/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4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A175" s="47"/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A176" s="47"/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A177" s="47"/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A178" s="47"/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A179" s="47"/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1</v>
      </c>
    </row>
    <row r="180" spans="1:20" ht="15.6" thickTop="1" thickBot="1">
      <c r="A180" s="47" t="str">
        <f ca="1">OFFSET('0'!$B$112,($A$1-1)*10,$B180-1)</f>
        <v>--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4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A182" s="47"/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A183" s="47"/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A184" s="47"/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A185" s="47"/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A186" s="47"/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A187" s="47"/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1</v>
      </c>
    </row>
    <row r="188" spans="1:20" ht="15.6" thickTop="1" thickBot="1">
      <c r="A188" s="47" t="str">
        <f ca="1">OFFSET('0'!$B$112,($A$1-1)*10,$B188-1)</f>
        <v>SS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A189" s="47"/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4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A191" s="47"/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A192" s="47"/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A193" s="47"/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A194" s="47"/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A195" s="47"/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1</v>
      </c>
    </row>
    <row r="196" spans="1:20" ht="15.6" thickTop="1" thickBot="1">
      <c r="A196" s="47" t="str">
        <f ca="1">OFFSET('0'!$B$112,($A$1-1)*10,$B196-1)</f>
        <v>SK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A197" s="47"/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A198" s="47"/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A199" s="47"/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A200" s="47"/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A201" s="47"/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A202" s="47"/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A203" s="47"/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1</v>
      </c>
    </row>
    <row r="204" spans="1:20" ht="15.6" thickTop="1" thickBot="1">
      <c r="A204" s="47" t="str">
        <f ca="1">OFFSET('0'!$B$112,($A$1-1)*10,$B204-1)</f>
        <v>--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4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A206" s="47"/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A207" s="47"/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A208" s="47"/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A209" s="47"/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A210" s="47"/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A211" s="47"/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1</v>
      </c>
    </row>
    <row r="212" spans="1:20" ht="15.6" thickTop="1" thickBot="1">
      <c r="A212" s="47" t="str">
        <f ca="1">OFFSET('0'!$B$112,($A$1-1)*10,$B212-1)</f>
        <v>--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A213" s="47"/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4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4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A216" s="47"/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A217" s="47"/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A218" s="47"/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A219" s="47"/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1</v>
      </c>
    </row>
    <row r="220" spans="1:20" ht="15.6" thickTop="1" thickBot="1">
      <c r="A220" s="47" t="str">
        <f ca="1">OFFSET('0'!$B$112,($A$1-1)*10,$B220-1)</f>
        <v>--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4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A222" s="47"/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4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A224" s="47"/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A225" s="47"/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A226" s="47"/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A227" s="47"/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1</v>
      </c>
    </row>
    <row r="228" spans="1:20" ht="15.6" thickTop="1" thickBot="1">
      <c r="A228" s="47" t="str">
        <f ca="1">OFFSET('0'!$B$112,($A$1-1)*10,$B228-1)</f>
        <v>--</v>
      </c>
      <c r="B228" s="228">
        <f ca="1">OFFSET('0'!$B$111,($A$1-1)*10,28)</f>
        <v>29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A229" s="47"/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A230" s="47"/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4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4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A233" s="47"/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A234" s="47"/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A235" s="47"/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1</v>
      </c>
    </row>
    <row r="236" spans="1:20" ht="15.6" thickTop="1" thickBot="1">
      <c r="A236" s="47" t="str">
        <f ca="1">OFFSET('0'!$B$112,($A$1-1)*10,$B236-1)</f>
        <v>--</v>
      </c>
      <c r="B236" s="228">
        <f ca="1">OFFSET('0'!$B$111,($A$1-1)*10,29)</f>
        <v>30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A237" s="47"/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4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4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A240" s="47"/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A241" s="47"/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A242" s="47"/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A243" s="47"/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1</v>
      </c>
    </row>
    <row r="244" spans="1:20" ht="15.6" thickTop="1" thickBot="1">
      <c r="A244" s="47" t="str">
        <f ca="1">OFFSET('0'!$B$112,($A$1-1)*10,$B244-1)</f>
        <v>SS</v>
      </c>
      <c r="B244" s="228">
        <f ca="1">OFFSET('0'!$B$111,($A$1-1)*10,30)</f>
        <v>31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4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4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4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A248" s="47"/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A249" s="47"/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A250" s="47"/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A251" s="47"/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1</v>
      </c>
    </row>
    <row r="252" spans="1:20" ht="15" thickTop="1">
      <c r="A252" s="46"/>
    </row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1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1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404" priority="31">
      <formula>$A4&lt;&gt;"--"</formula>
    </cfRule>
  </conditionalFormatting>
  <conditionalFormatting sqref="B20:B27">
    <cfRule type="expression" dxfId="403" priority="30">
      <formula>$A20&lt;&gt;"--"</formula>
    </cfRule>
  </conditionalFormatting>
  <conditionalFormatting sqref="B28:B35">
    <cfRule type="expression" dxfId="402" priority="29">
      <formula>$A28&lt;&gt;"--"</formula>
    </cfRule>
  </conditionalFormatting>
  <conditionalFormatting sqref="B36:B43">
    <cfRule type="expression" dxfId="401" priority="28">
      <formula>$A36&lt;&gt;"--"</formula>
    </cfRule>
  </conditionalFormatting>
  <conditionalFormatting sqref="B44:B51">
    <cfRule type="expression" dxfId="400" priority="27">
      <formula>$A44&lt;&gt;"--"</formula>
    </cfRule>
  </conditionalFormatting>
  <conditionalFormatting sqref="B52:B59">
    <cfRule type="expression" dxfId="399" priority="26">
      <formula>$A52&lt;&gt;"--"</formula>
    </cfRule>
  </conditionalFormatting>
  <conditionalFormatting sqref="B60:B67">
    <cfRule type="expression" dxfId="398" priority="25">
      <formula>$A60&lt;&gt;"--"</formula>
    </cfRule>
  </conditionalFormatting>
  <conditionalFormatting sqref="B68:B75">
    <cfRule type="expression" dxfId="397" priority="24">
      <formula>$A68&lt;&gt;"--"</formula>
    </cfRule>
  </conditionalFormatting>
  <conditionalFormatting sqref="B76:B83">
    <cfRule type="expression" dxfId="396" priority="23">
      <formula>$A76&lt;&gt;"--"</formula>
    </cfRule>
  </conditionalFormatting>
  <conditionalFormatting sqref="B84:B91">
    <cfRule type="expression" dxfId="395" priority="22">
      <formula>$A84&lt;&gt;"--"</formula>
    </cfRule>
  </conditionalFormatting>
  <conditionalFormatting sqref="B92:B99">
    <cfRule type="expression" dxfId="394" priority="21">
      <formula>$A92&lt;&gt;"--"</formula>
    </cfRule>
  </conditionalFormatting>
  <conditionalFormatting sqref="B100:B107">
    <cfRule type="expression" dxfId="393" priority="20">
      <formula>$A100&lt;&gt;"--"</formula>
    </cfRule>
  </conditionalFormatting>
  <conditionalFormatting sqref="B108:B115">
    <cfRule type="expression" dxfId="392" priority="19">
      <formula>$A108&lt;&gt;"--"</formula>
    </cfRule>
  </conditionalFormatting>
  <conditionalFormatting sqref="B116:B123">
    <cfRule type="expression" dxfId="391" priority="18">
      <formula>$A116&lt;&gt;"--"</formula>
    </cfRule>
  </conditionalFormatting>
  <conditionalFormatting sqref="B124:B131">
    <cfRule type="expression" dxfId="390" priority="17">
      <formula>$A124&lt;&gt;"--"</formula>
    </cfRule>
  </conditionalFormatting>
  <conditionalFormatting sqref="B132:B139">
    <cfRule type="expression" dxfId="389" priority="16">
      <formula>$A132&lt;&gt;"--"</formula>
    </cfRule>
  </conditionalFormatting>
  <conditionalFormatting sqref="B140:B147">
    <cfRule type="expression" dxfId="388" priority="15">
      <formula>$A140&lt;&gt;"--"</formula>
    </cfRule>
  </conditionalFormatting>
  <conditionalFormatting sqref="B148:B155">
    <cfRule type="expression" dxfId="387" priority="14">
      <formula>$A148&lt;&gt;"--"</formula>
    </cfRule>
  </conditionalFormatting>
  <conditionalFormatting sqref="B156:B163">
    <cfRule type="expression" dxfId="386" priority="13">
      <formula>$A156&lt;&gt;"--"</formula>
    </cfRule>
  </conditionalFormatting>
  <conditionalFormatting sqref="B164:B171">
    <cfRule type="expression" dxfId="385" priority="12">
      <formula>$A164&lt;&gt;"--"</formula>
    </cfRule>
  </conditionalFormatting>
  <conditionalFormatting sqref="B172:B179">
    <cfRule type="expression" dxfId="384" priority="11">
      <formula>$A172&lt;&gt;"--"</formula>
    </cfRule>
  </conditionalFormatting>
  <conditionalFormatting sqref="B180:B187">
    <cfRule type="expression" dxfId="383" priority="10">
      <formula>$A180&lt;&gt;"--"</formula>
    </cfRule>
  </conditionalFormatting>
  <conditionalFormatting sqref="B188:B195">
    <cfRule type="expression" dxfId="382" priority="9">
      <formula>$A188&lt;&gt;"--"</formula>
    </cfRule>
  </conditionalFormatting>
  <conditionalFormatting sqref="B196:B203">
    <cfRule type="expression" dxfId="381" priority="8">
      <formula>$A196&lt;&gt;"--"</formula>
    </cfRule>
  </conditionalFormatting>
  <conditionalFormatting sqref="B204:B211">
    <cfRule type="expression" dxfId="380" priority="7">
      <formula>$A204&lt;&gt;"--"</formula>
    </cfRule>
  </conditionalFormatting>
  <conditionalFormatting sqref="B212:B219">
    <cfRule type="expression" dxfId="379" priority="6">
      <formula>$A212&lt;&gt;"--"</formula>
    </cfRule>
  </conditionalFormatting>
  <conditionalFormatting sqref="B220:B227">
    <cfRule type="expression" dxfId="378" priority="5">
      <formula>$A220&lt;&gt;"--"</formula>
    </cfRule>
  </conditionalFormatting>
  <conditionalFormatting sqref="B228:B251">
    <cfRule type="expression" dxfId="377" priority="4">
      <formula>$A228&lt;&gt;"--"</formula>
    </cfRule>
  </conditionalFormatting>
  <conditionalFormatting sqref="B236:B243">
    <cfRule type="expression" dxfId="376" priority="3">
      <formula>$A236&lt;&gt;"--"</formula>
    </cfRule>
  </conditionalFormatting>
  <conditionalFormatting sqref="B244:B251">
    <cfRule type="expression" dxfId="375" priority="2">
      <formula>$A244&lt;&gt;"--"</formula>
    </cfRule>
  </conditionalFormatting>
  <conditionalFormatting sqref="B228:B251">
    <cfRule type="cellIs" dxfId="374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23"/>
  <dimension ref="A1:V254"/>
  <sheetViews>
    <sheetView workbookViewId="0">
      <selection activeCell="L5" sqref="L5"/>
    </sheetView>
  </sheetViews>
  <sheetFormatPr defaultColWidth="15.109375" defaultRowHeight="14.4"/>
  <cols>
    <col min="1" max="1" width="6" style="46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46">
        <v>2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f>SUM(V6:V6)</f>
        <v>1</v>
      </c>
    </row>
    <row r="4" spans="1:22" ht="16.5" customHeight="1" thickTop="1">
      <c r="A4" s="46" t="str">
        <f ca="1">OFFSET('0'!$B$112,($A$1-1)*10,$B4-1)</f>
        <v>SK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2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>
        <f>Vasaris!L254</f>
        <v>2</v>
      </c>
    </row>
    <row r="8" spans="1:22"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</row>
    <row r="9" spans="1:22" ht="15" thickBot="1"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</row>
    <row r="10" spans="1:22" ht="15" thickBot="1"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2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</row>
    <row r="11" spans="1:22" ht="15" thickBot="1"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2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3</v>
      </c>
      <c r="U11" s="85">
        <v>6</v>
      </c>
    </row>
    <row r="12" spans="1:22" ht="15" thickTop="1">
      <c r="A12" s="46" t="str">
        <f ca="1">OFFSET('0'!$B$112,($A$1-1)*10,$B12-1)</f>
        <v>--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</row>
    <row r="13" spans="1:22" ht="17.25" customHeight="1"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</row>
    <row r="14" spans="1:22"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</row>
    <row r="15" spans="1:22"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</row>
    <row r="16" spans="1:22"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</row>
    <row r="17" spans="1:22" ht="15" thickBot="1"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3</v>
      </c>
    </row>
    <row r="20" spans="1:22" ht="15.6" thickTop="1" thickBot="1">
      <c r="A20" s="46" t="str">
        <f ca="1">OFFSET('0'!$B$112,($A$1-1)*10,$B20-1)</f>
        <v>--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3</v>
      </c>
    </row>
    <row r="28" spans="1:22" ht="15.6" thickTop="1" thickBot="1">
      <c r="A28" s="46" t="str">
        <f ca="1">OFFSET('0'!$B$112,($A$1-1)*10,$B28-1)</f>
        <v>--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3</v>
      </c>
    </row>
    <row r="36" spans="1:20" ht="15.6" thickTop="1" thickBot="1">
      <c r="A36" s="46" t="str">
        <f ca="1">OFFSET('0'!$B$112,($A$1-1)*10,$B36-1)</f>
        <v>--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3</v>
      </c>
    </row>
    <row r="44" spans="1:20" ht="15.6" thickTop="1" thickBot="1">
      <c r="A44" s="46" t="str">
        <f ca="1">OFFSET('0'!$B$112,($A$1-1)*10,$B44-1)</f>
        <v>--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3</v>
      </c>
    </row>
    <row r="52" spans="1:20" ht="15.6" thickTop="1" thickBot="1">
      <c r="A52" s="46" t="str">
        <f ca="1">OFFSET('0'!$B$112,($A$1-1)*10,$B52-1)</f>
        <v>SS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3</v>
      </c>
    </row>
    <row r="60" spans="1:20" ht="15.6" thickTop="1" thickBot="1">
      <c r="A60" s="46" t="str">
        <f ca="1">OFFSET('0'!$B$112,($A$1-1)*10,$B60-1)</f>
        <v>SK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3</v>
      </c>
    </row>
    <row r="68" spans="1:20" ht="15.6" thickTop="1" thickBot="1">
      <c r="A68" s="46" t="str">
        <f ca="1">OFFSET('0'!$B$112,($A$1-1)*10,$B68-1)</f>
        <v>--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3</v>
      </c>
    </row>
    <row r="76" spans="1:20" ht="15.6" thickTop="1" thickBot="1">
      <c r="A76" s="46" t="str">
        <f ca="1">OFFSET('0'!$B$112,($A$1-1)*10,$B76-1)</f>
        <v>--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3</v>
      </c>
    </row>
    <row r="84" spans="1:20" ht="15.6" thickTop="1" thickBot="1">
      <c r="A84" s="46" t="str">
        <f ca="1">OFFSET('0'!$B$112,($A$1-1)*10,$B84-1)</f>
        <v>--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3</v>
      </c>
    </row>
    <row r="92" spans="1:20" ht="15.6" thickTop="1" thickBot="1">
      <c r="A92" s="46" t="str">
        <f ca="1">OFFSET('0'!$B$112,($A$1-1)*10,$B92-1)</f>
        <v>--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3</v>
      </c>
    </row>
    <row r="100" spans="1:20" ht="15.6" thickTop="1" thickBot="1">
      <c r="A100" s="46" t="str">
        <f ca="1">OFFSET('0'!$B$112,($A$1-1)*10,$B100-1)</f>
        <v>--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3</v>
      </c>
    </row>
    <row r="108" spans="1:20" ht="15.6" thickTop="1" thickBot="1">
      <c r="A108" s="46" t="str">
        <f ca="1">OFFSET('0'!$B$112,($A$1-1)*10,$B108-1)</f>
        <v>SS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3</v>
      </c>
    </row>
    <row r="116" spans="1:22" ht="15.6" thickTop="1" thickBot="1">
      <c r="A116" s="46" t="str">
        <f ca="1">OFFSET('0'!$B$112,($A$1-1)*10,$B116-1)</f>
        <v>SK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3</v>
      </c>
      <c r="U123" s="96"/>
    </row>
    <row r="124" spans="1:22" ht="15.6" thickTop="1" thickBot="1">
      <c r="A124" s="46" t="str">
        <f ca="1">OFFSET('0'!$B$112,($A$1-1)*10,$B124-1)</f>
        <v>SV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3</v>
      </c>
    </row>
    <row r="132" spans="1:20" ht="15.6" thickTop="1" thickBot="1">
      <c r="A132" s="46" t="str">
        <f ca="1">OFFSET('0'!$B$112,($A$1-1)*10,$B132-1)</f>
        <v>--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3</v>
      </c>
    </row>
    <row r="140" spans="1:20" ht="15.6" thickTop="1" thickBot="1">
      <c r="A140" s="46" t="str">
        <f ca="1">OFFSET('0'!$B$112,($A$1-1)*10,$B140-1)</f>
        <v>--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13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13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3</v>
      </c>
    </row>
    <row r="148" spans="1:20" ht="15.6" thickTop="1" thickBot="1">
      <c r="A148" s="46" t="str">
        <f ca="1">OFFSET('0'!$B$112,($A$1-1)*10,$B148-1)</f>
        <v>--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13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3</v>
      </c>
    </row>
    <row r="156" spans="1:20" ht="15.6" thickTop="1" thickBot="1">
      <c r="A156" s="46" t="str">
        <f ca="1">OFFSET('0'!$B$112,($A$1-1)*10,$B156-1)</f>
        <v>--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13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3</v>
      </c>
    </row>
    <row r="164" spans="1:20" ht="15.6" thickTop="1" thickBot="1">
      <c r="A164" s="46" t="str">
        <f ca="1">OFFSET('0'!$B$112,($A$1-1)*10,$B164-1)</f>
        <v>SS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13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3</v>
      </c>
    </row>
    <row r="172" spans="1:20" ht="15.6" thickTop="1" thickBot="1">
      <c r="A172" s="46" t="str">
        <f ca="1">OFFSET('0'!$B$112,($A$1-1)*10,$B172-1)</f>
        <v>SK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13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3</v>
      </c>
    </row>
    <row r="180" spans="1:20" ht="15.6" thickTop="1" thickBot="1">
      <c r="A180" s="46" t="str">
        <f ca="1">OFFSET('0'!$B$112,($A$1-1)*10,$B180-1)</f>
        <v>--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13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3</v>
      </c>
    </row>
    <row r="188" spans="1:20" ht="15.6" thickTop="1" thickBot="1">
      <c r="A188" s="46" t="str">
        <f ca="1">OFFSET('0'!$B$112,($A$1-1)*10,$B188-1)</f>
        <v>--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13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3</v>
      </c>
    </row>
    <row r="196" spans="1:20" ht="15.6" thickTop="1" thickBot="1">
      <c r="A196" s="46" t="str">
        <f ca="1">OFFSET('0'!$B$112,($A$1-1)*10,$B196-1)</f>
        <v>--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3</v>
      </c>
    </row>
    <row r="204" spans="1:20" ht="15.6" thickTop="1" thickBot="1">
      <c r="A204" s="46" t="str">
        <f ca="1">OFFSET('0'!$B$112,($A$1-1)*10,$B204-1)</f>
        <v>--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13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3</v>
      </c>
    </row>
    <row r="212" spans="1:20" ht="15.6" thickTop="1" thickBot="1">
      <c r="A212" s="46" t="str">
        <f ca="1">OFFSET('0'!$B$112,($A$1-1)*10,$B212-1)</f>
        <v>--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13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13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3</v>
      </c>
    </row>
    <row r="220" spans="1:20" ht="15.6" thickTop="1" thickBot="1">
      <c r="A220" s="46" t="str">
        <f ca="1">OFFSET('0'!$B$112,($A$1-1)*10,$B220-1)</f>
        <v>SS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13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13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3</v>
      </c>
    </row>
    <row r="228" spans="1:20" ht="15.6" thickTop="1" thickBot="1">
      <c r="A228" s="46" t="e">
        <f ca="1">OFFSET('0'!$B$112,($A$1-1)*10,$B228-1)</f>
        <v>#REF!</v>
      </c>
      <c r="B228" s="228">
        <f ca="1">OFFSET('0'!$B$111,($A$1-1)*10,28)</f>
        <v>-27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13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13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3</v>
      </c>
    </row>
    <row r="236" spans="1:20" ht="15.6" thickTop="1" thickBot="1">
      <c r="A236" s="46" t="e">
        <f ca="1">OFFSET('0'!$B$112,($A$1-1)*10,$B236-1)</f>
        <v>#REF!</v>
      </c>
      <c r="B236" s="228">
        <f ca="1">OFFSET('0'!$B$111,($A$1-1)*10,29)</f>
        <v>-26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13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13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3</v>
      </c>
    </row>
    <row r="244" spans="1:20" ht="15.6" thickTop="1" thickBot="1">
      <c r="A244" s="46" t="e">
        <f ca="1">OFFSET('0'!$B$112,($A$1-1)*10,$B244-1)</f>
        <v>#REF!</v>
      </c>
      <c r="B244" s="228">
        <f ca="1">OFFSET('0'!$B$111,($A$1-1)*10,30)</f>
        <v>-25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13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13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13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3</v>
      </c>
    </row>
    <row r="252" spans="1:20" ht="15" thickTop="1"/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2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2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373" priority="31">
      <formula>$A4&lt;&gt;"--"</formula>
    </cfRule>
  </conditionalFormatting>
  <conditionalFormatting sqref="B20:B27">
    <cfRule type="expression" dxfId="372" priority="30">
      <formula>$A20&lt;&gt;"--"</formula>
    </cfRule>
  </conditionalFormatting>
  <conditionalFormatting sqref="B28:B35">
    <cfRule type="expression" dxfId="371" priority="29">
      <formula>$A28&lt;&gt;"--"</formula>
    </cfRule>
  </conditionalFormatting>
  <conditionalFormatting sqref="B36:B43">
    <cfRule type="expression" dxfId="370" priority="28">
      <formula>$A36&lt;&gt;"--"</formula>
    </cfRule>
  </conditionalFormatting>
  <conditionalFormatting sqref="B44:B51">
    <cfRule type="expression" dxfId="369" priority="27">
      <formula>$A44&lt;&gt;"--"</formula>
    </cfRule>
  </conditionalFormatting>
  <conditionalFormatting sqref="B52:B59">
    <cfRule type="expression" dxfId="368" priority="26">
      <formula>$A52&lt;&gt;"--"</formula>
    </cfRule>
  </conditionalFormatting>
  <conditionalFormatting sqref="B60:B67">
    <cfRule type="expression" dxfId="367" priority="25">
      <formula>$A60&lt;&gt;"--"</formula>
    </cfRule>
  </conditionalFormatting>
  <conditionalFormatting sqref="B68:B75">
    <cfRule type="expression" dxfId="366" priority="24">
      <formula>$A68&lt;&gt;"--"</formula>
    </cfRule>
  </conditionalFormatting>
  <conditionalFormatting sqref="B76:B83">
    <cfRule type="expression" dxfId="365" priority="23">
      <formula>$A76&lt;&gt;"--"</formula>
    </cfRule>
  </conditionalFormatting>
  <conditionalFormatting sqref="B84:B91">
    <cfRule type="expression" dxfId="364" priority="22">
      <formula>$A84&lt;&gt;"--"</formula>
    </cfRule>
  </conditionalFormatting>
  <conditionalFormatting sqref="B92:B99">
    <cfRule type="expression" dxfId="363" priority="21">
      <formula>$A92&lt;&gt;"--"</formula>
    </cfRule>
  </conditionalFormatting>
  <conditionalFormatting sqref="B100:B107">
    <cfRule type="expression" dxfId="362" priority="20">
      <formula>$A100&lt;&gt;"--"</formula>
    </cfRule>
  </conditionalFormatting>
  <conditionalFormatting sqref="B108:B115">
    <cfRule type="expression" dxfId="361" priority="19">
      <formula>$A108&lt;&gt;"--"</formula>
    </cfRule>
  </conditionalFormatting>
  <conditionalFormatting sqref="B116:B123">
    <cfRule type="expression" dxfId="360" priority="18">
      <formula>$A116&lt;&gt;"--"</formula>
    </cfRule>
  </conditionalFormatting>
  <conditionalFormatting sqref="B124:B131">
    <cfRule type="expression" dxfId="359" priority="17">
      <formula>$A124&lt;&gt;"--"</formula>
    </cfRule>
  </conditionalFormatting>
  <conditionalFormatting sqref="B132:B139">
    <cfRule type="expression" dxfId="358" priority="16">
      <formula>$A132&lt;&gt;"--"</formula>
    </cfRule>
  </conditionalFormatting>
  <conditionalFormatting sqref="B140:B147">
    <cfRule type="expression" dxfId="357" priority="15">
      <formula>$A140&lt;&gt;"--"</formula>
    </cfRule>
  </conditionalFormatting>
  <conditionalFormatting sqref="B148:B155">
    <cfRule type="expression" dxfId="356" priority="14">
      <formula>$A148&lt;&gt;"--"</formula>
    </cfRule>
  </conditionalFormatting>
  <conditionalFormatting sqref="B156:B163">
    <cfRule type="expression" dxfId="355" priority="13">
      <formula>$A156&lt;&gt;"--"</formula>
    </cfRule>
  </conditionalFormatting>
  <conditionalFormatting sqref="B164:B171">
    <cfRule type="expression" dxfId="354" priority="12">
      <formula>$A164&lt;&gt;"--"</formula>
    </cfRule>
  </conditionalFormatting>
  <conditionalFormatting sqref="B172:B179">
    <cfRule type="expression" dxfId="353" priority="11">
      <formula>$A172&lt;&gt;"--"</formula>
    </cfRule>
  </conditionalFormatting>
  <conditionalFormatting sqref="B180:B187">
    <cfRule type="expression" dxfId="352" priority="10">
      <formula>$A180&lt;&gt;"--"</formula>
    </cfRule>
  </conditionalFormatting>
  <conditionalFormatting sqref="B188:B195">
    <cfRule type="expression" dxfId="351" priority="9">
      <formula>$A188&lt;&gt;"--"</formula>
    </cfRule>
  </conditionalFormatting>
  <conditionalFormatting sqref="B196:B203">
    <cfRule type="expression" dxfId="350" priority="8">
      <formula>$A196&lt;&gt;"--"</formula>
    </cfRule>
  </conditionalFormatting>
  <conditionalFormatting sqref="B204:B211">
    <cfRule type="expression" dxfId="349" priority="7">
      <formula>$A204&lt;&gt;"--"</formula>
    </cfRule>
  </conditionalFormatting>
  <conditionalFormatting sqref="B212:B219">
    <cfRule type="expression" dxfId="348" priority="6">
      <formula>$A212&lt;&gt;"--"</formula>
    </cfRule>
  </conditionalFormatting>
  <conditionalFormatting sqref="B220:B227">
    <cfRule type="expression" dxfId="347" priority="5">
      <formula>$A220&lt;&gt;"--"</formula>
    </cfRule>
  </conditionalFormatting>
  <conditionalFormatting sqref="B228:B251">
    <cfRule type="expression" dxfId="346" priority="4">
      <formula>$A228&lt;&gt;"--"</formula>
    </cfRule>
  </conditionalFormatting>
  <conditionalFormatting sqref="B236:B243">
    <cfRule type="expression" dxfId="345" priority="3">
      <formula>$A236&lt;&gt;"--"</formula>
    </cfRule>
  </conditionalFormatting>
  <conditionalFormatting sqref="B244:B251">
    <cfRule type="expression" dxfId="344" priority="2">
      <formula>$A244&lt;&gt;"--"</formula>
    </cfRule>
  </conditionalFormatting>
  <conditionalFormatting sqref="B228:B251">
    <cfRule type="cellIs" dxfId="343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4"/>
  <dimension ref="A1:V254"/>
  <sheetViews>
    <sheetView workbookViewId="0">
      <selection activeCell="L5" sqref="L5"/>
    </sheetView>
  </sheetViews>
  <sheetFormatPr defaultColWidth="15.109375" defaultRowHeight="14.4"/>
  <cols>
    <col min="1" max="1" width="6" style="46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46">
        <v>3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f>SUM(V6:V7)</f>
        <v>3</v>
      </c>
    </row>
    <row r="4" spans="1:22" ht="16.5" customHeight="1" thickTop="1">
      <c r="A4" s="46" t="str">
        <f ca="1">OFFSET('0'!$B$112,($A$1-1)*10,$B4-1)</f>
        <v>SK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3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>
        <f>Vasaris!L254</f>
        <v>2</v>
      </c>
    </row>
    <row r="8" spans="1:22"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  <c r="V8" s="53">
        <f>Kovas!L254</f>
        <v>3</v>
      </c>
    </row>
    <row r="9" spans="1:22" ht="15" thickBot="1"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</row>
    <row r="10" spans="1:22" ht="15" thickBot="1"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3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</row>
    <row r="11" spans="1:22" ht="15" thickBot="1"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3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6</v>
      </c>
      <c r="U11" s="85">
        <v>6</v>
      </c>
    </row>
    <row r="12" spans="1:22" ht="15" thickTop="1">
      <c r="A12" s="46" t="str">
        <f ca="1">OFFSET('0'!$B$112,($A$1-1)*10,$B12-1)</f>
        <v>--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</row>
    <row r="13" spans="1:22" ht="17.25" customHeight="1"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</row>
    <row r="14" spans="1:22"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</row>
    <row r="15" spans="1:22"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</row>
    <row r="16" spans="1:22"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</row>
    <row r="17" spans="1:22" ht="15" thickBot="1"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6</v>
      </c>
    </row>
    <row r="20" spans="1:22" ht="15.6" thickTop="1" thickBot="1">
      <c r="A20" s="46" t="str">
        <f ca="1">OFFSET('0'!$B$112,($A$1-1)*10,$B20-1)</f>
        <v>--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6</v>
      </c>
    </row>
    <row r="28" spans="1:22" ht="15.6" thickTop="1" thickBot="1">
      <c r="A28" s="46" t="str">
        <f ca="1">OFFSET('0'!$B$112,($A$1-1)*10,$B28-1)</f>
        <v>--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6</v>
      </c>
    </row>
    <row r="36" spans="1:20" ht="15.6" thickTop="1" thickBot="1">
      <c r="A36" s="46" t="str">
        <f ca="1">OFFSET('0'!$B$112,($A$1-1)*10,$B36-1)</f>
        <v>--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6</v>
      </c>
    </row>
    <row r="44" spans="1:20" ht="15.6" thickTop="1" thickBot="1">
      <c r="A44" s="46" t="str">
        <f ca="1">OFFSET('0'!$B$112,($A$1-1)*10,$B44-1)</f>
        <v>--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6</v>
      </c>
    </row>
    <row r="52" spans="1:20" ht="15.6" thickTop="1" thickBot="1">
      <c r="A52" s="46" t="str">
        <f ca="1">OFFSET('0'!$B$112,($A$1-1)*10,$B52-1)</f>
        <v>SS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6</v>
      </c>
    </row>
    <row r="60" spans="1:20" ht="15.6" thickTop="1" thickBot="1">
      <c r="A60" s="46" t="str">
        <f ca="1">OFFSET('0'!$B$112,($A$1-1)*10,$B60-1)</f>
        <v>SK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6</v>
      </c>
    </row>
    <row r="68" spans="1:20" ht="15.6" thickTop="1" thickBot="1">
      <c r="A68" s="46" t="str">
        <f ca="1">OFFSET('0'!$B$112,($A$1-1)*10,$B68-1)</f>
        <v>--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6</v>
      </c>
    </row>
    <row r="76" spans="1:20" ht="15.6" thickTop="1" thickBot="1">
      <c r="A76" s="46" t="str">
        <f ca="1">OFFSET('0'!$B$112,($A$1-1)*10,$B76-1)</f>
        <v>--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6</v>
      </c>
    </row>
    <row r="84" spans="1:20" ht="15.6" thickTop="1" thickBot="1">
      <c r="A84" s="46" t="str">
        <f ca="1">OFFSET('0'!$B$112,($A$1-1)*10,$B84-1)</f>
        <v>SV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6</v>
      </c>
    </row>
    <row r="92" spans="1:20" ht="15.6" thickTop="1" thickBot="1">
      <c r="A92" s="46" t="str">
        <f ca="1">OFFSET('0'!$B$112,($A$1-1)*10,$B92-1)</f>
        <v>--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6</v>
      </c>
    </row>
    <row r="100" spans="1:20" ht="15.6" thickTop="1" thickBot="1">
      <c r="A100" s="46" t="str">
        <f ca="1">OFFSET('0'!$B$112,($A$1-1)*10,$B100-1)</f>
        <v>--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6</v>
      </c>
    </row>
    <row r="108" spans="1:20" ht="15.6" thickTop="1" thickBot="1">
      <c r="A108" s="46" t="str">
        <f ca="1">OFFSET('0'!$B$112,($A$1-1)*10,$B108-1)</f>
        <v>SS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6</v>
      </c>
    </row>
    <row r="116" spans="1:22" ht="15.6" thickTop="1" thickBot="1">
      <c r="A116" s="46" t="str">
        <f ca="1">OFFSET('0'!$B$112,($A$1-1)*10,$B116-1)</f>
        <v>SK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6</v>
      </c>
      <c r="U123" s="96"/>
    </row>
    <row r="124" spans="1:22" ht="15.6" thickTop="1" thickBot="1">
      <c r="A124" s="46" t="str">
        <f ca="1">OFFSET('0'!$B$112,($A$1-1)*10,$B124-1)</f>
        <v>--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6</v>
      </c>
    </row>
    <row r="132" spans="1:20" ht="15.6" thickTop="1" thickBot="1">
      <c r="A132" s="46" t="str">
        <f ca="1">OFFSET('0'!$B$112,($A$1-1)*10,$B132-1)</f>
        <v>--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6</v>
      </c>
    </row>
    <row r="140" spans="1:20" ht="15.6" thickTop="1" thickBot="1">
      <c r="A140" s="46" t="str">
        <f ca="1">OFFSET('0'!$B$112,($A$1-1)*10,$B140-1)</f>
        <v>--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13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13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6</v>
      </c>
    </row>
    <row r="148" spans="1:20" ht="15.6" thickTop="1" thickBot="1">
      <c r="A148" s="46" t="str">
        <f ca="1">OFFSET('0'!$B$112,($A$1-1)*10,$B148-1)</f>
        <v>--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13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6</v>
      </c>
    </row>
    <row r="156" spans="1:20" ht="15.6" thickTop="1" thickBot="1">
      <c r="A156" s="46" t="str">
        <f ca="1">OFFSET('0'!$B$112,($A$1-1)*10,$B156-1)</f>
        <v>--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13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6</v>
      </c>
    </row>
    <row r="164" spans="1:20" ht="15.6" thickTop="1" thickBot="1">
      <c r="A164" s="46" t="str">
        <f ca="1">OFFSET('0'!$B$112,($A$1-1)*10,$B164-1)</f>
        <v>SS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13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6</v>
      </c>
    </row>
    <row r="172" spans="1:20" ht="15.6" thickTop="1" thickBot="1">
      <c r="A172" s="46" t="str">
        <f ca="1">OFFSET('0'!$B$112,($A$1-1)*10,$B172-1)</f>
        <v>SK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13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6</v>
      </c>
    </row>
    <row r="180" spans="1:20" ht="15.6" thickTop="1" thickBot="1">
      <c r="A180" s="46" t="str">
        <f ca="1">OFFSET('0'!$B$112,($A$1-1)*10,$B180-1)</f>
        <v>--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13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6</v>
      </c>
    </row>
    <row r="188" spans="1:20" ht="15.6" thickTop="1" thickBot="1">
      <c r="A188" s="46" t="str">
        <f ca="1">OFFSET('0'!$B$112,($A$1-1)*10,$B188-1)</f>
        <v>--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13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6</v>
      </c>
    </row>
    <row r="196" spans="1:20" ht="15.6" thickTop="1" thickBot="1">
      <c r="A196" s="46" t="str">
        <f ca="1">OFFSET('0'!$B$112,($A$1-1)*10,$B196-1)</f>
        <v>--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6</v>
      </c>
    </row>
    <row r="204" spans="1:20" ht="15.6" thickTop="1" thickBot="1">
      <c r="A204" s="46" t="str">
        <f ca="1">OFFSET('0'!$B$112,($A$1-1)*10,$B204-1)</f>
        <v>--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13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6</v>
      </c>
    </row>
    <row r="212" spans="1:20" ht="15.6" thickTop="1" thickBot="1">
      <c r="A212" s="46" t="str">
        <f ca="1">OFFSET('0'!$B$112,($A$1-1)*10,$B212-1)</f>
        <v>--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13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13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6</v>
      </c>
    </row>
    <row r="220" spans="1:20" ht="15.6" thickTop="1" thickBot="1">
      <c r="A220" s="46" t="str">
        <f ca="1">OFFSET('0'!$B$112,($A$1-1)*10,$B220-1)</f>
        <v>SS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13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13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6</v>
      </c>
    </row>
    <row r="228" spans="1:20" ht="15.6" thickTop="1" thickBot="1">
      <c r="A228" s="46" t="str">
        <f ca="1">OFFSET('0'!$B$112,($A$1-1)*10,$B228-1)</f>
        <v>SK</v>
      </c>
      <c r="B228" s="228">
        <f ca="1">OFFSET('0'!$B$111,($A$1-1)*10,28)</f>
        <v>29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13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13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6</v>
      </c>
    </row>
    <row r="236" spans="1:20" ht="15.6" thickTop="1" thickBot="1">
      <c r="A236" s="46" t="str">
        <f ca="1">OFFSET('0'!$B$112,($A$1-1)*10,$B236-1)</f>
        <v>--</v>
      </c>
      <c r="B236" s="228">
        <f ca="1">OFFSET('0'!$B$111,($A$1-1)*10,29)</f>
        <v>30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13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13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6</v>
      </c>
    </row>
    <row r="244" spans="1:20" ht="15.6" thickTop="1" thickBot="1">
      <c r="A244" s="46" t="str">
        <f ca="1">OFFSET('0'!$B$112,($A$1-1)*10,$B244-1)</f>
        <v>--</v>
      </c>
      <c r="B244" s="228">
        <f ca="1">OFFSET('0'!$B$111,($A$1-1)*10,30)</f>
        <v>31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13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13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13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6</v>
      </c>
    </row>
    <row r="252" spans="1:20" ht="15" thickTop="1"/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3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3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342" priority="31">
      <formula>$A4&lt;&gt;"--"</formula>
    </cfRule>
  </conditionalFormatting>
  <conditionalFormatting sqref="B20:B27">
    <cfRule type="expression" dxfId="341" priority="30">
      <formula>$A20&lt;&gt;"--"</formula>
    </cfRule>
  </conditionalFormatting>
  <conditionalFormatting sqref="B28:B35">
    <cfRule type="expression" dxfId="340" priority="29">
      <formula>$A28&lt;&gt;"--"</formula>
    </cfRule>
  </conditionalFormatting>
  <conditionalFormatting sqref="B36:B43">
    <cfRule type="expression" dxfId="339" priority="28">
      <formula>$A36&lt;&gt;"--"</formula>
    </cfRule>
  </conditionalFormatting>
  <conditionalFormatting sqref="B44:B51">
    <cfRule type="expression" dxfId="338" priority="27">
      <formula>$A44&lt;&gt;"--"</formula>
    </cfRule>
  </conditionalFormatting>
  <conditionalFormatting sqref="B52:B59">
    <cfRule type="expression" dxfId="337" priority="26">
      <formula>$A52&lt;&gt;"--"</formula>
    </cfRule>
  </conditionalFormatting>
  <conditionalFormatting sqref="B60:B67">
    <cfRule type="expression" dxfId="336" priority="25">
      <formula>$A60&lt;&gt;"--"</formula>
    </cfRule>
  </conditionalFormatting>
  <conditionalFormatting sqref="B68:B75">
    <cfRule type="expression" dxfId="335" priority="24">
      <formula>$A68&lt;&gt;"--"</formula>
    </cfRule>
  </conditionalFormatting>
  <conditionalFormatting sqref="B76:B83">
    <cfRule type="expression" dxfId="334" priority="23">
      <formula>$A76&lt;&gt;"--"</formula>
    </cfRule>
  </conditionalFormatting>
  <conditionalFormatting sqref="B84:B91">
    <cfRule type="expression" dxfId="333" priority="22">
      <formula>$A84&lt;&gt;"--"</formula>
    </cfRule>
  </conditionalFormatting>
  <conditionalFormatting sqref="B92:B99">
    <cfRule type="expression" dxfId="332" priority="21">
      <formula>$A92&lt;&gt;"--"</formula>
    </cfRule>
  </conditionalFormatting>
  <conditionalFormatting sqref="B100:B107">
    <cfRule type="expression" dxfId="331" priority="20">
      <formula>$A100&lt;&gt;"--"</formula>
    </cfRule>
  </conditionalFormatting>
  <conditionalFormatting sqref="B108:B115">
    <cfRule type="expression" dxfId="330" priority="19">
      <formula>$A108&lt;&gt;"--"</formula>
    </cfRule>
  </conditionalFormatting>
  <conditionalFormatting sqref="B116:B123">
    <cfRule type="expression" dxfId="329" priority="18">
      <formula>$A116&lt;&gt;"--"</formula>
    </cfRule>
  </conditionalFormatting>
  <conditionalFormatting sqref="B124:B131">
    <cfRule type="expression" dxfId="328" priority="17">
      <formula>$A124&lt;&gt;"--"</formula>
    </cfRule>
  </conditionalFormatting>
  <conditionalFormatting sqref="B132:B139">
    <cfRule type="expression" dxfId="327" priority="16">
      <formula>$A132&lt;&gt;"--"</formula>
    </cfRule>
  </conditionalFormatting>
  <conditionalFormatting sqref="B140:B147">
    <cfRule type="expression" dxfId="326" priority="15">
      <formula>$A140&lt;&gt;"--"</formula>
    </cfRule>
  </conditionalFormatting>
  <conditionalFormatting sqref="B148:B155">
    <cfRule type="expression" dxfId="325" priority="14">
      <formula>$A148&lt;&gt;"--"</formula>
    </cfRule>
  </conditionalFormatting>
  <conditionalFormatting sqref="B156:B163">
    <cfRule type="expression" dxfId="324" priority="13">
      <formula>$A156&lt;&gt;"--"</formula>
    </cfRule>
  </conditionalFormatting>
  <conditionalFormatting sqref="B164:B171">
    <cfRule type="expression" dxfId="323" priority="12">
      <formula>$A164&lt;&gt;"--"</formula>
    </cfRule>
  </conditionalFormatting>
  <conditionalFormatting sqref="B172:B179">
    <cfRule type="expression" dxfId="322" priority="11">
      <formula>$A172&lt;&gt;"--"</formula>
    </cfRule>
  </conditionalFormatting>
  <conditionalFormatting sqref="B180:B187">
    <cfRule type="expression" dxfId="321" priority="10">
      <formula>$A180&lt;&gt;"--"</formula>
    </cfRule>
  </conditionalFormatting>
  <conditionalFormatting sqref="B188:B195">
    <cfRule type="expression" dxfId="320" priority="9">
      <formula>$A188&lt;&gt;"--"</formula>
    </cfRule>
  </conditionalFormatting>
  <conditionalFormatting sqref="B196:B203">
    <cfRule type="expression" dxfId="319" priority="8">
      <formula>$A196&lt;&gt;"--"</formula>
    </cfRule>
  </conditionalFormatting>
  <conditionalFormatting sqref="B204:B211">
    <cfRule type="expression" dxfId="318" priority="7">
      <formula>$A204&lt;&gt;"--"</formula>
    </cfRule>
  </conditionalFormatting>
  <conditionalFormatting sqref="B212:B219">
    <cfRule type="expression" dxfId="317" priority="6">
      <formula>$A212&lt;&gt;"--"</formula>
    </cfRule>
  </conditionalFormatting>
  <conditionalFormatting sqref="B220:B227">
    <cfRule type="expression" dxfId="316" priority="5">
      <formula>$A220&lt;&gt;"--"</formula>
    </cfRule>
  </conditionalFormatting>
  <conditionalFormatting sqref="B228:B251">
    <cfRule type="expression" dxfId="315" priority="4">
      <formula>$A228&lt;&gt;"--"</formula>
    </cfRule>
  </conditionalFormatting>
  <conditionalFormatting sqref="B236:B243">
    <cfRule type="expression" dxfId="314" priority="3">
      <formula>$A236&lt;&gt;"--"</formula>
    </cfRule>
  </conditionalFormatting>
  <conditionalFormatting sqref="B244:B251">
    <cfRule type="expression" dxfId="313" priority="2">
      <formula>$A244&lt;&gt;"--"</formula>
    </cfRule>
  </conditionalFormatting>
  <conditionalFormatting sqref="B228:B251">
    <cfRule type="cellIs" dxfId="312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25"/>
  <dimension ref="A1:V254"/>
  <sheetViews>
    <sheetView workbookViewId="0">
      <selection activeCell="L5" sqref="L5"/>
    </sheetView>
  </sheetViews>
  <sheetFormatPr defaultColWidth="15.109375" defaultRowHeight="14.4"/>
  <cols>
    <col min="1" max="1" width="6" style="46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46">
        <v>4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f>SUM(V6:V8)</f>
        <v>6</v>
      </c>
    </row>
    <row r="4" spans="1:22" ht="16.5" customHeight="1" thickTop="1">
      <c r="A4" s="46" t="str">
        <f ca="1">OFFSET('0'!$B$112,($A$1-1)*10,$B4-1)</f>
        <v>--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4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>
        <f>Vasaris!L254</f>
        <v>2</v>
      </c>
    </row>
    <row r="8" spans="1:22"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  <c r="V8" s="53">
        <f>Kovas!L254</f>
        <v>3</v>
      </c>
    </row>
    <row r="9" spans="1:22" ht="15" thickBot="1"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  <c r="V9" s="53">
        <f>Balandis!L254</f>
        <v>4</v>
      </c>
    </row>
    <row r="10" spans="1:22" ht="15" thickBot="1"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4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</row>
    <row r="11" spans="1:22" ht="15" thickBot="1"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4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10</v>
      </c>
      <c r="U11" s="85">
        <v>6</v>
      </c>
    </row>
    <row r="12" spans="1:22" ht="15" thickTop="1">
      <c r="A12" s="46" t="str">
        <f ca="1">OFFSET('0'!$B$112,($A$1-1)*10,$B12-1)</f>
        <v>--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</row>
    <row r="13" spans="1:22" ht="17.25" customHeight="1"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</row>
    <row r="14" spans="1:22"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</row>
    <row r="15" spans="1:22"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</row>
    <row r="16" spans="1:22"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</row>
    <row r="17" spans="1:22" ht="15" thickBot="1"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10</v>
      </c>
    </row>
    <row r="20" spans="1:22" ht="15.6" thickTop="1" thickBot="1">
      <c r="A20" s="46" t="str">
        <f ca="1">OFFSET('0'!$B$112,($A$1-1)*10,$B20-1)</f>
        <v>--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10</v>
      </c>
    </row>
    <row r="28" spans="1:22" ht="15.6" thickTop="1" thickBot="1">
      <c r="A28" s="46" t="str">
        <f ca="1">OFFSET('0'!$B$112,($A$1-1)*10,$B28-1)</f>
        <v>SS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10</v>
      </c>
    </row>
    <row r="36" spans="1:20" ht="15.6" thickTop="1" thickBot="1">
      <c r="A36" s="46" t="str">
        <f ca="1">OFFSET('0'!$B$112,($A$1-1)*10,$B36-1)</f>
        <v>SV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10</v>
      </c>
    </row>
    <row r="44" spans="1:20" ht="15.6" thickTop="1" thickBot="1">
      <c r="A44" s="46" t="str">
        <f ca="1">OFFSET('0'!$B$112,($A$1-1)*10,$B44-1)</f>
        <v>--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10</v>
      </c>
    </row>
    <row r="52" spans="1:20" ht="15.6" thickTop="1" thickBot="1">
      <c r="A52" s="46" t="str">
        <f ca="1">OFFSET('0'!$B$112,($A$1-1)*10,$B52-1)</f>
        <v>--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10</v>
      </c>
    </row>
    <row r="60" spans="1:20" ht="15.6" thickTop="1" thickBot="1">
      <c r="A60" s="46" t="str">
        <f ca="1">OFFSET('0'!$B$112,($A$1-1)*10,$B60-1)</f>
        <v>--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10</v>
      </c>
    </row>
    <row r="68" spans="1:20" ht="15.6" thickTop="1" thickBot="1">
      <c r="A68" s="46" t="str">
        <f ca="1">OFFSET('0'!$B$112,($A$1-1)*10,$B68-1)</f>
        <v>--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10</v>
      </c>
    </row>
    <row r="76" spans="1:20" ht="15.6" thickTop="1" thickBot="1">
      <c r="A76" s="46" t="str">
        <f ca="1">OFFSET('0'!$B$112,($A$1-1)*10,$B76-1)</f>
        <v>--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10</v>
      </c>
    </row>
    <row r="84" spans="1:20" ht="15.6" thickTop="1" thickBot="1">
      <c r="A84" s="46" t="str">
        <f ca="1">OFFSET('0'!$B$112,($A$1-1)*10,$B84-1)</f>
        <v>SS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10</v>
      </c>
    </row>
    <row r="92" spans="1:20" ht="15.6" thickTop="1" thickBot="1">
      <c r="A92" s="46" t="str">
        <f ca="1">OFFSET('0'!$B$112,($A$1-1)*10,$B92-1)</f>
        <v>SK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10</v>
      </c>
    </row>
    <row r="100" spans="1:20" ht="15.6" thickTop="1" thickBot="1">
      <c r="A100" s="46" t="str">
        <f ca="1">OFFSET('0'!$B$112,($A$1-1)*10,$B100-1)</f>
        <v>--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10</v>
      </c>
    </row>
    <row r="108" spans="1:20" ht="15.6" thickTop="1" thickBot="1">
      <c r="A108" s="46" t="str">
        <f ca="1">OFFSET('0'!$B$112,($A$1-1)*10,$B108-1)</f>
        <v>--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10</v>
      </c>
    </row>
    <row r="116" spans="1:22" ht="15.6" thickTop="1" thickBot="1">
      <c r="A116" s="46" t="str">
        <f ca="1">OFFSET('0'!$B$112,($A$1-1)*10,$B116-1)</f>
        <v>--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10</v>
      </c>
      <c r="U123" s="96"/>
    </row>
    <row r="124" spans="1:22" ht="15.6" thickTop="1" thickBot="1">
      <c r="A124" s="46" t="str">
        <f ca="1">OFFSET('0'!$B$112,($A$1-1)*10,$B124-1)</f>
        <v>--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10</v>
      </c>
    </row>
    <row r="132" spans="1:20" ht="15.6" thickTop="1" thickBot="1">
      <c r="A132" s="46" t="str">
        <f ca="1">OFFSET('0'!$B$112,($A$1-1)*10,$B132-1)</f>
        <v>--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10</v>
      </c>
    </row>
    <row r="140" spans="1:20" ht="15.6" thickTop="1" thickBot="1">
      <c r="A140" s="46" t="str">
        <f ca="1">OFFSET('0'!$B$112,($A$1-1)*10,$B140-1)</f>
        <v>SS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13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13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10</v>
      </c>
    </row>
    <row r="148" spans="1:20" ht="15.6" thickTop="1" thickBot="1">
      <c r="A148" s="46" t="str">
        <f ca="1">OFFSET('0'!$B$112,($A$1-1)*10,$B148-1)</f>
        <v>SK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13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10</v>
      </c>
    </row>
    <row r="156" spans="1:20" ht="15.6" thickTop="1" thickBot="1">
      <c r="A156" s="46" t="str">
        <f ca="1">OFFSET('0'!$B$112,($A$1-1)*10,$B156-1)</f>
        <v>--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13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10</v>
      </c>
    </row>
    <row r="164" spans="1:20" ht="15.6" thickTop="1" thickBot="1">
      <c r="A164" s="46" t="str">
        <f ca="1">OFFSET('0'!$B$112,($A$1-1)*10,$B164-1)</f>
        <v>--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13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10</v>
      </c>
    </row>
    <row r="172" spans="1:20" ht="15.6" thickTop="1" thickBot="1">
      <c r="A172" s="46" t="str">
        <f ca="1">OFFSET('0'!$B$112,($A$1-1)*10,$B172-1)</f>
        <v>--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13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10</v>
      </c>
    </row>
    <row r="180" spans="1:20" ht="15.6" thickTop="1" thickBot="1">
      <c r="A180" s="46" t="str">
        <f ca="1">OFFSET('0'!$B$112,($A$1-1)*10,$B180-1)</f>
        <v>--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13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10</v>
      </c>
    </row>
    <row r="188" spans="1:20" ht="15.6" thickTop="1" thickBot="1">
      <c r="A188" s="46" t="str">
        <f ca="1">OFFSET('0'!$B$112,($A$1-1)*10,$B188-1)</f>
        <v>--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13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10</v>
      </c>
    </row>
    <row r="196" spans="1:20" ht="15.6" thickTop="1" thickBot="1">
      <c r="A196" s="46" t="str">
        <f ca="1">OFFSET('0'!$B$112,($A$1-1)*10,$B196-1)</f>
        <v>SS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10</v>
      </c>
    </row>
    <row r="204" spans="1:20" ht="15.6" thickTop="1" thickBot="1">
      <c r="A204" s="46" t="str">
        <f ca="1">OFFSET('0'!$B$112,($A$1-1)*10,$B204-1)</f>
        <v>SK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13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10</v>
      </c>
    </row>
    <row r="212" spans="1:20" ht="15.6" thickTop="1" thickBot="1">
      <c r="A212" s="46" t="str">
        <f ca="1">OFFSET('0'!$B$112,($A$1-1)*10,$B212-1)</f>
        <v>--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13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13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10</v>
      </c>
    </row>
    <row r="220" spans="1:20" ht="15.6" thickTop="1" thickBot="1">
      <c r="A220" s="46" t="str">
        <f ca="1">OFFSET('0'!$B$112,($A$1-1)*10,$B220-1)</f>
        <v>--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13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13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10</v>
      </c>
    </row>
    <row r="228" spans="1:20" ht="15.6" thickTop="1" thickBot="1">
      <c r="A228" s="46" t="str">
        <f ca="1">OFFSET('0'!$B$112,($A$1-1)*10,$B228-1)</f>
        <v>--</v>
      </c>
      <c r="B228" s="228">
        <f ca="1">OFFSET('0'!$B$111,($A$1-1)*10,28)</f>
        <v>29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13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13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10</v>
      </c>
    </row>
    <row r="236" spans="1:20" ht="15.6" thickTop="1" thickBot="1">
      <c r="A236" s="46" t="str">
        <f ca="1">OFFSET('0'!$B$112,($A$1-1)*10,$B236-1)</f>
        <v>--</v>
      </c>
      <c r="B236" s="228">
        <f ca="1">OFFSET('0'!$B$111,($A$1-1)*10,29)</f>
        <v>30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13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13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10</v>
      </c>
    </row>
    <row r="244" spans="1:20" ht="15.6" thickTop="1" thickBot="1">
      <c r="A244" s="46" t="e">
        <f ca="1">OFFSET('0'!$B$112,($A$1-1)*10,$B244-1)</f>
        <v>#REF!</v>
      </c>
      <c r="B244" s="228">
        <f ca="1">OFFSET('0'!$B$111,($A$1-1)*10,30)</f>
        <v>-29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13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13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13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10</v>
      </c>
    </row>
    <row r="252" spans="1:20" ht="15" thickTop="1"/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4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4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311" priority="31">
      <formula>$A4&lt;&gt;"--"</formula>
    </cfRule>
  </conditionalFormatting>
  <conditionalFormatting sqref="B20:B27">
    <cfRule type="expression" dxfId="310" priority="30">
      <formula>$A20&lt;&gt;"--"</formula>
    </cfRule>
  </conditionalFormatting>
  <conditionalFormatting sqref="B28:B35">
    <cfRule type="expression" dxfId="309" priority="29">
      <formula>$A28&lt;&gt;"--"</formula>
    </cfRule>
  </conditionalFormatting>
  <conditionalFormatting sqref="B36:B43">
    <cfRule type="expression" dxfId="308" priority="28">
      <formula>$A36&lt;&gt;"--"</formula>
    </cfRule>
  </conditionalFormatting>
  <conditionalFormatting sqref="B44:B51">
    <cfRule type="expression" dxfId="307" priority="27">
      <formula>$A44&lt;&gt;"--"</formula>
    </cfRule>
  </conditionalFormatting>
  <conditionalFormatting sqref="B52:B59">
    <cfRule type="expression" dxfId="306" priority="26">
      <formula>$A52&lt;&gt;"--"</formula>
    </cfRule>
  </conditionalFormatting>
  <conditionalFormatting sqref="B60:B67">
    <cfRule type="expression" dxfId="305" priority="25">
      <formula>$A60&lt;&gt;"--"</formula>
    </cfRule>
  </conditionalFormatting>
  <conditionalFormatting sqref="B68:B75">
    <cfRule type="expression" dxfId="304" priority="24">
      <formula>$A68&lt;&gt;"--"</formula>
    </cfRule>
  </conditionalFormatting>
  <conditionalFormatting sqref="B76:B83">
    <cfRule type="expression" dxfId="303" priority="23">
      <formula>$A76&lt;&gt;"--"</formula>
    </cfRule>
  </conditionalFormatting>
  <conditionalFormatting sqref="B84:B91">
    <cfRule type="expression" dxfId="302" priority="22">
      <formula>$A84&lt;&gt;"--"</formula>
    </cfRule>
  </conditionalFormatting>
  <conditionalFormatting sqref="B92:B99">
    <cfRule type="expression" dxfId="301" priority="21">
      <formula>$A92&lt;&gt;"--"</formula>
    </cfRule>
  </conditionalFormatting>
  <conditionalFormatting sqref="B100:B107">
    <cfRule type="expression" dxfId="300" priority="20">
      <formula>$A100&lt;&gt;"--"</formula>
    </cfRule>
  </conditionalFormatting>
  <conditionalFormatting sqref="B108:B115">
    <cfRule type="expression" dxfId="299" priority="19">
      <formula>$A108&lt;&gt;"--"</formula>
    </cfRule>
  </conditionalFormatting>
  <conditionalFormatting sqref="B116:B123">
    <cfRule type="expression" dxfId="298" priority="18">
      <formula>$A116&lt;&gt;"--"</formula>
    </cfRule>
  </conditionalFormatting>
  <conditionalFormatting sqref="B124:B131">
    <cfRule type="expression" dxfId="297" priority="17">
      <formula>$A124&lt;&gt;"--"</formula>
    </cfRule>
  </conditionalFormatting>
  <conditionalFormatting sqref="B132:B139">
    <cfRule type="expression" dxfId="296" priority="16">
      <formula>$A132&lt;&gt;"--"</formula>
    </cfRule>
  </conditionalFormatting>
  <conditionalFormatting sqref="B140:B147">
    <cfRule type="expression" dxfId="295" priority="15">
      <formula>$A140&lt;&gt;"--"</formula>
    </cfRule>
  </conditionalFormatting>
  <conditionalFormatting sqref="B148:B155">
    <cfRule type="expression" dxfId="294" priority="14">
      <formula>$A148&lt;&gt;"--"</formula>
    </cfRule>
  </conditionalFormatting>
  <conditionalFormatting sqref="B156:B163">
    <cfRule type="expression" dxfId="293" priority="13">
      <formula>$A156&lt;&gt;"--"</formula>
    </cfRule>
  </conditionalFormatting>
  <conditionalFormatting sqref="B164:B171">
    <cfRule type="expression" dxfId="292" priority="12">
      <formula>$A164&lt;&gt;"--"</formula>
    </cfRule>
  </conditionalFormatting>
  <conditionalFormatting sqref="B172:B179">
    <cfRule type="expression" dxfId="291" priority="11">
      <formula>$A172&lt;&gt;"--"</formula>
    </cfRule>
  </conditionalFormatting>
  <conditionalFormatting sqref="B180:B187">
    <cfRule type="expression" dxfId="290" priority="10">
      <formula>$A180&lt;&gt;"--"</formula>
    </cfRule>
  </conditionalFormatting>
  <conditionalFormatting sqref="B188:B195">
    <cfRule type="expression" dxfId="289" priority="9">
      <formula>$A188&lt;&gt;"--"</formula>
    </cfRule>
  </conditionalFormatting>
  <conditionalFormatting sqref="B196:B203">
    <cfRule type="expression" dxfId="288" priority="8">
      <formula>$A196&lt;&gt;"--"</formula>
    </cfRule>
  </conditionalFormatting>
  <conditionalFormatting sqref="B204:B211">
    <cfRule type="expression" dxfId="287" priority="7">
      <formula>$A204&lt;&gt;"--"</formula>
    </cfRule>
  </conditionalFormatting>
  <conditionalFormatting sqref="B212:B219">
    <cfRule type="expression" dxfId="286" priority="6">
      <formula>$A212&lt;&gt;"--"</formula>
    </cfRule>
  </conditionalFormatting>
  <conditionalFormatting sqref="B220:B227">
    <cfRule type="expression" dxfId="285" priority="5">
      <formula>$A220&lt;&gt;"--"</formula>
    </cfRule>
  </conditionalFormatting>
  <conditionalFormatting sqref="B228:B251">
    <cfRule type="expression" dxfId="284" priority="4">
      <formula>$A228&lt;&gt;"--"</formula>
    </cfRule>
  </conditionalFormatting>
  <conditionalFormatting sqref="B236:B243">
    <cfRule type="expression" dxfId="283" priority="3">
      <formula>$A236&lt;&gt;"--"</formula>
    </cfRule>
  </conditionalFormatting>
  <conditionalFormatting sqref="B244:B251">
    <cfRule type="expression" dxfId="282" priority="2">
      <formula>$A244&lt;&gt;"--"</formula>
    </cfRule>
  </conditionalFormatting>
  <conditionalFormatting sqref="B228:B251">
    <cfRule type="cellIs" dxfId="281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6"/>
  <dimension ref="A1:V254"/>
  <sheetViews>
    <sheetView workbookViewId="0">
      <selection activeCell="L5" sqref="L5"/>
    </sheetView>
  </sheetViews>
  <sheetFormatPr defaultColWidth="15.109375" defaultRowHeight="14.4"/>
  <cols>
    <col min="1" max="1" width="6" style="46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46">
        <v>5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f>SUM(V6:V9)</f>
        <v>10</v>
      </c>
    </row>
    <row r="4" spans="1:22" ht="16.5" customHeight="1" thickTop="1">
      <c r="A4" s="46" t="str">
        <f ca="1">OFFSET('0'!$B$112,($A$1-1)*10,$B4-1)</f>
        <v>SV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5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>
        <f>Vasaris!L254</f>
        <v>2</v>
      </c>
    </row>
    <row r="8" spans="1:22"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  <c r="V8" s="53">
        <f>Kovas!L254</f>
        <v>3</v>
      </c>
    </row>
    <row r="9" spans="1:22" ht="15" thickBot="1"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  <c r="V9" s="53">
        <f>Balandis!L254</f>
        <v>4</v>
      </c>
    </row>
    <row r="10" spans="1:22" ht="15" thickBot="1"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5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</row>
    <row r="11" spans="1:22" ht="15" thickBot="1"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5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15</v>
      </c>
      <c r="U11" s="85">
        <v>6</v>
      </c>
    </row>
    <row r="12" spans="1:22" ht="15" thickTop="1">
      <c r="A12" s="46" t="str">
        <f ca="1">OFFSET('0'!$B$112,($A$1-1)*10,$B12-1)</f>
        <v>SS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</row>
    <row r="13" spans="1:22" ht="17.25" customHeight="1"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</row>
    <row r="14" spans="1:22"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</row>
    <row r="15" spans="1:22"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</row>
    <row r="16" spans="1:22"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</row>
    <row r="17" spans="1:22" ht="15" thickBot="1"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15</v>
      </c>
    </row>
    <row r="20" spans="1:22" ht="15.6" thickTop="1" thickBot="1">
      <c r="A20" s="46" t="str">
        <f ca="1">OFFSET('0'!$B$112,($A$1-1)*10,$B20-1)</f>
        <v>SK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15</v>
      </c>
    </row>
    <row r="28" spans="1:22" ht="15.6" thickTop="1" thickBot="1">
      <c r="A28" s="46" t="str">
        <f ca="1">OFFSET('0'!$B$112,($A$1-1)*10,$B28-1)</f>
        <v>--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15</v>
      </c>
    </row>
    <row r="36" spans="1:20" ht="15.6" thickTop="1" thickBot="1">
      <c r="A36" s="46" t="str">
        <f ca="1">OFFSET('0'!$B$112,($A$1-1)*10,$B36-1)</f>
        <v>--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15</v>
      </c>
    </row>
    <row r="44" spans="1:20" ht="15.6" thickTop="1" thickBot="1">
      <c r="A44" s="46" t="str">
        <f ca="1">OFFSET('0'!$B$112,($A$1-1)*10,$B44-1)</f>
        <v>--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15</v>
      </c>
    </row>
    <row r="52" spans="1:20" ht="15.6" thickTop="1" thickBot="1">
      <c r="A52" s="46" t="str">
        <f ca="1">OFFSET('0'!$B$112,($A$1-1)*10,$B52-1)</f>
        <v>--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15</v>
      </c>
    </row>
    <row r="60" spans="1:20" ht="15.6" thickTop="1" thickBot="1">
      <c r="A60" s="46" t="str">
        <f ca="1">OFFSET('0'!$B$112,($A$1-1)*10,$B60-1)</f>
        <v>--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15</v>
      </c>
    </row>
    <row r="68" spans="1:20" ht="15.6" thickTop="1" thickBot="1">
      <c r="A68" s="46" t="str">
        <f ca="1">OFFSET('0'!$B$112,($A$1-1)*10,$B68-1)</f>
        <v>SS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15</v>
      </c>
    </row>
    <row r="76" spans="1:20" ht="15.6" thickTop="1" thickBot="1">
      <c r="A76" s="46" t="str">
        <f ca="1">OFFSET('0'!$B$112,($A$1-1)*10,$B76-1)</f>
        <v>SK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15</v>
      </c>
    </row>
    <row r="84" spans="1:20" ht="15.6" thickTop="1" thickBot="1">
      <c r="A84" s="46" t="str">
        <f ca="1">OFFSET('0'!$B$112,($A$1-1)*10,$B84-1)</f>
        <v>--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15</v>
      </c>
    </row>
    <row r="92" spans="1:20" ht="15.6" thickTop="1" thickBot="1">
      <c r="A92" s="46" t="str">
        <f ca="1">OFFSET('0'!$B$112,($A$1-1)*10,$B92-1)</f>
        <v>--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15</v>
      </c>
    </row>
    <row r="100" spans="1:20" ht="15.6" thickTop="1" thickBot="1">
      <c r="A100" s="46" t="str">
        <f ca="1">OFFSET('0'!$B$112,($A$1-1)*10,$B100-1)</f>
        <v>--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15</v>
      </c>
    </row>
    <row r="108" spans="1:20" ht="15.6" thickTop="1" thickBot="1">
      <c r="A108" s="46" t="str">
        <f ca="1">OFFSET('0'!$B$112,($A$1-1)*10,$B108-1)</f>
        <v>--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15</v>
      </c>
    </row>
    <row r="116" spans="1:22" ht="15.6" thickTop="1" thickBot="1">
      <c r="A116" s="46" t="str">
        <f ca="1">OFFSET('0'!$B$112,($A$1-1)*10,$B116-1)</f>
        <v>--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15</v>
      </c>
      <c r="U123" s="96"/>
    </row>
    <row r="124" spans="1:22" ht="15.6" thickTop="1" thickBot="1">
      <c r="A124" s="46" t="str">
        <f ca="1">OFFSET('0'!$B$112,($A$1-1)*10,$B124-1)</f>
        <v>SS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15</v>
      </c>
    </row>
    <row r="132" spans="1:20" ht="15.6" thickTop="1" thickBot="1">
      <c r="A132" s="46" t="str">
        <f ca="1">OFFSET('0'!$B$112,($A$1-1)*10,$B132-1)</f>
        <v>SK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15</v>
      </c>
    </row>
    <row r="140" spans="1:20" ht="15.6" thickTop="1" thickBot="1">
      <c r="A140" s="46" t="str">
        <f ca="1">OFFSET('0'!$B$112,($A$1-1)*10,$B140-1)</f>
        <v>--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13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13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15</v>
      </c>
    </row>
    <row r="148" spans="1:20" ht="15.6" thickTop="1" thickBot="1">
      <c r="A148" s="46" t="str">
        <f ca="1">OFFSET('0'!$B$112,($A$1-1)*10,$B148-1)</f>
        <v>--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13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15</v>
      </c>
    </row>
    <row r="156" spans="1:20" ht="15.6" thickTop="1" thickBot="1">
      <c r="A156" s="46" t="str">
        <f ca="1">OFFSET('0'!$B$112,($A$1-1)*10,$B156-1)</f>
        <v>--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13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15</v>
      </c>
    </row>
    <row r="164" spans="1:20" ht="15.6" thickTop="1" thickBot="1">
      <c r="A164" s="46" t="str">
        <f ca="1">OFFSET('0'!$B$112,($A$1-1)*10,$B164-1)</f>
        <v>--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13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15</v>
      </c>
    </row>
    <row r="172" spans="1:20" ht="15.6" thickTop="1" thickBot="1">
      <c r="A172" s="46" t="str">
        <f ca="1">OFFSET('0'!$B$112,($A$1-1)*10,$B172-1)</f>
        <v>--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13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15</v>
      </c>
    </row>
    <row r="180" spans="1:20" ht="15.6" thickTop="1" thickBot="1">
      <c r="A180" s="46" t="str">
        <f ca="1">OFFSET('0'!$B$112,($A$1-1)*10,$B180-1)</f>
        <v>SS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13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15</v>
      </c>
    </row>
    <row r="188" spans="1:20" ht="15.6" thickTop="1" thickBot="1">
      <c r="A188" s="46" t="str">
        <f ca="1">OFFSET('0'!$B$112,($A$1-1)*10,$B188-1)</f>
        <v>SK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13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15</v>
      </c>
    </row>
    <row r="196" spans="1:20" ht="15.6" thickTop="1" thickBot="1">
      <c r="A196" s="46" t="str">
        <f ca="1">OFFSET('0'!$B$112,($A$1-1)*10,$B196-1)</f>
        <v>--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15</v>
      </c>
    </row>
    <row r="204" spans="1:20" ht="15.6" thickTop="1" thickBot="1">
      <c r="A204" s="46" t="str">
        <f ca="1">OFFSET('0'!$B$112,($A$1-1)*10,$B204-1)</f>
        <v>--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13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15</v>
      </c>
    </row>
    <row r="212" spans="1:20" ht="15.6" thickTop="1" thickBot="1">
      <c r="A212" s="46" t="str">
        <f ca="1">OFFSET('0'!$B$112,($A$1-1)*10,$B212-1)</f>
        <v>--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13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13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15</v>
      </c>
    </row>
    <row r="220" spans="1:20" ht="15.6" thickTop="1" thickBot="1">
      <c r="A220" s="46" t="str">
        <f ca="1">OFFSET('0'!$B$112,($A$1-1)*10,$B220-1)</f>
        <v>--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13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13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15</v>
      </c>
    </row>
    <row r="228" spans="1:20" ht="15.6" thickTop="1" thickBot="1">
      <c r="A228" s="46" t="str">
        <f ca="1">OFFSET('0'!$B$112,($A$1-1)*10,$B228-1)</f>
        <v>--</v>
      </c>
      <c r="B228" s="228">
        <f ca="1">OFFSET('0'!$B$111,($A$1-1)*10,28)</f>
        <v>29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13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13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15</v>
      </c>
    </row>
    <row r="236" spans="1:20" ht="15.6" thickTop="1" thickBot="1">
      <c r="A236" s="46" t="str">
        <f ca="1">OFFSET('0'!$B$112,($A$1-1)*10,$B236-1)</f>
        <v>SS</v>
      </c>
      <c r="B236" s="228">
        <f ca="1">OFFSET('0'!$B$111,($A$1-1)*10,29)</f>
        <v>30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13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13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15</v>
      </c>
    </row>
    <row r="244" spans="1:20" ht="15.6" thickTop="1" thickBot="1">
      <c r="A244" s="46" t="str">
        <f ca="1">OFFSET('0'!$B$112,($A$1-1)*10,$B244-1)</f>
        <v>SK</v>
      </c>
      <c r="B244" s="228">
        <f ca="1">OFFSET('0'!$B$111,($A$1-1)*10,30)</f>
        <v>31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13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13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13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15</v>
      </c>
    </row>
    <row r="252" spans="1:20" ht="15" thickTop="1"/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5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5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280" priority="31">
      <formula>$A4&lt;&gt;"--"</formula>
    </cfRule>
  </conditionalFormatting>
  <conditionalFormatting sqref="B20:B27">
    <cfRule type="expression" dxfId="279" priority="30">
      <formula>$A20&lt;&gt;"--"</formula>
    </cfRule>
  </conditionalFormatting>
  <conditionalFormatting sqref="B28:B35">
    <cfRule type="expression" dxfId="278" priority="29">
      <formula>$A28&lt;&gt;"--"</formula>
    </cfRule>
  </conditionalFormatting>
  <conditionalFormatting sqref="B36:B43">
    <cfRule type="expression" dxfId="277" priority="28">
      <formula>$A36&lt;&gt;"--"</formula>
    </cfRule>
  </conditionalFormatting>
  <conditionalFormatting sqref="B44:B51">
    <cfRule type="expression" dxfId="276" priority="27">
      <formula>$A44&lt;&gt;"--"</formula>
    </cfRule>
  </conditionalFormatting>
  <conditionalFormatting sqref="B52:B59">
    <cfRule type="expression" dxfId="275" priority="26">
      <formula>$A52&lt;&gt;"--"</formula>
    </cfRule>
  </conditionalFormatting>
  <conditionalFormatting sqref="B60:B67">
    <cfRule type="expression" dxfId="274" priority="25">
      <formula>$A60&lt;&gt;"--"</formula>
    </cfRule>
  </conditionalFormatting>
  <conditionalFormatting sqref="B68:B75">
    <cfRule type="expression" dxfId="273" priority="24">
      <formula>$A68&lt;&gt;"--"</formula>
    </cfRule>
  </conditionalFormatting>
  <conditionalFormatting sqref="B76:B83">
    <cfRule type="expression" dxfId="272" priority="23">
      <formula>$A76&lt;&gt;"--"</formula>
    </cfRule>
  </conditionalFormatting>
  <conditionalFormatting sqref="B84:B91">
    <cfRule type="expression" dxfId="271" priority="22">
      <formula>$A84&lt;&gt;"--"</formula>
    </cfRule>
  </conditionalFormatting>
  <conditionalFormatting sqref="B92:B99">
    <cfRule type="expression" dxfId="270" priority="21">
      <formula>$A92&lt;&gt;"--"</formula>
    </cfRule>
  </conditionalFormatting>
  <conditionalFormatting sqref="B100:B107">
    <cfRule type="expression" dxfId="269" priority="20">
      <formula>$A100&lt;&gt;"--"</formula>
    </cfRule>
  </conditionalFormatting>
  <conditionalFormatting sqref="B108:B115">
    <cfRule type="expression" dxfId="268" priority="19">
      <formula>$A108&lt;&gt;"--"</formula>
    </cfRule>
  </conditionalFormatting>
  <conditionalFormatting sqref="B116:B123">
    <cfRule type="expression" dxfId="267" priority="18">
      <formula>$A116&lt;&gt;"--"</formula>
    </cfRule>
  </conditionalFormatting>
  <conditionalFormatting sqref="B124:B131">
    <cfRule type="expression" dxfId="266" priority="17">
      <formula>$A124&lt;&gt;"--"</formula>
    </cfRule>
  </conditionalFormatting>
  <conditionalFormatting sqref="B132:B139">
    <cfRule type="expression" dxfId="265" priority="16">
      <formula>$A132&lt;&gt;"--"</formula>
    </cfRule>
  </conditionalFormatting>
  <conditionalFormatting sqref="B140:B147">
    <cfRule type="expression" dxfId="264" priority="15">
      <formula>$A140&lt;&gt;"--"</formula>
    </cfRule>
  </conditionalFormatting>
  <conditionalFormatting sqref="B148:B155">
    <cfRule type="expression" dxfId="263" priority="14">
      <formula>$A148&lt;&gt;"--"</formula>
    </cfRule>
  </conditionalFormatting>
  <conditionalFormatting sqref="B156:B163">
    <cfRule type="expression" dxfId="262" priority="13">
      <formula>$A156&lt;&gt;"--"</formula>
    </cfRule>
  </conditionalFormatting>
  <conditionalFormatting sqref="B164:B171">
    <cfRule type="expression" dxfId="261" priority="12">
      <formula>$A164&lt;&gt;"--"</formula>
    </cfRule>
  </conditionalFormatting>
  <conditionalFormatting sqref="B172:B179">
    <cfRule type="expression" dxfId="260" priority="11">
      <formula>$A172&lt;&gt;"--"</formula>
    </cfRule>
  </conditionalFormatting>
  <conditionalFormatting sqref="B180:B187">
    <cfRule type="expression" dxfId="259" priority="10">
      <formula>$A180&lt;&gt;"--"</formula>
    </cfRule>
  </conditionalFormatting>
  <conditionalFormatting sqref="B188:B195">
    <cfRule type="expression" dxfId="258" priority="9">
      <formula>$A188&lt;&gt;"--"</formula>
    </cfRule>
  </conditionalFormatting>
  <conditionalFormatting sqref="B196:B203">
    <cfRule type="expression" dxfId="257" priority="8">
      <formula>$A196&lt;&gt;"--"</formula>
    </cfRule>
  </conditionalFormatting>
  <conditionalFormatting sqref="B204:B211">
    <cfRule type="expression" dxfId="256" priority="7">
      <formula>$A204&lt;&gt;"--"</formula>
    </cfRule>
  </conditionalFormatting>
  <conditionalFormatting sqref="B212:B219">
    <cfRule type="expression" dxfId="255" priority="6">
      <formula>$A212&lt;&gt;"--"</formula>
    </cfRule>
  </conditionalFormatting>
  <conditionalFormatting sqref="B220:B227">
    <cfRule type="expression" dxfId="254" priority="5">
      <formula>$A220&lt;&gt;"--"</formula>
    </cfRule>
  </conditionalFormatting>
  <conditionalFormatting sqref="B228:B251">
    <cfRule type="expression" dxfId="253" priority="4">
      <formula>$A228&lt;&gt;"--"</formula>
    </cfRule>
  </conditionalFormatting>
  <conditionalFormatting sqref="B236:B243">
    <cfRule type="expression" dxfId="252" priority="3">
      <formula>$A236&lt;&gt;"--"</formula>
    </cfRule>
  </conditionalFormatting>
  <conditionalFormatting sqref="B244:B251">
    <cfRule type="expression" dxfId="251" priority="2">
      <formula>$A244&lt;&gt;"--"</formula>
    </cfRule>
  </conditionalFormatting>
  <conditionalFormatting sqref="B228:B251">
    <cfRule type="cellIs" dxfId="250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27"/>
  <dimension ref="A1:V254"/>
  <sheetViews>
    <sheetView workbookViewId="0">
      <selection activeCell="I26" sqref="I26"/>
    </sheetView>
  </sheetViews>
  <sheetFormatPr defaultColWidth="15.109375" defaultRowHeight="14.4"/>
  <cols>
    <col min="1" max="1" width="6" style="46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46">
        <v>6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f>SUM(V6:V10)</f>
        <v>15</v>
      </c>
    </row>
    <row r="4" spans="1:22" ht="16.5" customHeight="1" thickTop="1">
      <c r="A4" s="46" t="str">
        <f ca="1">OFFSET('0'!$B$112,($A$1-1)*10,$B4-1)</f>
        <v>--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6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>
        <f>Vasaris!L254</f>
        <v>2</v>
      </c>
    </row>
    <row r="8" spans="1:22"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  <c r="V8" s="53">
        <f>Kovas!L254</f>
        <v>3</v>
      </c>
    </row>
    <row r="9" spans="1:22" ht="15" thickBot="1"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  <c r="V9" s="53">
        <f>Balandis!L254</f>
        <v>4</v>
      </c>
    </row>
    <row r="10" spans="1:22" ht="15" thickBot="1"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6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  <c r="V10" s="53">
        <f>Gegužė!L254</f>
        <v>5</v>
      </c>
    </row>
    <row r="11" spans="1:22" ht="15" thickBot="1"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6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21</v>
      </c>
      <c r="U11" s="85">
        <v>6</v>
      </c>
    </row>
    <row r="12" spans="1:22" ht="15" thickTop="1">
      <c r="A12" s="46" t="str">
        <f ca="1">OFFSET('0'!$B$112,($A$1-1)*10,$B12-1)</f>
        <v>--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</row>
    <row r="13" spans="1:22" ht="17.25" customHeight="1"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</row>
    <row r="14" spans="1:22"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</row>
    <row r="15" spans="1:22"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</row>
    <row r="16" spans="1:22"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</row>
    <row r="17" spans="1:22" ht="15" thickBot="1"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21</v>
      </c>
    </row>
    <row r="20" spans="1:22" ht="15.6" thickTop="1" thickBot="1">
      <c r="A20" s="46" t="str">
        <f ca="1">OFFSET('0'!$B$112,($A$1-1)*10,$B20-1)</f>
        <v>--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21</v>
      </c>
    </row>
    <row r="28" spans="1:22" ht="15.6" thickTop="1" thickBot="1">
      <c r="A28" s="46" t="str">
        <f ca="1">OFFSET('0'!$B$112,($A$1-1)*10,$B28-1)</f>
        <v>--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21</v>
      </c>
    </row>
    <row r="36" spans="1:20" ht="15.6" thickTop="1" thickBot="1">
      <c r="A36" s="46" t="str">
        <f ca="1">OFFSET('0'!$B$112,($A$1-1)*10,$B36-1)</f>
        <v>--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21</v>
      </c>
    </row>
    <row r="44" spans="1:20" ht="15.6" thickTop="1" thickBot="1">
      <c r="A44" s="46" t="str">
        <f ca="1">OFFSET('0'!$B$112,($A$1-1)*10,$B44-1)</f>
        <v>SS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21</v>
      </c>
    </row>
    <row r="52" spans="1:20" ht="15.6" thickTop="1" thickBot="1">
      <c r="A52" s="46" t="str">
        <f ca="1">OFFSET('0'!$B$112,($A$1-1)*10,$B52-1)</f>
        <v>SK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21</v>
      </c>
    </row>
    <row r="60" spans="1:20" ht="15.6" thickTop="1" thickBot="1">
      <c r="A60" s="46" t="str">
        <f ca="1">OFFSET('0'!$B$112,($A$1-1)*10,$B60-1)</f>
        <v>--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21</v>
      </c>
    </row>
    <row r="68" spans="1:20" ht="15.6" thickTop="1" thickBot="1">
      <c r="A68" s="46" t="str">
        <f ca="1">OFFSET('0'!$B$112,($A$1-1)*10,$B68-1)</f>
        <v>--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21</v>
      </c>
    </row>
    <row r="76" spans="1:20" ht="15.6" thickTop="1" thickBot="1">
      <c r="A76" s="46" t="str">
        <f ca="1">OFFSET('0'!$B$112,($A$1-1)*10,$B76-1)</f>
        <v>--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21</v>
      </c>
    </row>
    <row r="84" spans="1:20" ht="15.6" thickTop="1" thickBot="1">
      <c r="A84" s="46" t="str">
        <f ca="1">OFFSET('0'!$B$112,($A$1-1)*10,$B84-1)</f>
        <v>--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21</v>
      </c>
    </row>
    <row r="92" spans="1:20" ht="15.6" thickTop="1" thickBot="1">
      <c r="A92" s="46" t="str">
        <f ca="1">OFFSET('0'!$B$112,($A$1-1)*10,$B92-1)</f>
        <v>--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21</v>
      </c>
    </row>
    <row r="100" spans="1:20" ht="15.6" thickTop="1" thickBot="1">
      <c r="A100" s="46" t="str">
        <f ca="1">OFFSET('0'!$B$112,($A$1-1)*10,$B100-1)</f>
        <v>SS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21</v>
      </c>
    </row>
    <row r="108" spans="1:20" ht="15.6" thickTop="1" thickBot="1">
      <c r="A108" s="46" t="str">
        <f ca="1">OFFSET('0'!$B$112,($A$1-1)*10,$B108-1)</f>
        <v>SK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21</v>
      </c>
    </row>
    <row r="116" spans="1:22" ht="15.6" thickTop="1" thickBot="1">
      <c r="A116" s="46" t="str">
        <f ca="1">OFFSET('0'!$B$112,($A$1-1)*10,$B116-1)</f>
        <v>--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21</v>
      </c>
      <c r="U123" s="96"/>
    </row>
    <row r="124" spans="1:22" ht="15.6" thickTop="1" thickBot="1">
      <c r="A124" s="46" t="str">
        <f ca="1">OFFSET('0'!$B$112,($A$1-1)*10,$B124-1)</f>
        <v>--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21</v>
      </c>
    </row>
    <row r="132" spans="1:20" ht="15.6" thickTop="1" thickBot="1">
      <c r="A132" s="46" t="str">
        <f ca="1">OFFSET('0'!$B$112,($A$1-1)*10,$B132-1)</f>
        <v>--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21</v>
      </c>
    </row>
    <row r="140" spans="1:20" ht="15.6" thickTop="1" thickBot="1">
      <c r="A140" s="46" t="str">
        <f ca="1">OFFSET('0'!$B$112,($A$1-1)*10,$B140-1)</f>
        <v>--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13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13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21</v>
      </c>
    </row>
    <row r="148" spans="1:20" ht="15.6" thickTop="1" thickBot="1">
      <c r="A148" s="46" t="str">
        <f ca="1">OFFSET('0'!$B$112,($A$1-1)*10,$B148-1)</f>
        <v>--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13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21</v>
      </c>
    </row>
    <row r="156" spans="1:20" ht="15.6" thickTop="1" thickBot="1">
      <c r="A156" s="46" t="str">
        <f ca="1">OFFSET('0'!$B$112,($A$1-1)*10,$B156-1)</f>
        <v>SS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13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21</v>
      </c>
    </row>
    <row r="164" spans="1:20" ht="15.6" thickTop="1" thickBot="1">
      <c r="A164" s="46" t="str">
        <f ca="1">OFFSET('0'!$B$112,($A$1-1)*10,$B164-1)</f>
        <v>SK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13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21</v>
      </c>
    </row>
    <row r="172" spans="1:20" ht="15.6" thickTop="1" thickBot="1">
      <c r="A172" s="46" t="str">
        <f ca="1">OFFSET('0'!$B$112,($A$1-1)*10,$B172-1)</f>
        <v>--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13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21</v>
      </c>
    </row>
    <row r="180" spans="1:20" ht="15.6" thickTop="1" thickBot="1">
      <c r="A180" s="46" t="str">
        <f ca="1">OFFSET('0'!$B$112,($A$1-1)*10,$B180-1)</f>
        <v>--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13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21</v>
      </c>
    </row>
    <row r="188" spans="1:20" ht="15.6" thickTop="1" thickBot="1">
      <c r="A188" s="46" t="str">
        <f ca="1">OFFSET('0'!$B$112,($A$1-1)*10,$B188-1)</f>
        <v>--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13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21</v>
      </c>
    </row>
    <row r="196" spans="1:20" ht="15.6" thickTop="1" thickBot="1">
      <c r="A196" s="46" t="str">
        <f ca="1">OFFSET('0'!$B$112,($A$1-1)*10,$B196-1)</f>
        <v>--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21</v>
      </c>
    </row>
    <row r="204" spans="1:20" ht="15.6" thickTop="1" thickBot="1">
      <c r="A204" s="46" t="str">
        <f ca="1">OFFSET('0'!$B$112,($A$1-1)*10,$B204-1)</f>
        <v>SV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13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21</v>
      </c>
    </row>
    <row r="212" spans="1:20" ht="15.6" thickTop="1" thickBot="1">
      <c r="A212" s="46" t="str">
        <f ca="1">OFFSET('0'!$B$112,($A$1-1)*10,$B212-1)</f>
        <v>SS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13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13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21</v>
      </c>
    </row>
    <row r="220" spans="1:20" ht="15.6" thickTop="1" thickBot="1">
      <c r="A220" s="46" t="str">
        <f ca="1">OFFSET('0'!$B$112,($A$1-1)*10,$B220-1)</f>
        <v>SK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13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13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21</v>
      </c>
    </row>
    <row r="228" spans="1:20" ht="15.6" thickTop="1" thickBot="1">
      <c r="A228" s="46" t="str">
        <f ca="1">OFFSET('0'!$B$112,($A$1-1)*10,$B228-1)</f>
        <v>--</v>
      </c>
      <c r="B228" s="228">
        <f ca="1">OFFSET('0'!$B$111,($A$1-1)*10,28)</f>
        <v>29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13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13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21</v>
      </c>
    </row>
    <row r="236" spans="1:20" ht="15.6" thickTop="1" thickBot="1">
      <c r="A236" s="46" t="str">
        <f ca="1">OFFSET('0'!$B$112,($A$1-1)*10,$B236-1)</f>
        <v>--</v>
      </c>
      <c r="B236" s="228">
        <f ca="1">OFFSET('0'!$B$111,($A$1-1)*10,29)</f>
        <v>30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13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13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21</v>
      </c>
    </row>
    <row r="244" spans="1:20" ht="15.6" thickTop="1" thickBot="1">
      <c r="A244" s="46" t="e">
        <f ca="1">OFFSET('0'!$B$112,($A$1-1)*10,$B244-1)</f>
        <v>#REF!</v>
      </c>
      <c r="B244" s="228">
        <f ca="1">OFFSET('0'!$B$111,($A$1-1)*10,30)</f>
        <v>-29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13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13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13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21</v>
      </c>
    </row>
    <row r="252" spans="1:20" ht="15" thickTop="1"/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6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6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249" priority="31">
      <formula>$A4&lt;&gt;"--"</formula>
    </cfRule>
  </conditionalFormatting>
  <conditionalFormatting sqref="B20:B27">
    <cfRule type="expression" dxfId="248" priority="30">
      <formula>$A20&lt;&gt;"--"</formula>
    </cfRule>
  </conditionalFormatting>
  <conditionalFormatting sqref="B28:B35">
    <cfRule type="expression" dxfId="247" priority="29">
      <formula>$A28&lt;&gt;"--"</formula>
    </cfRule>
  </conditionalFormatting>
  <conditionalFormatting sqref="B36:B43">
    <cfRule type="expression" dxfId="246" priority="28">
      <formula>$A36&lt;&gt;"--"</formula>
    </cfRule>
  </conditionalFormatting>
  <conditionalFormatting sqref="B44:B51">
    <cfRule type="expression" dxfId="245" priority="27">
      <formula>$A44&lt;&gt;"--"</formula>
    </cfRule>
  </conditionalFormatting>
  <conditionalFormatting sqref="B52:B59">
    <cfRule type="expression" dxfId="244" priority="26">
      <formula>$A52&lt;&gt;"--"</formula>
    </cfRule>
  </conditionalFormatting>
  <conditionalFormatting sqref="B60:B67">
    <cfRule type="expression" dxfId="243" priority="25">
      <formula>$A60&lt;&gt;"--"</formula>
    </cfRule>
  </conditionalFormatting>
  <conditionalFormatting sqref="B68:B75">
    <cfRule type="expression" dxfId="242" priority="24">
      <formula>$A68&lt;&gt;"--"</formula>
    </cfRule>
  </conditionalFormatting>
  <conditionalFormatting sqref="B76:B83">
    <cfRule type="expression" dxfId="241" priority="23">
      <formula>$A76&lt;&gt;"--"</formula>
    </cfRule>
  </conditionalFormatting>
  <conditionalFormatting sqref="B84:B91">
    <cfRule type="expression" dxfId="240" priority="22">
      <formula>$A84&lt;&gt;"--"</formula>
    </cfRule>
  </conditionalFormatting>
  <conditionalFormatting sqref="B92:B99">
    <cfRule type="expression" dxfId="239" priority="21">
      <formula>$A92&lt;&gt;"--"</formula>
    </cfRule>
  </conditionalFormatting>
  <conditionalFormatting sqref="B100:B107">
    <cfRule type="expression" dxfId="238" priority="20">
      <formula>$A100&lt;&gt;"--"</formula>
    </cfRule>
  </conditionalFormatting>
  <conditionalFormatting sqref="B108:B115">
    <cfRule type="expression" dxfId="237" priority="19">
      <formula>$A108&lt;&gt;"--"</formula>
    </cfRule>
  </conditionalFormatting>
  <conditionalFormatting sqref="B116:B123">
    <cfRule type="expression" dxfId="236" priority="18">
      <formula>$A116&lt;&gt;"--"</formula>
    </cfRule>
  </conditionalFormatting>
  <conditionalFormatting sqref="B124:B131">
    <cfRule type="expression" dxfId="235" priority="17">
      <formula>$A124&lt;&gt;"--"</formula>
    </cfRule>
  </conditionalFormatting>
  <conditionalFormatting sqref="B132:B139">
    <cfRule type="expression" dxfId="234" priority="16">
      <formula>$A132&lt;&gt;"--"</formula>
    </cfRule>
  </conditionalFormatting>
  <conditionalFormatting sqref="B140:B147">
    <cfRule type="expression" dxfId="233" priority="15">
      <formula>$A140&lt;&gt;"--"</formula>
    </cfRule>
  </conditionalFormatting>
  <conditionalFormatting sqref="B148:B155">
    <cfRule type="expression" dxfId="232" priority="14">
      <formula>$A148&lt;&gt;"--"</formula>
    </cfRule>
  </conditionalFormatting>
  <conditionalFormatting sqref="B156:B163">
    <cfRule type="expression" dxfId="231" priority="13">
      <formula>$A156&lt;&gt;"--"</formula>
    </cfRule>
  </conditionalFormatting>
  <conditionalFormatting sqref="B164:B171">
    <cfRule type="expression" dxfId="230" priority="12">
      <formula>$A164&lt;&gt;"--"</formula>
    </cfRule>
  </conditionalFormatting>
  <conditionalFormatting sqref="B172:B179">
    <cfRule type="expression" dxfId="229" priority="11">
      <formula>$A172&lt;&gt;"--"</formula>
    </cfRule>
  </conditionalFormatting>
  <conditionalFormatting sqref="B180:B187">
    <cfRule type="expression" dxfId="228" priority="10">
      <formula>$A180&lt;&gt;"--"</formula>
    </cfRule>
  </conditionalFormatting>
  <conditionalFormatting sqref="B188:B195">
    <cfRule type="expression" dxfId="227" priority="9">
      <formula>$A188&lt;&gt;"--"</formula>
    </cfRule>
  </conditionalFormatting>
  <conditionalFormatting sqref="B196:B203">
    <cfRule type="expression" dxfId="226" priority="8">
      <formula>$A196&lt;&gt;"--"</formula>
    </cfRule>
  </conditionalFormatting>
  <conditionalFormatting sqref="B204:B211">
    <cfRule type="expression" dxfId="225" priority="7">
      <formula>$A204&lt;&gt;"--"</formula>
    </cfRule>
  </conditionalFormatting>
  <conditionalFormatting sqref="B212:B219">
    <cfRule type="expression" dxfId="224" priority="6">
      <formula>$A212&lt;&gt;"--"</formula>
    </cfRule>
  </conditionalFormatting>
  <conditionalFormatting sqref="B220:B227">
    <cfRule type="expression" dxfId="223" priority="5">
      <formula>$A220&lt;&gt;"--"</formula>
    </cfRule>
  </conditionalFormatting>
  <conditionalFormatting sqref="B228:B251">
    <cfRule type="expression" dxfId="222" priority="4">
      <formula>$A228&lt;&gt;"--"</formula>
    </cfRule>
  </conditionalFormatting>
  <conditionalFormatting sqref="B236:B243">
    <cfRule type="expression" dxfId="221" priority="3">
      <formula>$A236&lt;&gt;"--"</formula>
    </cfRule>
  </conditionalFormatting>
  <conditionalFormatting sqref="B244:B251">
    <cfRule type="expression" dxfId="220" priority="2">
      <formula>$A244&lt;&gt;"--"</formula>
    </cfRule>
  </conditionalFormatting>
  <conditionalFormatting sqref="B228:B251">
    <cfRule type="cellIs" dxfId="219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28"/>
  <dimension ref="A1:V254"/>
  <sheetViews>
    <sheetView workbookViewId="0">
      <selection activeCell="L5" sqref="L5"/>
    </sheetView>
  </sheetViews>
  <sheetFormatPr defaultColWidth="15.109375" defaultRowHeight="14.4"/>
  <cols>
    <col min="1" max="1" width="6" style="46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46">
        <v>7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f>SUM(V6:V11)</f>
        <v>21</v>
      </c>
    </row>
    <row r="4" spans="1:22" ht="16.5" customHeight="1" thickTop="1">
      <c r="A4" s="46" t="str">
        <f ca="1">OFFSET('0'!$B$112,($A$1-1)*10,$B4-1)</f>
        <v>--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7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>
        <f>Vasaris!L254</f>
        <v>2</v>
      </c>
    </row>
    <row r="8" spans="1:22"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  <c r="V8" s="53">
        <f>Kovas!L254</f>
        <v>3</v>
      </c>
    </row>
    <row r="9" spans="1:22" ht="15" thickBot="1"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  <c r="V9" s="53">
        <f>Balandis!L254</f>
        <v>4</v>
      </c>
    </row>
    <row r="10" spans="1:22" ht="15" thickBot="1"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7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  <c r="V10" s="53">
        <f>Gegužė!L254</f>
        <v>5</v>
      </c>
    </row>
    <row r="11" spans="1:22" ht="15" thickBot="1"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7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28</v>
      </c>
      <c r="U11" s="85">
        <v>6</v>
      </c>
      <c r="V11" s="53">
        <f>Birželis!L254</f>
        <v>6</v>
      </c>
    </row>
    <row r="12" spans="1:22" ht="15" thickTop="1">
      <c r="A12" s="46" t="str">
        <f ca="1">OFFSET('0'!$B$112,($A$1-1)*10,$B12-1)</f>
        <v>--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</row>
    <row r="13" spans="1:22" ht="17.25" customHeight="1"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</row>
    <row r="14" spans="1:22"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</row>
    <row r="15" spans="1:22"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</row>
    <row r="16" spans="1:22"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</row>
    <row r="17" spans="1:22" ht="15" thickBot="1"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28</v>
      </c>
    </row>
    <row r="20" spans="1:22" ht="15.6" thickTop="1" thickBot="1">
      <c r="A20" s="46" t="str">
        <f ca="1">OFFSET('0'!$B$112,($A$1-1)*10,$B20-1)</f>
        <v>--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28</v>
      </c>
    </row>
    <row r="28" spans="1:22" ht="15.6" thickTop="1" thickBot="1">
      <c r="A28" s="46" t="str">
        <f ca="1">OFFSET('0'!$B$112,($A$1-1)*10,$B28-1)</f>
        <v>SS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28</v>
      </c>
    </row>
    <row r="36" spans="1:20" ht="15.6" thickTop="1" thickBot="1">
      <c r="A36" s="46" t="str">
        <f ca="1">OFFSET('0'!$B$112,($A$1-1)*10,$B36-1)</f>
        <v>SK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28</v>
      </c>
    </row>
    <row r="44" spans="1:20" ht="15.6" thickTop="1" thickBot="1">
      <c r="A44" s="46" t="str">
        <f ca="1">OFFSET('0'!$B$112,($A$1-1)*10,$B44-1)</f>
        <v>SV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28</v>
      </c>
    </row>
    <row r="52" spans="1:20" ht="15.6" thickTop="1" thickBot="1">
      <c r="A52" s="46" t="str">
        <f ca="1">OFFSET('0'!$B$112,($A$1-1)*10,$B52-1)</f>
        <v>--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28</v>
      </c>
    </row>
    <row r="60" spans="1:20" ht="15.6" thickTop="1" thickBot="1">
      <c r="A60" s="46" t="str">
        <f ca="1">OFFSET('0'!$B$112,($A$1-1)*10,$B60-1)</f>
        <v>--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28</v>
      </c>
    </row>
    <row r="68" spans="1:20" ht="15.6" thickTop="1" thickBot="1">
      <c r="A68" s="46" t="str">
        <f ca="1">OFFSET('0'!$B$112,($A$1-1)*10,$B68-1)</f>
        <v>--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28</v>
      </c>
    </row>
    <row r="76" spans="1:20" ht="15.6" thickTop="1" thickBot="1">
      <c r="A76" s="46" t="str">
        <f ca="1">OFFSET('0'!$B$112,($A$1-1)*10,$B76-1)</f>
        <v>--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28</v>
      </c>
    </row>
    <row r="84" spans="1:20" ht="15.6" thickTop="1" thickBot="1">
      <c r="A84" s="46" t="str">
        <f ca="1">OFFSET('0'!$B$112,($A$1-1)*10,$B84-1)</f>
        <v>SS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28</v>
      </c>
    </row>
    <row r="92" spans="1:20" ht="15.6" thickTop="1" thickBot="1">
      <c r="A92" s="46" t="str">
        <f ca="1">OFFSET('0'!$B$112,($A$1-1)*10,$B92-1)</f>
        <v>SK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28</v>
      </c>
    </row>
    <row r="100" spans="1:20" ht="15.6" thickTop="1" thickBot="1">
      <c r="A100" s="46" t="str">
        <f ca="1">OFFSET('0'!$B$112,($A$1-1)*10,$B100-1)</f>
        <v>--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28</v>
      </c>
    </row>
    <row r="108" spans="1:20" ht="15.6" thickTop="1" thickBot="1">
      <c r="A108" s="46" t="str">
        <f ca="1">OFFSET('0'!$B$112,($A$1-1)*10,$B108-1)</f>
        <v>--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28</v>
      </c>
    </row>
    <row r="116" spans="1:22" ht="15.6" thickTop="1" thickBot="1">
      <c r="A116" s="46" t="str">
        <f ca="1">OFFSET('0'!$B$112,($A$1-1)*10,$B116-1)</f>
        <v>--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28</v>
      </c>
      <c r="U123" s="96"/>
    </row>
    <row r="124" spans="1:22" ht="15.6" thickTop="1" thickBot="1">
      <c r="A124" s="46" t="str">
        <f ca="1">OFFSET('0'!$B$112,($A$1-1)*10,$B124-1)</f>
        <v>--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28</v>
      </c>
    </row>
    <row r="132" spans="1:20" ht="15.6" thickTop="1" thickBot="1">
      <c r="A132" s="46" t="str">
        <f ca="1">OFFSET('0'!$B$112,($A$1-1)*10,$B132-1)</f>
        <v>--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28</v>
      </c>
    </row>
    <row r="140" spans="1:20" ht="15.6" thickTop="1" thickBot="1">
      <c r="A140" s="46" t="str">
        <f ca="1">OFFSET('0'!$B$112,($A$1-1)*10,$B140-1)</f>
        <v>SS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13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13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28</v>
      </c>
    </row>
    <row r="148" spans="1:20" ht="15.6" thickTop="1" thickBot="1">
      <c r="A148" s="46" t="str">
        <f ca="1">OFFSET('0'!$B$112,($A$1-1)*10,$B148-1)</f>
        <v>SK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13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28</v>
      </c>
    </row>
    <row r="156" spans="1:20" ht="15.6" thickTop="1" thickBot="1">
      <c r="A156" s="46" t="str">
        <f ca="1">OFFSET('0'!$B$112,($A$1-1)*10,$B156-1)</f>
        <v>--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13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28</v>
      </c>
    </row>
    <row r="164" spans="1:20" ht="15.6" thickTop="1" thickBot="1">
      <c r="A164" s="46" t="str">
        <f ca="1">OFFSET('0'!$B$112,($A$1-1)*10,$B164-1)</f>
        <v>--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13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28</v>
      </c>
    </row>
    <row r="172" spans="1:20" ht="15.6" thickTop="1" thickBot="1">
      <c r="A172" s="46" t="str">
        <f ca="1">OFFSET('0'!$B$112,($A$1-1)*10,$B172-1)</f>
        <v>--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13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28</v>
      </c>
    </row>
    <row r="180" spans="1:20" ht="15.6" thickTop="1" thickBot="1">
      <c r="A180" s="46" t="str">
        <f ca="1">OFFSET('0'!$B$112,($A$1-1)*10,$B180-1)</f>
        <v>--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13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28</v>
      </c>
    </row>
    <row r="188" spans="1:20" ht="15.6" thickTop="1" thickBot="1">
      <c r="A188" s="46" t="str">
        <f ca="1">OFFSET('0'!$B$112,($A$1-1)*10,$B188-1)</f>
        <v>--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13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28</v>
      </c>
    </row>
    <row r="196" spans="1:20" ht="15.6" thickTop="1" thickBot="1">
      <c r="A196" s="46" t="str">
        <f ca="1">OFFSET('0'!$B$112,($A$1-1)*10,$B196-1)</f>
        <v>SS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28</v>
      </c>
    </row>
    <row r="204" spans="1:20" ht="15.6" thickTop="1" thickBot="1">
      <c r="A204" s="46" t="str">
        <f ca="1">OFFSET('0'!$B$112,($A$1-1)*10,$B204-1)</f>
        <v>SK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13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28</v>
      </c>
    </row>
    <row r="212" spans="1:20" ht="15.6" thickTop="1" thickBot="1">
      <c r="A212" s="46" t="str">
        <f ca="1">OFFSET('0'!$B$112,($A$1-1)*10,$B212-1)</f>
        <v>--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13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13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28</v>
      </c>
    </row>
    <row r="220" spans="1:20" ht="15.6" thickTop="1" thickBot="1">
      <c r="A220" s="46" t="str">
        <f ca="1">OFFSET('0'!$B$112,($A$1-1)*10,$B220-1)</f>
        <v>--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13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13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28</v>
      </c>
    </row>
    <row r="228" spans="1:20" ht="15.6" thickTop="1" thickBot="1">
      <c r="A228" s="46" t="str">
        <f ca="1">OFFSET('0'!$B$112,($A$1-1)*10,$B228-1)</f>
        <v>--</v>
      </c>
      <c r="B228" s="228">
        <f ca="1">OFFSET('0'!$B$111,($A$1-1)*10,28)</f>
        <v>29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13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13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28</v>
      </c>
    </row>
    <row r="236" spans="1:20" ht="15.6" thickTop="1" thickBot="1">
      <c r="A236" s="46" t="str">
        <f ca="1">OFFSET('0'!$B$112,($A$1-1)*10,$B236-1)</f>
        <v>--</v>
      </c>
      <c r="B236" s="228">
        <f ca="1">OFFSET('0'!$B$111,($A$1-1)*10,29)</f>
        <v>30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13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13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28</v>
      </c>
    </row>
    <row r="244" spans="1:20" ht="15.6" thickTop="1" thickBot="1">
      <c r="A244" s="46" t="str">
        <f ca="1">OFFSET('0'!$B$112,($A$1-1)*10,$B244-1)</f>
        <v>--</v>
      </c>
      <c r="B244" s="228">
        <f ca="1">OFFSET('0'!$B$111,($A$1-1)*10,30)</f>
        <v>31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13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13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13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28</v>
      </c>
    </row>
    <row r="252" spans="1:20" ht="15" thickTop="1"/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7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7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218" priority="31">
      <formula>$A4&lt;&gt;"--"</formula>
    </cfRule>
  </conditionalFormatting>
  <conditionalFormatting sqref="B20:B27">
    <cfRule type="expression" dxfId="217" priority="30">
      <formula>$A20&lt;&gt;"--"</formula>
    </cfRule>
  </conditionalFormatting>
  <conditionalFormatting sqref="B28:B35">
    <cfRule type="expression" dxfId="216" priority="29">
      <formula>$A28&lt;&gt;"--"</formula>
    </cfRule>
  </conditionalFormatting>
  <conditionalFormatting sqref="B36:B43">
    <cfRule type="expression" dxfId="215" priority="28">
      <formula>$A36&lt;&gt;"--"</formula>
    </cfRule>
  </conditionalFormatting>
  <conditionalFormatting sqref="B44:B51">
    <cfRule type="expression" dxfId="214" priority="27">
      <formula>$A44&lt;&gt;"--"</formula>
    </cfRule>
  </conditionalFormatting>
  <conditionalFormatting sqref="B52:B59">
    <cfRule type="expression" dxfId="213" priority="26">
      <formula>$A52&lt;&gt;"--"</formula>
    </cfRule>
  </conditionalFormatting>
  <conditionalFormatting sqref="B60:B67">
    <cfRule type="expression" dxfId="212" priority="25">
      <formula>$A60&lt;&gt;"--"</formula>
    </cfRule>
  </conditionalFormatting>
  <conditionalFormatting sqref="B68:B75">
    <cfRule type="expression" dxfId="211" priority="24">
      <formula>$A68&lt;&gt;"--"</formula>
    </cfRule>
  </conditionalFormatting>
  <conditionalFormatting sqref="B76:B83">
    <cfRule type="expression" dxfId="210" priority="23">
      <formula>$A76&lt;&gt;"--"</formula>
    </cfRule>
  </conditionalFormatting>
  <conditionalFormatting sqref="B84:B91">
    <cfRule type="expression" dxfId="209" priority="22">
      <formula>$A84&lt;&gt;"--"</formula>
    </cfRule>
  </conditionalFormatting>
  <conditionalFormatting sqref="B92:B99">
    <cfRule type="expression" dxfId="208" priority="21">
      <formula>$A92&lt;&gt;"--"</formula>
    </cfRule>
  </conditionalFormatting>
  <conditionalFormatting sqref="B100:B107">
    <cfRule type="expression" dxfId="207" priority="20">
      <formula>$A100&lt;&gt;"--"</formula>
    </cfRule>
  </conditionalFormatting>
  <conditionalFormatting sqref="B108:B115">
    <cfRule type="expression" dxfId="206" priority="19">
      <formula>$A108&lt;&gt;"--"</formula>
    </cfRule>
  </conditionalFormatting>
  <conditionalFormatting sqref="B116:B123">
    <cfRule type="expression" dxfId="205" priority="18">
      <formula>$A116&lt;&gt;"--"</formula>
    </cfRule>
  </conditionalFormatting>
  <conditionalFormatting sqref="B124:B131">
    <cfRule type="expression" dxfId="204" priority="17">
      <formula>$A124&lt;&gt;"--"</formula>
    </cfRule>
  </conditionalFormatting>
  <conditionalFormatting sqref="B132:B139">
    <cfRule type="expression" dxfId="203" priority="16">
      <formula>$A132&lt;&gt;"--"</formula>
    </cfRule>
  </conditionalFormatting>
  <conditionalFormatting sqref="B140:B147">
    <cfRule type="expression" dxfId="202" priority="15">
      <formula>$A140&lt;&gt;"--"</formula>
    </cfRule>
  </conditionalFormatting>
  <conditionalFormatting sqref="B148:B155">
    <cfRule type="expression" dxfId="201" priority="14">
      <formula>$A148&lt;&gt;"--"</formula>
    </cfRule>
  </conditionalFormatting>
  <conditionalFormatting sqref="B156:B163">
    <cfRule type="expression" dxfId="200" priority="13">
      <formula>$A156&lt;&gt;"--"</formula>
    </cfRule>
  </conditionalFormatting>
  <conditionalFormatting sqref="B164:B171">
    <cfRule type="expression" dxfId="199" priority="12">
      <formula>$A164&lt;&gt;"--"</formula>
    </cfRule>
  </conditionalFormatting>
  <conditionalFormatting sqref="B172:B179">
    <cfRule type="expression" dxfId="198" priority="11">
      <formula>$A172&lt;&gt;"--"</formula>
    </cfRule>
  </conditionalFormatting>
  <conditionalFormatting sqref="B180:B187">
    <cfRule type="expression" dxfId="197" priority="10">
      <formula>$A180&lt;&gt;"--"</formula>
    </cfRule>
  </conditionalFormatting>
  <conditionalFormatting sqref="B188:B195">
    <cfRule type="expression" dxfId="196" priority="9">
      <formula>$A188&lt;&gt;"--"</formula>
    </cfRule>
  </conditionalFormatting>
  <conditionalFormatting sqref="B196:B203">
    <cfRule type="expression" dxfId="195" priority="8">
      <formula>$A196&lt;&gt;"--"</formula>
    </cfRule>
  </conditionalFormatting>
  <conditionalFormatting sqref="B204:B211">
    <cfRule type="expression" dxfId="194" priority="7">
      <formula>$A204&lt;&gt;"--"</formula>
    </cfRule>
  </conditionalFormatting>
  <conditionalFormatting sqref="B212:B219">
    <cfRule type="expression" dxfId="193" priority="6">
      <formula>$A212&lt;&gt;"--"</formula>
    </cfRule>
  </conditionalFormatting>
  <conditionalFormatting sqref="B220:B227">
    <cfRule type="expression" dxfId="192" priority="5">
      <formula>$A220&lt;&gt;"--"</formula>
    </cfRule>
  </conditionalFormatting>
  <conditionalFormatting sqref="B228:B251">
    <cfRule type="expression" dxfId="191" priority="4">
      <formula>$A228&lt;&gt;"--"</formula>
    </cfRule>
  </conditionalFormatting>
  <conditionalFormatting sqref="B236:B243">
    <cfRule type="expression" dxfId="190" priority="3">
      <formula>$A236&lt;&gt;"--"</formula>
    </cfRule>
  </conditionalFormatting>
  <conditionalFormatting sqref="B244:B251">
    <cfRule type="expression" dxfId="189" priority="2">
      <formula>$A244&lt;&gt;"--"</formula>
    </cfRule>
  </conditionalFormatting>
  <conditionalFormatting sqref="B228:B251">
    <cfRule type="cellIs" dxfId="188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29"/>
  <dimension ref="A1:V254"/>
  <sheetViews>
    <sheetView workbookViewId="0">
      <selection activeCell="L5" sqref="L5"/>
    </sheetView>
  </sheetViews>
  <sheetFormatPr defaultColWidth="15.109375" defaultRowHeight="14.4"/>
  <cols>
    <col min="1" max="1" width="6" style="46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46">
        <v>8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f>SUM(V6:V12)</f>
        <v>28</v>
      </c>
    </row>
    <row r="4" spans="1:22" ht="16.5" customHeight="1" thickTop="1">
      <c r="A4" s="46" t="str">
        <f ca="1">OFFSET('0'!$B$112,($A$1-1)*10,$B4-1)</f>
        <v>SS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8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>
        <f>Vasaris!L254</f>
        <v>2</v>
      </c>
    </row>
    <row r="8" spans="1:22"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  <c r="V8" s="53">
        <f>Kovas!L254</f>
        <v>3</v>
      </c>
    </row>
    <row r="9" spans="1:22" ht="15" thickBot="1"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  <c r="V9" s="53">
        <f>Balandis!L254</f>
        <v>4</v>
      </c>
    </row>
    <row r="10" spans="1:22" ht="15" thickBot="1"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8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  <c r="V10" s="53">
        <f>Gegužė!L254</f>
        <v>5</v>
      </c>
    </row>
    <row r="11" spans="1:22" ht="15" thickBot="1"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8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36</v>
      </c>
      <c r="U11" s="85">
        <v>6</v>
      </c>
      <c r="V11" s="53">
        <f>Birželis!L254</f>
        <v>6</v>
      </c>
    </row>
    <row r="12" spans="1:22" ht="15" thickTop="1">
      <c r="A12" s="46" t="str">
        <f ca="1">OFFSET('0'!$B$112,($A$1-1)*10,$B12-1)</f>
        <v>SK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  <c r="V12" s="53">
        <f>Liepa!L254</f>
        <v>7</v>
      </c>
    </row>
    <row r="13" spans="1:22" ht="17.25" customHeight="1"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</row>
    <row r="14" spans="1:22"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</row>
    <row r="15" spans="1:22"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</row>
    <row r="16" spans="1:22"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</row>
    <row r="17" spans="1:22" ht="15" thickBot="1"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36</v>
      </c>
    </row>
    <row r="20" spans="1:22" ht="15.6" thickTop="1" thickBot="1">
      <c r="A20" s="46" t="str">
        <f ca="1">OFFSET('0'!$B$112,($A$1-1)*10,$B20-1)</f>
        <v>--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36</v>
      </c>
    </row>
    <row r="28" spans="1:22" ht="15.6" thickTop="1" thickBot="1">
      <c r="A28" s="46" t="str">
        <f ca="1">OFFSET('0'!$B$112,($A$1-1)*10,$B28-1)</f>
        <v>--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36</v>
      </c>
    </row>
    <row r="36" spans="1:20" ht="15.6" thickTop="1" thickBot="1">
      <c r="A36" s="46" t="str">
        <f ca="1">OFFSET('0'!$B$112,($A$1-1)*10,$B36-1)</f>
        <v>--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36</v>
      </c>
    </row>
    <row r="44" spans="1:20" ht="15.6" thickTop="1" thickBot="1">
      <c r="A44" s="46" t="str">
        <f ca="1">OFFSET('0'!$B$112,($A$1-1)*10,$B44-1)</f>
        <v>--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36</v>
      </c>
    </row>
    <row r="52" spans="1:20" ht="15.6" thickTop="1" thickBot="1">
      <c r="A52" s="46" t="str">
        <f ca="1">OFFSET('0'!$B$112,($A$1-1)*10,$B52-1)</f>
        <v>--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36</v>
      </c>
    </row>
    <row r="60" spans="1:20" ht="15.6" thickTop="1" thickBot="1">
      <c r="A60" s="46" t="str">
        <f ca="1">OFFSET('0'!$B$112,($A$1-1)*10,$B60-1)</f>
        <v>SS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36</v>
      </c>
    </row>
    <row r="68" spans="1:20" ht="15.6" thickTop="1" thickBot="1">
      <c r="A68" s="46" t="str">
        <f ca="1">OFFSET('0'!$B$112,($A$1-1)*10,$B68-1)</f>
        <v>SK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36</v>
      </c>
    </row>
    <row r="76" spans="1:20" ht="15.6" thickTop="1" thickBot="1">
      <c r="A76" s="46" t="str">
        <f ca="1">OFFSET('0'!$B$112,($A$1-1)*10,$B76-1)</f>
        <v>--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36</v>
      </c>
    </row>
    <row r="84" spans="1:20" ht="15.6" thickTop="1" thickBot="1">
      <c r="A84" s="46" t="str">
        <f ca="1">OFFSET('0'!$B$112,($A$1-1)*10,$B84-1)</f>
        <v>--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36</v>
      </c>
    </row>
    <row r="92" spans="1:20" ht="15.6" thickTop="1" thickBot="1">
      <c r="A92" s="46" t="str">
        <f ca="1">OFFSET('0'!$B$112,($A$1-1)*10,$B92-1)</f>
        <v>--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36</v>
      </c>
    </row>
    <row r="100" spans="1:20" ht="15.6" thickTop="1" thickBot="1">
      <c r="A100" s="46" t="str">
        <f ca="1">OFFSET('0'!$B$112,($A$1-1)*10,$B100-1)</f>
        <v>--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36</v>
      </c>
    </row>
    <row r="108" spans="1:20" ht="15.6" thickTop="1" thickBot="1">
      <c r="A108" s="46" t="str">
        <f ca="1">OFFSET('0'!$B$112,($A$1-1)*10,$B108-1)</f>
        <v>--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36</v>
      </c>
    </row>
    <row r="116" spans="1:22" ht="15.6" thickTop="1" thickBot="1">
      <c r="A116" s="46" t="str">
        <f ca="1">OFFSET('0'!$B$112,($A$1-1)*10,$B116-1)</f>
        <v>SV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36</v>
      </c>
      <c r="U123" s="96"/>
    </row>
    <row r="124" spans="1:22" ht="15.6" thickTop="1" thickBot="1">
      <c r="A124" s="46" t="str">
        <f ca="1">OFFSET('0'!$B$112,($A$1-1)*10,$B124-1)</f>
        <v>SK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36</v>
      </c>
    </row>
    <row r="132" spans="1:20" ht="15.6" thickTop="1" thickBot="1">
      <c r="A132" s="46" t="str">
        <f ca="1">OFFSET('0'!$B$112,($A$1-1)*10,$B132-1)</f>
        <v>--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36</v>
      </c>
    </row>
    <row r="140" spans="1:20" ht="15.6" thickTop="1" thickBot="1">
      <c r="A140" s="46" t="str">
        <f ca="1">OFFSET('0'!$B$112,($A$1-1)*10,$B140-1)</f>
        <v>--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13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13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36</v>
      </c>
    </row>
    <row r="148" spans="1:20" ht="15.6" thickTop="1" thickBot="1">
      <c r="A148" s="46" t="str">
        <f ca="1">OFFSET('0'!$B$112,($A$1-1)*10,$B148-1)</f>
        <v>--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13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36</v>
      </c>
    </row>
    <row r="156" spans="1:20" ht="15.6" thickTop="1" thickBot="1">
      <c r="A156" s="46" t="str">
        <f ca="1">OFFSET('0'!$B$112,($A$1-1)*10,$B156-1)</f>
        <v>--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13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36</v>
      </c>
    </row>
    <row r="164" spans="1:20" ht="15.6" thickTop="1" thickBot="1">
      <c r="A164" s="46" t="str">
        <f ca="1">OFFSET('0'!$B$112,($A$1-1)*10,$B164-1)</f>
        <v>--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13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36</v>
      </c>
    </row>
    <row r="172" spans="1:20" ht="15.6" thickTop="1" thickBot="1">
      <c r="A172" s="46" t="str">
        <f ca="1">OFFSET('0'!$B$112,($A$1-1)*10,$B172-1)</f>
        <v>SS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13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36</v>
      </c>
    </row>
    <row r="180" spans="1:20" ht="15.6" thickTop="1" thickBot="1">
      <c r="A180" s="46" t="str">
        <f ca="1">OFFSET('0'!$B$112,($A$1-1)*10,$B180-1)</f>
        <v>SK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13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36</v>
      </c>
    </row>
    <row r="188" spans="1:20" ht="15.6" thickTop="1" thickBot="1">
      <c r="A188" s="46" t="str">
        <f ca="1">OFFSET('0'!$B$112,($A$1-1)*10,$B188-1)</f>
        <v>--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13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36</v>
      </c>
    </row>
    <row r="196" spans="1:20" ht="15.6" thickTop="1" thickBot="1">
      <c r="A196" s="46" t="str">
        <f ca="1">OFFSET('0'!$B$112,($A$1-1)*10,$B196-1)</f>
        <v>--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36</v>
      </c>
    </row>
    <row r="204" spans="1:20" ht="15.6" thickTop="1" thickBot="1">
      <c r="A204" s="46" t="str">
        <f ca="1">OFFSET('0'!$B$112,($A$1-1)*10,$B204-1)</f>
        <v>--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13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36</v>
      </c>
    </row>
    <row r="212" spans="1:20" ht="15.6" thickTop="1" thickBot="1">
      <c r="A212" s="46" t="str">
        <f ca="1">OFFSET('0'!$B$112,($A$1-1)*10,$B212-1)</f>
        <v>--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13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13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36</v>
      </c>
    </row>
    <row r="220" spans="1:20" ht="15.6" thickTop="1" thickBot="1">
      <c r="A220" s="46" t="str">
        <f ca="1">OFFSET('0'!$B$112,($A$1-1)*10,$B220-1)</f>
        <v>--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13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13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36</v>
      </c>
    </row>
    <row r="228" spans="1:20" ht="15.6" thickTop="1" thickBot="1">
      <c r="A228" s="46" t="str">
        <f ca="1">OFFSET('0'!$B$112,($A$1-1)*10,$B228-1)</f>
        <v>SS</v>
      </c>
      <c r="B228" s="228">
        <f ca="1">OFFSET('0'!$B$111,($A$1-1)*10,28)</f>
        <v>29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13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13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36</v>
      </c>
    </row>
    <row r="236" spans="1:20" ht="15.6" thickTop="1" thickBot="1">
      <c r="A236" s="46" t="str">
        <f ca="1">OFFSET('0'!$B$112,($A$1-1)*10,$B236-1)</f>
        <v>SK</v>
      </c>
      <c r="B236" s="228">
        <f ca="1">OFFSET('0'!$B$111,($A$1-1)*10,29)</f>
        <v>30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13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13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36</v>
      </c>
    </row>
    <row r="244" spans="1:20" ht="15.6" thickTop="1" thickBot="1">
      <c r="A244" s="46" t="str">
        <f ca="1">OFFSET('0'!$B$112,($A$1-1)*10,$B244-1)</f>
        <v>--</v>
      </c>
      <c r="B244" s="228">
        <f ca="1">OFFSET('0'!$B$111,($A$1-1)*10,30)</f>
        <v>31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13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13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13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36</v>
      </c>
    </row>
    <row r="252" spans="1:20" ht="15" thickTop="1"/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8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8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187" priority="31">
      <formula>$A4&lt;&gt;"--"</formula>
    </cfRule>
  </conditionalFormatting>
  <conditionalFormatting sqref="B20:B27">
    <cfRule type="expression" dxfId="186" priority="30">
      <formula>$A20&lt;&gt;"--"</formula>
    </cfRule>
  </conditionalFormatting>
  <conditionalFormatting sqref="B28:B35">
    <cfRule type="expression" dxfId="185" priority="29">
      <formula>$A28&lt;&gt;"--"</formula>
    </cfRule>
  </conditionalFormatting>
  <conditionalFormatting sqref="B36:B43">
    <cfRule type="expression" dxfId="184" priority="28">
      <formula>$A36&lt;&gt;"--"</formula>
    </cfRule>
  </conditionalFormatting>
  <conditionalFormatting sqref="B44:B51">
    <cfRule type="expression" dxfId="183" priority="27">
      <formula>$A44&lt;&gt;"--"</formula>
    </cfRule>
  </conditionalFormatting>
  <conditionalFormatting sqref="B52:B59">
    <cfRule type="expression" dxfId="182" priority="26">
      <formula>$A52&lt;&gt;"--"</formula>
    </cfRule>
  </conditionalFormatting>
  <conditionalFormatting sqref="B60:B67">
    <cfRule type="expression" dxfId="181" priority="25">
      <formula>$A60&lt;&gt;"--"</formula>
    </cfRule>
  </conditionalFormatting>
  <conditionalFormatting sqref="B68:B75">
    <cfRule type="expression" dxfId="180" priority="24">
      <formula>$A68&lt;&gt;"--"</formula>
    </cfRule>
  </conditionalFormatting>
  <conditionalFormatting sqref="B76:B83">
    <cfRule type="expression" dxfId="179" priority="23">
      <formula>$A76&lt;&gt;"--"</formula>
    </cfRule>
  </conditionalFormatting>
  <conditionalFormatting sqref="B84:B91">
    <cfRule type="expression" dxfId="178" priority="22">
      <formula>$A84&lt;&gt;"--"</formula>
    </cfRule>
  </conditionalFormatting>
  <conditionalFormatting sqref="B92:B99">
    <cfRule type="expression" dxfId="177" priority="21">
      <formula>$A92&lt;&gt;"--"</formula>
    </cfRule>
  </conditionalFormatting>
  <conditionalFormatting sqref="B100:B107">
    <cfRule type="expression" dxfId="176" priority="20">
      <formula>$A100&lt;&gt;"--"</formula>
    </cfRule>
  </conditionalFormatting>
  <conditionalFormatting sqref="B108:B115">
    <cfRule type="expression" dxfId="175" priority="19">
      <formula>$A108&lt;&gt;"--"</formula>
    </cfRule>
  </conditionalFormatting>
  <conditionalFormatting sqref="B116:B123">
    <cfRule type="expression" dxfId="174" priority="18">
      <formula>$A116&lt;&gt;"--"</formula>
    </cfRule>
  </conditionalFormatting>
  <conditionalFormatting sqref="B124:B131">
    <cfRule type="expression" dxfId="173" priority="17">
      <formula>$A124&lt;&gt;"--"</formula>
    </cfRule>
  </conditionalFormatting>
  <conditionalFormatting sqref="B132:B139">
    <cfRule type="expression" dxfId="172" priority="16">
      <formula>$A132&lt;&gt;"--"</formula>
    </cfRule>
  </conditionalFormatting>
  <conditionalFormatting sqref="B140:B147">
    <cfRule type="expression" dxfId="171" priority="15">
      <formula>$A140&lt;&gt;"--"</formula>
    </cfRule>
  </conditionalFormatting>
  <conditionalFormatting sqref="B148:B155">
    <cfRule type="expression" dxfId="170" priority="14">
      <formula>$A148&lt;&gt;"--"</formula>
    </cfRule>
  </conditionalFormatting>
  <conditionalFormatting sqref="B156:B163">
    <cfRule type="expression" dxfId="169" priority="13">
      <formula>$A156&lt;&gt;"--"</formula>
    </cfRule>
  </conditionalFormatting>
  <conditionalFormatting sqref="B164:B171">
    <cfRule type="expression" dxfId="168" priority="12">
      <formula>$A164&lt;&gt;"--"</formula>
    </cfRule>
  </conditionalFormatting>
  <conditionalFormatting sqref="B172:B179">
    <cfRule type="expression" dxfId="167" priority="11">
      <formula>$A172&lt;&gt;"--"</formula>
    </cfRule>
  </conditionalFormatting>
  <conditionalFormatting sqref="B180:B187">
    <cfRule type="expression" dxfId="166" priority="10">
      <formula>$A180&lt;&gt;"--"</formula>
    </cfRule>
  </conditionalFormatting>
  <conditionalFormatting sqref="B188:B195">
    <cfRule type="expression" dxfId="165" priority="9">
      <formula>$A188&lt;&gt;"--"</formula>
    </cfRule>
  </conditionalFormatting>
  <conditionalFormatting sqref="B196:B203">
    <cfRule type="expression" dxfId="164" priority="8">
      <formula>$A196&lt;&gt;"--"</formula>
    </cfRule>
  </conditionalFormatting>
  <conditionalFormatting sqref="B204:B211">
    <cfRule type="expression" dxfId="163" priority="7">
      <formula>$A204&lt;&gt;"--"</formula>
    </cfRule>
  </conditionalFormatting>
  <conditionalFormatting sqref="B212:B219">
    <cfRule type="expression" dxfId="162" priority="6">
      <formula>$A212&lt;&gt;"--"</formula>
    </cfRule>
  </conditionalFormatting>
  <conditionalFormatting sqref="B220:B227">
    <cfRule type="expression" dxfId="161" priority="5">
      <formula>$A220&lt;&gt;"--"</formula>
    </cfRule>
  </conditionalFormatting>
  <conditionalFormatting sqref="B228:B251">
    <cfRule type="expression" dxfId="160" priority="4">
      <formula>$A228&lt;&gt;"--"</formula>
    </cfRule>
  </conditionalFormatting>
  <conditionalFormatting sqref="B236:B243">
    <cfRule type="expression" dxfId="159" priority="3">
      <formula>$A236&lt;&gt;"--"</formula>
    </cfRule>
  </conditionalFormatting>
  <conditionalFormatting sqref="B244:B251">
    <cfRule type="expression" dxfId="158" priority="2">
      <formula>$A244&lt;&gt;"--"</formula>
    </cfRule>
  </conditionalFormatting>
  <conditionalFormatting sqref="B228:B251">
    <cfRule type="cellIs" dxfId="157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30"/>
  <dimension ref="A1:V254"/>
  <sheetViews>
    <sheetView workbookViewId="0">
      <selection activeCell="J15" sqref="J15"/>
    </sheetView>
  </sheetViews>
  <sheetFormatPr defaultColWidth="15.109375" defaultRowHeight="14.4"/>
  <cols>
    <col min="1" max="1" width="6" style="46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46">
        <v>9</v>
      </c>
    </row>
    <row r="2" spans="1:22" ht="15" customHeight="1" thickBot="1">
      <c r="A2" s="46">
        <v>9</v>
      </c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f>SUM(V6:V13)</f>
        <v>36</v>
      </c>
    </row>
    <row r="4" spans="1:22" ht="16.5" customHeight="1" thickTop="1">
      <c r="A4" s="46" t="str">
        <f ca="1">OFFSET('0'!$B$112,($A$1-1)*10,$B4-1)</f>
        <v>--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9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>
        <f>Vasaris!L254</f>
        <v>2</v>
      </c>
    </row>
    <row r="8" spans="1:22"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  <c r="V8" s="53">
        <f>Kovas!L254</f>
        <v>3</v>
      </c>
    </row>
    <row r="9" spans="1:22" ht="15" thickBot="1"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  <c r="V9" s="53">
        <f>Balandis!L254</f>
        <v>4</v>
      </c>
    </row>
    <row r="10" spans="1:22" ht="15" thickBot="1"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9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  <c r="V10" s="53">
        <f>Gegužė!L254</f>
        <v>5</v>
      </c>
    </row>
    <row r="11" spans="1:22" ht="15" thickBot="1"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9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45</v>
      </c>
      <c r="U11" s="85">
        <v>6</v>
      </c>
      <c r="V11" s="53">
        <f>Birželis!L254</f>
        <v>6</v>
      </c>
    </row>
    <row r="12" spans="1:22" ht="15" thickTop="1">
      <c r="A12" s="46" t="str">
        <f ca="1">OFFSET('0'!$B$112,($A$1-1)*10,$B12-1)</f>
        <v>--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  <c r="V12" s="53">
        <f>Liepa!L254</f>
        <v>7</v>
      </c>
    </row>
    <row r="13" spans="1:22" ht="17.25" customHeight="1"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  <c r="V13" s="53">
        <f>Rugpjūtis!L254</f>
        <v>8</v>
      </c>
    </row>
    <row r="14" spans="1:22"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  <c r="V14" s="53"/>
    </row>
    <row r="15" spans="1:22"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</row>
    <row r="16" spans="1:22"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</row>
    <row r="17" spans="1:22" ht="15" thickBot="1"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45</v>
      </c>
    </row>
    <row r="20" spans="1:22" ht="15.6" thickTop="1" thickBot="1">
      <c r="A20" s="46" t="str">
        <f ca="1">OFFSET('0'!$B$112,($A$1-1)*10,$B20-1)</f>
        <v>--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45</v>
      </c>
    </row>
    <row r="28" spans="1:22" ht="15.6" thickTop="1" thickBot="1">
      <c r="A28" s="46" t="str">
        <f ca="1">OFFSET('0'!$B$112,($A$1-1)*10,$B28-1)</f>
        <v>--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45</v>
      </c>
    </row>
    <row r="36" spans="1:20" ht="15.6" thickTop="1" thickBot="1">
      <c r="A36" s="46" t="str">
        <f ca="1">OFFSET('0'!$B$112,($A$1-1)*10,$B36-1)</f>
        <v>SS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45</v>
      </c>
    </row>
    <row r="44" spans="1:20" ht="15.6" thickTop="1" thickBot="1">
      <c r="A44" s="46" t="str">
        <f ca="1">OFFSET('0'!$B$112,($A$1-1)*10,$B44-1)</f>
        <v>SK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45</v>
      </c>
    </row>
    <row r="52" spans="1:20" ht="15.6" thickTop="1" thickBot="1">
      <c r="A52" s="46" t="str">
        <f ca="1">OFFSET('0'!$B$112,($A$1-1)*10,$B52-1)</f>
        <v>--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45</v>
      </c>
    </row>
    <row r="60" spans="1:20" ht="15.6" thickTop="1" thickBot="1">
      <c r="A60" s="46" t="str">
        <f ca="1">OFFSET('0'!$B$112,($A$1-1)*10,$B60-1)</f>
        <v>--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45</v>
      </c>
    </row>
    <row r="68" spans="1:20" ht="15.6" thickTop="1" thickBot="1">
      <c r="A68" s="46" t="str">
        <f ca="1">OFFSET('0'!$B$112,($A$1-1)*10,$B68-1)</f>
        <v>--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45</v>
      </c>
    </row>
    <row r="76" spans="1:20" ht="15.6" thickTop="1" thickBot="1">
      <c r="A76" s="46" t="str">
        <f ca="1">OFFSET('0'!$B$112,($A$1-1)*10,$B76-1)</f>
        <v>--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45</v>
      </c>
    </row>
    <row r="84" spans="1:20" ht="15.6" thickTop="1" thickBot="1">
      <c r="A84" s="46" t="str">
        <f ca="1">OFFSET('0'!$B$112,($A$1-1)*10,$B84-1)</f>
        <v>--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45</v>
      </c>
    </row>
    <row r="92" spans="1:20" ht="15.6" thickTop="1" thickBot="1">
      <c r="A92" s="46" t="str">
        <f ca="1">OFFSET('0'!$B$112,($A$1-1)*10,$B92-1)</f>
        <v>SS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45</v>
      </c>
    </row>
    <row r="100" spans="1:20" ht="15.6" thickTop="1" thickBot="1">
      <c r="A100" s="46" t="str">
        <f ca="1">OFFSET('0'!$B$112,($A$1-1)*10,$B100-1)</f>
        <v>SK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45</v>
      </c>
    </row>
    <row r="108" spans="1:20" ht="15.6" thickTop="1" thickBot="1">
      <c r="A108" s="46" t="str">
        <f ca="1">OFFSET('0'!$B$112,($A$1-1)*10,$B108-1)</f>
        <v>--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45</v>
      </c>
    </row>
    <row r="116" spans="1:22" ht="15.6" thickTop="1" thickBot="1">
      <c r="A116" s="46" t="str">
        <f ca="1">OFFSET('0'!$B$112,($A$1-1)*10,$B116-1)</f>
        <v>--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45</v>
      </c>
      <c r="U123" s="96"/>
    </row>
    <row r="124" spans="1:22" ht="15.6" thickTop="1" thickBot="1">
      <c r="A124" s="46" t="str">
        <f ca="1">OFFSET('0'!$B$112,($A$1-1)*10,$B124-1)</f>
        <v>--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45</v>
      </c>
    </row>
    <row r="132" spans="1:20" ht="15.6" thickTop="1" thickBot="1">
      <c r="A132" s="46" t="str">
        <f ca="1">OFFSET('0'!$B$112,($A$1-1)*10,$B132-1)</f>
        <v>--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45</v>
      </c>
    </row>
    <row r="140" spans="1:20" ht="15.6" thickTop="1" thickBot="1">
      <c r="A140" s="46" t="str">
        <f ca="1">OFFSET('0'!$B$112,($A$1-1)*10,$B140-1)</f>
        <v>--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13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13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45</v>
      </c>
    </row>
    <row r="148" spans="1:20" ht="15.6" thickTop="1" thickBot="1">
      <c r="A148" s="46" t="str">
        <f ca="1">OFFSET('0'!$B$112,($A$1-1)*10,$B148-1)</f>
        <v>SS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13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45</v>
      </c>
    </row>
    <row r="156" spans="1:20" ht="15.6" thickTop="1" thickBot="1">
      <c r="A156" s="46" t="str">
        <f ca="1">OFFSET('0'!$B$112,($A$1-1)*10,$B156-1)</f>
        <v>SK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13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45</v>
      </c>
    </row>
    <row r="164" spans="1:20" ht="15.6" thickTop="1" thickBot="1">
      <c r="A164" s="46" t="str">
        <f ca="1">OFFSET('0'!$B$112,($A$1-1)*10,$B164-1)</f>
        <v>--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13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45</v>
      </c>
    </row>
    <row r="172" spans="1:20" ht="15.6" thickTop="1" thickBot="1">
      <c r="A172" s="46" t="str">
        <f ca="1">OFFSET('0'!$B$112,($A$1-1)*10,$B172-1)</f>
        <v>--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13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45</v>
      </c>
    </row>
    <row r="180" spans="1:20" ht="15.6" thickTop="1" thickBot="1">
      <c r="A180" s="46" t="str">
        <f ca="1">OFFSET('0'!$B$112,($A$1-1)*10,$B180-1)</f>
        <v>--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13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45</v>
      </c>
    </row>
    <row r="188" spans="1:20" ht="15.6" thickTop="1" thickBot="1">
      <c r="A188" s="46" t="str">
        <f ca="1">OFFSET('0'!$B$112,($A$1-1)*10,$B188-1)</f>
        <v>--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13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45</v>
      </c>
    </row>
    <row r="196" spans="1:20" ht="15.6" thickTop="1" thickBot="1">
      <c r="A196" s="46" t="str">
        <f ca="1">OFFSET('0'!$B$112,($A$1-1)*10,$B196-1)</f>
        <v>--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45</v>
      </c>
    </row>
    <row r="204" spans="1:20" ht="15.6" thickTop="1" thickBot="1">
      <c r="A204" s="46" t="str">
        <f ca="1">OFFSET('0'!$B$112,($A$1-1)*10,$B204-1)</f>
        <v>SS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13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45</v>
      </c>
    </row>
    <row r="212" spans="1:20" ht="15.6" thickTop="1" thickBot="1">
      <c r="A212" s="46" t="str">
        <f ca="1">OFFSET('0'!$B$112,($A$1-1)*10,$B212-1)</f>
        <v>SK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13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13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45</v>
      </c>
    </row>
    <row r="220" spans="1:20" ht="15.6" thickTop="1" thickBot="1">
      <c r="A220" s="46" t="str">
        <f ca="1">OFFSET('0'!$B$112,($A$1-1)*10,$B220-1)</f>
        <v>--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13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13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45</v>
      </c>
    </row>
    <row r="228" spans="1:20" ht="15.6" thickTop="1" thickBot="1">
      <c r="A228" s="46" t="str">
        <f ca="1">OFFSET('0'!$B$112,($A$1-1)*10,$B228-1)</f>
        <v>--</v>
      </c>
      <c r="B228" s="228">
        <f ca="1">OFFSET('0'!$B$111,($A$1-1)*10,28)</f>
        <v>29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13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13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45</v>
      </c>
    </row>
    <row r="236" spans="1:20" ht="15.6" thickTop="1" thickBot="1">
      <c r="A236" s="46" t="str">
        <f ca="1">OFFSET('0'!$B$112,($A$1-1)*10,$B236-1)</f>
        <v>--</v>
      </c>
      <c r="B236" s="228">
        <f ca="1">OFFSET('0'!$B$111,($A$1-1)*10,29)</f>
        <v>30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13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13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45</v>
      </c>
    </row>
    <row r="244" spans="1:20" ht="15.6" thickTop="1" thickBot="1">
      <c r="A244" s="46" t="e">
        <f ca="1">OFFSET('0'!$B$112,($A$1-1)*10,$B244-1)</f>
        <v>#REF!</v>
      </c>
      <c r="B244" s="228">
        <f ca="1">OFFSET('0'!$B$111,($A$1-1)*10,30)</f>
        <v>-29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13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13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13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45</v>
      </c>
    </row>
    <row r="252" spans="1:20" ht="15" thickTop="1"/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9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9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156" priority="31">
      <formula>$A4&lt;&gt;"--"</formula>
    </cfRule>
  </conditionalFormatting>
  <conditionalFormatting sqref="B20:B27">
    <cfRule type="expression" dxfId="155" priority="30">
      <formula>$A20&lt;&gt;"--"</formula>
    </cfRule>
  </conditionalFormatting>
  <conditionalFormatting sqref="B28:B35">
    <cfRule type="expression" dxfId="154" priority="29">
      <formula>$A28&lt;&gt;"--"</formula>
    </cfRule>
  </conditionalFormatting>
  <conditionalFormatting sqref="B36:B43">
    <cfRule type="expression" dxfId="153" priority="28">
      <formula>$A36&lt;&gt;"--"</formula>
    </cfRule>
  </conditionalFormatting>
  <conditionalFormatting sqref="B44:B51">
    <cfRule type="expression" dxfId="152" priority="27">
      <formula>$A44&lt;&gt;"--"</formula>
    </cfRule>
  </conditionalFormatting>
  <conditionalFormatting sqref="B52:B59">
    <cfRule type="expression" dxfId="151" priority="26">
      <formula>$A52&lt;&gt;"--"</formula>
    </cfRule>
  </conditionalFormatting>
  <conditionalFormatting sqref="B60:B67">
    <cfRule type="expression" dxfId="150" priority="25">
      <formula>$A60&lt;&gt;"--"</formula>
    </cfRule>
  </conditionalFormatting>
  <conditionalFormatting sqref="B68:B75">
    <cfRule type="expression" dxfId="149" priority="24">
      <formula>$A68&lt;&gt;"--"</formula>
    </cfRule>
  </conditionalFormatting>
  <conditionalFormatting sqref="B76:B83">
    <cfRule type="expression" dxfId="148" priority="23">
      <formula>$A76&lt;&gt;"--"</formula>
    </cfRule>
  </conditionalFormatting>
  <conditionalFormatting sqref="B84:B91">
    <cfRule type="expression" dxfId="147" priority="22">
      <formula>$A84&lt;&gt;"--"</formula>
    </cfRule>
  </conditionalFormatting>
  <conditionalFormatting sqref="B92:B99">
    <cfRule type="expression" dxfId="146" priority="21">
      <formula>$A92&lt;&gt;"--"</formula>
    </cfRule>
  </conditionalFormatting>
  <conditionalFormatting sqref="B100:B107">
    <cfRule type="expression" dxfId="145" priority="20">
      <formula>$A100&lt;&gt;"--"</formula>
    </cfRule>
  </conditionalFormatting>
  <conditionalFormatting sqref="B108:B115">
    <cfRule type="expression" dxfId="144" priority="19">
      <formula>$A108&lt;&gt;"--"</formula>
    </cfRule>
  </conditionalFormatting>
  <conditionalFormatting sqref="B116:B123">
    <cfRule type="expression" dxfId="143" priority="18">
      <formula>$A116&lt;&gt;"--"</formula>
    </cfRule>
  </conditionalFormatting>
  <conditionalFormatting sqref="B124:B131">
    <cfRule type="expression" dxfId="142" priority="17">
      <formula>$A124&lt;&gt;"--"</formula>
    </cfRule>
  </conditionalFormatting>
  <conditionalFormatting sqref="B132:B139">
    <cfRule type="expression" dxfId="141" priority="16">
      <formula>$A132&lt;&gt;"--"</formula>
    </cfRule>
  </conditionalFormatting>
  <conditionalFormatting sqref="B140:B147">
    <cfRule type="expression" dxfId="140" priority="15">
      <formula>$A140&lt;&gt;"--"</formula>
    </cfRule>
  </conditionalFormatting>
  <conditionalFormatting sqref="B148:B155">
    <cfRule type="expression" dxfId="139" priority="14">
      <formula>$A148&lt;&gt;"--"</formula>
    </cfRule>
  </conditionalFormatting>
  <conditionalFormatting sqref="B156:B163">
    <cfRule type="expression" dxfId="138" priority="13">
      <formula>$A156&lt;&gt;"--"</formula>
    </cfRule>
  </conditionalFormatting>
  <conditionalFormatting sqref="B164:B171">
    <cfRule type="expression" dxfId="137" priority="12">
      <formula>$A164&lt;&gt;"--"</formula>
    </cfRule>
  </conditionalFormatting>
  <conditionalFormatting sqref="B172:B179">
    <cfRule type="expression" dxfId="136" priority="11">
      <formula>$A172&lt;&gt;"--"</formula>
    </cfRule>
  </conditionalFormatting>
  <conditionalFormatting sqref="B180:B187">
    <cfRule type="expression" dxfId="135" priority="10">
      <formula>$A180&lt;&gt;"--"</formula>
    </cfRule>
  </conditionalFormatting>
  <conditionalFormatting sqref="B188:B195">
    <cfRule type="expression" dxfId="134" priority="9">
      <formula>$A188&lt;&gt;"--"</formula>
    </cfRule>
  </conditionalFormatting>
  <conditionalFormatting sqref="B196:B203">
    <cfRule type="expression" dxfId="133" priority="8">
      <formula>$A196&lt;&gt;"--"</formula>
    </cfRule>
  </conditionalFormatting>
  <conditionalFormatting sqref="B204:B211">
    <cfRule type="expression" dxfId="132" priority="7">
      <formula>$A204&lt;&gt;"--"</formula>
    </cfRule>
  </conditionalFormatting>
  <conditionalFormatting sqref="B212:B219">
    <cfRule type="expression" dxfId="131" priority="6">
      <formula>$A212&lt;&gt;"--"</formula>
    </cfRule>
  </conditionalFormatting>
  <conditionalFormatting sqref="B220:B227">
    <cfRule type="expression" dxfId="130" priority="5">
      <formula>$A220&lt;&gt;"--"</formula>
    </cfRule>
  </conditionalFormatting>
  <conditionalFormatting sqref="B228:B251">
    <cfRule type="expression" dxfId="129" priority="4">
      <formula>$A228&lt;&gt;"--"</formula>
    </cfRule>
  </conditionalFormatting>
  <conditionalFormatting sqref="B236:B243">
    <cfRule type="expression" dxfId="128" priority="3">
      <formula>$A236&lt;&gt;"--"</formula>
    </cfRule>
  </conditionalFormatting>
  <conditionalFormatting sqref="B244:B251">
    <cfRule type="expression" dxfId="127" priority="2">
      <formula>$A244&lt;&gt;"--"</formula>
    </cfRule>
  </conditionalFormatting>
  <conditionalFormatting sqref="B228:B251">
    <cfRule type="cellIs" dxfId="126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31"/>
  <dimension ref="A1:V254"/>
  <sheetViews>
    <sheetView topLeftCell="A232" workbookViewId="0">
      <selection activeCell="L14" sqref="L14"/>
    </sheetView>
  </sheetViews>
  <sheetFormatPr defaultColWidth="15.109375" defaultRowHeight="14.4"/>
  <cols>
    <col min="1" max="1" width="6" style="46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46">
        <v>10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f>SUM(V6:V14)</f>
        <v>45</v>
      </c>
    </row>
    <row r="4" spans="1:22" ht="16.5" customHeight="1" thickTop="1">
      <c r="A4" s="46" t="str">
        <f ca="1">OFFSET('0'!$B$112,($A$1-1)*10,$B4-1)</f>
        <v>--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10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>
        <f>Vasaris!L254</f>
        <v>2</v>
      </c>
    </row>
    <row r="8" spans="1:22"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  <c r="V8" s="53">
        <f>Kovas!L254</f>
        <v>3</v>
      </c>
    </row>
    <row r="9" spans="1:22" ht="15" thickBot="1"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  <c r="V9" s="53">
        <f>Balandis!L254</f>
        <v>4</v>
      </c>
    </row>
    <row r="10" spans="1:22" ht="15" thickBot="1"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10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  <c r="V10" s="53">
        <f>Gegužė!L254</f>
        <v>5</v>
      </c>
    </row>
    <row r="11" spans="1:22" ht="15" thickBot="1"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10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55</v>
      </c>
      <c r="U11" s="85">
        <v>6</v>
      </c>
      <c r="V11" s="53">
        <f>Birželis!L254</f>
        <v>6</v>
      </c>
    </row>
    <row r="12" spans="1:22" ht="15" thickTop="1">
      <c r="A12" s="46" t="str">
        <f ca="1">OFFSET('0'!$B$112,($A$1-1)*10,$B12-1)</f>
        <v>--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  <c r="V12" s="53">
        <f>Liepa!L254</f>
        <v>7</v>
      </c>
    </row>
    <row r="13" spans="1:22" ht="17.25" customHeight="1"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  <c r="V13" s="53">
        <f>Rugpjūtis!L254</f>
        <v>8</v>
      </c>
    </row>
    <row r="14" spans="1:22"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  <c r="V14" s="53">
        <f>Rugsėjis!L254</f>
        <v>9</v>
      </c>
    </row>
    <row r="15" spans="1:22"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</row>
    <row r="16" spans="1:22"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</row>
    <row r="17" spans="1:22" ht="15" thickBot="1"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55</v>
      </c>
    </row>
    <row r="20" spans="1:22" ht="15.6" thickTop="1" thickBot="1">
      <c r="A20" s="46" t="str">
        <f ca="1">OFFSET('0'!$B$112,($A$1-1)*10,$B20-1)</f>
        <v>SS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55</v>
      </c>
    </row>
    <row r="28" spans="1:22" ht="15.6" thickTop="1" thickBot="1">
      <c r="A28" s="46" t="str">
        <f ca="1">OFFSET('0'!$B$112,($A$1-1)*10,$B28-1)</f>
        <v>SK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55</v>
      </c>
    </row>
    <row r="36" spans="1:20" ht="15.6" thickTop="1" thickBot="1">
      <c r="A36" s="46" t="str">
        <f ca="1">OFFSET('0'!$B$112,($A$1-1)*10,$B36-1)</f>
        <v>--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55</v>
      </c>
    </row>
    <row r="44" spans="1:20" ht="15.6" thickTop="1" thickBot="1">
      <c r="A44" s="46" t="str">
        <f ca="1">OFFSET('0'!$B$112,($A$1-1)*10,$B44-1)</f>
        <v>--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55</v>
      </c>
    </row>
    <row r="52" spans="1:20" ht="15.6" thickTop="1" thickBot="1">
      <c r="A52" s="46" t="str">
        <f ca="1">OFFSET('0'!$B$112,($A$1-1)*10,$B52-1)</f>
        <v>--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55</v>
      </c>
    </row>
    <row r="60" spans="1:20" ht="15.6" thickTop="1" thickBot="1">
      <c r="A60" s="46" t="str">
        <f ca="1">OFFSET('0'!$B$112,($A$1-1)*10,$B60-1)</f>
        <v>--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55</v>
      </c>
    </row>
    <row r="68" spans="1:20" ht="15.6" thickTop="1" thickBot="1">
      <c r="A68" s="46" t="str">
        <f ca="1">OFFSET('0'!$B$112,($A$1-1)*10,$B68-1)</f>
        <v>--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55</v>
      </c>
    </row>
    <row r="76" spans="1:20" ht="15.6" thickTop="1" thickBot="1">
      <c r="A76" s="46" t="str">
        <f ca="1">OFFSET('0'!$B$112,($A$1-1)*10,$B76-1)</f>
        <v>SS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55</v>
      </c>
    </row>
    <row r="84" spans="1:20" ht="15.6" thickTop="1" thickBot="1">
      <c r="A84" s="46" t="str">
        <f ca="1">OFFSET('0'!$B$112,($A$1-1)*10,$B84-1)</f>
        <v>SK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55</v>
      </c>
    </row>
    <row r="92" spans="1:20" ht="15.6" thickTop="1" thickBot="1">
      <c r="A92" s="46" t="str">
        <f ca="1">OFFSET('0'!$B$112,($A$1-1)*10,$B92-1)</f>
        <v>--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55</v>
      </c>
    </row>
    <row r="100" spans="1:20" ht="15.6" thickTop="1" thickBot="1">
      <c r="A100" s="46" t="str">
        <f ca="1">OFFSET('0'!$B$112,($A$1-1)*10,$B100-1)</f>
        <v>--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55</v>
      </c>
    </row>
    <row r="108" spans="1:20" ht="15.6" thickTop="1" thickBot="1">
      <c r="A108" s="46" t="str">
        <f ca="1">OFFSET('0'!$B$112,($A$1-1)*10,$B108-1)</f>
        <v>--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55</v>
      </c>
    </row>
    <row r="116" spans="1:22" ht="15.6" thickTop="1" thickBot="1">
      <c r="A116" s="46" t="str">
        <f ca="1">OFFSET('0'!$B$112,($A$1-1)*10,$B116-1)</f>
        <v>--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55</v>
      </c>
      <c r="U123" s="96"/>
    </row>
    <row r="124" spans="1:22" ht="15.6" thickTop="1" thickBot="1">
      <c r="A124" s="46" t="str">
        <f ca="1">OFFSET('0'!$B$112,($A$1-1)*10,$B124-1)</f>
        <v>--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55</v>
      </c>
    </row>
    <row r="132" spans="1:20" ht="15.6" thickTop="1" thickBot="1">
      <c r="A132" s="46" t="str">
        <f ca="1">OFFSET('0'!$B$112,($A$1-1)*10,$B132-1)</f>
        <v>SS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55</v>
      </c>
    </row>
    <row r="140" spans="1:20" ht="15.6" thickTop="1" thickBot="1">
      <c r="A140" s="46" t="str">
        <f ca="1">OFFSET('0'!$B$112,($A$1-1)*10,$B140-1)</f>
        <v>SK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13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13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55</v>
      </c>
    </row>
    <row r="148" spans="1:20" ht="15.6" thickTop="1" thickBot="1">
      <c r="A148" s="46" t="str">
        <f ca="1">OFFSET('0'!$B$112,($A$1-1)*10,$B148-1)</f>
        <v>--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13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55</v>
      </c>
    </row>
    <row r="156" spans="1:20" ht="15.6" thickTop="1" thickBot="1">
      <c r="A156" s="46" t="str">
        <f ca="1">OFFSET('0'!$B$112,($A$1-1)*10,$B156-1)</f>
        <v>--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13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55</v>
      </c>
    </row>
    <row r="164" spans="1:20" ht="15.6" thickTop="1" thickBot="1">
      <c r="A164" s="46" t="str">
        <f ca="1">OFFSET('0'!$B$112,($A$1-1)*10,$B164-1)</f>
        <v>--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13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55</v>
      </c>
    </row>
    <row r="172" spans="1:20" ht="15.6" thickTop="1" thickBot="1">
      <c r="A172" s="46" t="str">
        <f ca="1">OFFSET('0'!$B$112,($A$1-1)*10,$B172-1)</f>
        <v>--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13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55</v>
      </c>
    </row>
    <row r="180" spans="1:20" ht="15.6" thickTop="1" thickBot="1">
      <c r="A180" s="46" t="str">
        <f ca="1">OFFSET('0'!$B$112,($A$1-1)*10,$B180-1)</f>
        <v>--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13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55</v>
      </c>
    </row>
    <row r="188" spans="1:20" ht="15.6" thickTop="1" thickBot="1">
      <c r="A188" s="46" t="str">
        <f ca="1">OFFSET('0'!$B$112,($A$1-1)*10,$B188-1)</f>
        <v>SS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13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55</v>
      </c>
    </row>
    <row r="196" spans="1:20" ht="15.6" thickTop="1" thickBot="1">
      <c r="A196" s="46" t="str">
        <f ca="1">OFFSET('0'!$B$112,($A$1-1)*10,$B196-1)</f>
        <v>SK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55</v>
      </c>
    </row>
    <row r="204" spans="1:20" ht="15.6" thickTop="1" thickBot="1">
      <c r="A204" s="46" t="str">
        <f ca="1">OFFSET('0'!$B$112,($A$1-1)*10,$B204-1)</f>
        <v>--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13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55</v>
      </c>
    </row>
    <row r="212" spans="1:20" ht="15.6" thickTop="1" thickBot="1">
      <c r="A212" s="46" t="str">
        <f ca="1">OFFSET('0'!$B$112,($A$1-1)*10,$B212-1)</f>
        <v>--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13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13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55</v>
      </c>
    </row>
    <row r="220" spans="1:20" ht="15.6" thickTop="1" thickBot="1">
      <c r="A220" s="46" t="str">
        <f ca="1">OFFSET('0'!$B$112,($A$1-1)*10,$B220-1)</f>
        <v>--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13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13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55</v>
      </c>
    </row>
    <row r="228" spans="1:20" ht="15.6" thickTop="1" thickBot="1">
      <c r="A228" s="46" t="str">
        <f ca="1">OFFSET('0'!$B$112,($A$1-1)*10,$B228-1)</f>
        <v>--</v>
      </c>
      <c r="B228" s="228">
        <f ca="1">OFFSET('0'!$B$111,($A$1-1)*10,28)</f>
        <v>29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13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13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55</v>
      </c>
    </row>
    <row r="236" spans="1:20" ht="15.6" thickTop="1" thickBot="1">
      <c r="A236" s="46" t="str">
        <f ca="1">OFFSET('0'!$B$112,($A$1-1)*10,$B236-1)</f>
        <v>--</v>
      </c>
      <c r="B236" s="228">
        <f ca="1">OFFSET('0'!$B$111,($A$1-1)*10,29)</f>
        <v>30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13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13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55</v>
      </c>
    </row>
    <row r="244" spans="1:20" ht="15.6" thickTop="1" thickBot="1">
      <c r="A244" s="46" t="str">
        <f ca="1">OFFSET('0'!$B$112,($A$1-1)*10,$B244-1)</f>
        <v>SS</v>
      </c>
      <c r="B244" s="228">
        <f ca="1">OFFSET('0'!$B$111,($A$1-1)*10,30)</f>
        <v>31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13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13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13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55</v>
      </c>
    </row>
    <row r="252" spans="1:20" ht="15" thickTop="1"/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10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10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125" priority="31">
      <formula>$A4&lt;&gt;"--"</formula>
    </cfRule>
  </conditionalFormatting>
  <conditionalFormatting sqref="B20:B27">
    <cfRule type="expression" dxfId="124" priority="30">
      <formula>$A20&lt;&gt;"--"</formula>
    </cfRule>
  </conditionalFormatting>
  <conditionalFormatting sqref="B28:B35">
    <cfRule type="expression" dxfId="123" priority="29">
      <formula>$A28&lt;&gt;"--"</formula>
    </cfRule>
  </conditionalFormatting>
  <conditionalFormatting sqref="B36:B43">
    <cfRule type="expression" dxfId="122" priority="28">
      <formula>$A36&lt;&gt;"--"</formula>
    </cfRule>
  </conditionalFormatting>
  <conditionalFormatting sqref="B44:B51">
    <cfRule type="expression" dxfId="121" priority="27">
      <formula>$A44&lt;&gt;"--"</formula>
    </cfRule>
  </conditionalFormatting>
  <conditionalFormatting sqref="B52:B59">
    <cfRule type="expression" dxfId="120" priority="26">
      <formula>$A52&lt;&gt;"--"</formula>
    </cfRule>
  </conditionalFormatting>
  <conditionalFormatting sqref="B60:B67">
    <cfRule type="expression" dxfId="119" priority="25">
      <formula>$A60&lt;&gt;"--"</formula>
    </cfRule>
  </conditionalFormatting>
  <conditionalFormatting sqref="B68:B75">
    <cfRule type="expression" dxfId="118" priority="24">
      <formula>$A68&lt;&gt;"--"</formula>
    </cfRule>
  </conditionalFormatting>
  <conditionalFormatting sqref="B76:B83">
    <cfRule type="expression" dxfId="117" priority="23">
      <formula>$A76&lt;&gt;"--"</formula>
    </cfRule>
  </conditionalFormatting>
  <conditionalFormatting sqref="B84:B91">
    <cfRule type="expression" dxfId="116" priority="22">
      <formula>$A84&lt;&gt;"--"</formula>
    </cfRule>
  </conditionalFormatting>
  <conditionalFormatting sqref="B92:B99">
    <cfRule type="expression" dxfId="115" priority="21">
      <formula>$A92&lt;&gt;"--"</formula>
    </cfRule>
  </conditionalFormatting>
  <conditionalFormatting sqref="B100:B107">
    <cfRule type="expression" dxfId="114" priority="20">
      <formula>$A100&lt;&gt;"--"</formula>
    </cfRule>
  </conditionalFormatting>
  <conditionalFormatting sqref="B108:B115">
    <cfRule type="expression" dxfId="113" priority="19">
      <formula>$A108&lt;&gt;"--"</formula>
    </cfRule>
  </conditionalFormatting>
  <conditionalFormatting sqref="B116:B123">
    <cfRule type="expression" dxfId="112" priority="18">
      <formula>$A116&lt;&gt;"--"</formula>
    </cfRule>
  </conditionalFormatting>
  <conditionalFormatting sqref="B124:B131">
    <cfRule type="expression" dxfId="111" priority="17">
      <formula>$A124&lt;&gt;"--"</formula>
    </cfRule>
  </conditionalFormatting>
  <conditionalFormatting sqref="B132:B139">
    <cfRule type="expression" dxfId="110" priority="16">
      <formula>$A132&lt;&gt;"--"</formula>
    </cfRule>
  </conditionalFormatting>
  <conditionalFormatting sqref="B140:B147">
    <cfRule type="expression" dxfId="109" priority="15">
      <formula>$A140&lt;&gt;"--"</formula>
    </cfRule>
  </conditionalFormatting>
  <conditionalFormatting sqref="B148:B155">
    <cfRule type="expression" dxfId="108" priority="14">
      <formula>$A148&lt;&gt;"--"</formula>
    </cfRule>
  </conditionalFormatting>
  <conditionalFormatting sqref="B156:B163">
    <cfRule type="expression" dxfId="107" priority="13">
      <formula>$A156&lt;&gt;"--"</formula>
    </cfRule>
  </conditionalFormatting>
  <conditionalFormatting sqref="B164:B171">
    <cfRule type="expression" dxfId="106" priority="12">
      <formula>$A164&lt;&gt;"--"</formula>
    </cfRule>
  </conditionalFormatting>
  <conditionalFormatting sqref="B172:B179">
    <cfRule type="expression" dxfId="105" priority="11">
      <formula>$A172&lt;&gt;"--"</formula>
    </cfRule>
  </conditionalFormatting>
  <conditionalFormatting sqref="B180:B187">
    <cfRule type="expression" dxfId="104" priority="10">
      <formula>$A180&lt;&gt;"--"</formula>
    </cfRule>
  </conditionalFormatting>
  <conditionalFormatting sqref="B188:B195">
    <cfRule type="expression" dxfId="103" priority="9">
      <formula>$A188&lt;&gt;"--"</formula>
    </cfRule>
  </conditionalFormatting>
  <conditionalFormatting sqref="B196:B203">
    <cfRule type="expression" dxfId="102" priority="8">
      <formula>$A196&lt;&gt;"--"</formula>
    </cfRule>
  </conditionalFormatting>
  <conditionalFormatting sqref="B204:B211">
    <cfRule type="expression" dxfId="101" priority="7">
      <formula>$A204&lt;&gt;"--"</formula>
    </cfRule>
  </conditionalFormatting>
  <conditionalFormatting sqref="B212:B219">
    <cfRule type="expression" dxfId="100" priority="6">
      <formula>$A212&lt;&gt;"--"</formula>
    </cfRule>
  </conditionalFormatting>
  <conditionalFormatting sqref="B220:B227">
    <cfRule type="expression" dxfId="99" priority="5">
      <formula>$A220&lt;&gt;"--"</formula>
    </cfRule>
  </conditionalFormatting>
  <conditionalFormatting sqref="B228:B251">
    <cfRule type="expression" dxfId="98" priority="4">
      <formula>$A228&lt;&gt;"--"</formula>
    </cfRule>
  </conditionalFormatting>
  <conditionalFormatting sqref="B236:B243">
    <cfRule type="expression" dxfId="97" priority="3">
      <formula>$A236&lt;&gt;"--"</formula>
    </cfRule>
  </conditionalFormatting>
  <conditionalFormatting sqref="B244:B251">
    <cfRule type="expression" dxfId="96" priority="2">
      <formula>$A244&lt;&gt;"--"</formula>
    </cfRule>
  </conditionalFormatting>
  <conditionalFormatting sqref="B228:B251">
    <cfRule type="cellIs" dxfId="95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32"/>
  <dimension ref="A1:V254"/>
  <sheetViews>
    <sheetView topLeftCell="I1" workbookViewId="0">
      <selection activeCell="V21" sqref="V21"/>
    </sheetView>
  </sheetViews>
  <sheetFormatPr defaultColWidth="15.109375" defaultRowHeight="14.4"/>
  <cols>
    <col min="1" max="1" width="6" style="46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46">
        <v>11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f>SUM(V6:V15)</f>
        <v>55</v>
      </c>
    </row>
    <row r="4" spans="1:22" ht="16.5" customHeight="1" thickTop="1">
      <c r="A4" s="46" t="str">
        <f ca="1">OFFSET('0'!$B$112,($A$1-1)*10,$B4-1)</f>
        <v>SV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11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>
        <f>Vasaris!L254</f>
        <v>2</v>
      </c>
    </row>
    <row r="8" spans="1:22"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  <c r="V8" s="53">
        <f>Kovas!L254</f>
        <v>3</v>
      </c>
    </row>
    <row r="9" spans="1:22" ht="15" thickBot="1"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  <c r="V9" s="53">
        <f>Balandis!L254</f>
        <v>4</v>
      </c>
    </row>
    <row r="10" spans="1:22" ht="15" thickBot="1"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11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  <c r="V10" s="53">
        <f>Gegužė!L254</f>
        <v>5</v>
      </c>
    </row>
    <row r="11" spans="1:22" ht="15" thickBot="1"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11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66</v>
      </c>
      <c r="U11" s="85">
        <v>6</v>
      </c>
      <c r="V11" s="53">
        <f>Birželis!L254</f>
        <v>6</v>
      </c>
    </row>
    <row r="12" spans="1:22" ht="15" thickTop="1">
      <c r="A12" s="46" t="str">
        <f ca="1">OFFSET('0'!$B$112,($A$1-1)*10,$B12-1)</f>
        <v>SV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  <c r="V12" s="53">
        <f>Liepa!L254</f>
        <v>7</v>
      </c>
    </row>
    <row r="13" spans="1:22" ht="17.25" customHeight="1"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  <c r="V13" s="53">
        <f>Rugpjūtis!L254</f>
        <v>8</v>
      </c>
    </row>
    <row r="14" spans="1:22"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  <c r="V14" s="53">
        <f>Rugsėjis!L254</f>
        <v>9</v>
      </c>
    </row>
    <row r="15" spans="1:22"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  <c r="V15" s="53">
        <f>Spalis!L254</f>
        <v>10</v>
      </c>
    </row>
    <row r="16" spans="1:22"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  <c r="V16" s="53"/>
    </row>
    <row r="17" spans="1:22" ht="15" thickBot="1"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66</v>
      </c>
    </row>
    <row r="20" spans="1:22" ht="15.6" thickTop="1" thickBot="1">
      <c r="A20" s="46" t="str">
        <f ca="1">OFFSET('0'!$B$112,($A$1-1)*10,$B20-1)</f>
        <v>--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66</v>
      </c>
    </row>
    <row r="28" spans="1:22" ht="15.6" thickTop="1" thickBot="1">
      <c r="A28" s="46" t="str">
        <f ca="1">OFFSET('0'!$B$112,($A$1-1)*10,$B28-1)</f>
        <v>--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66</v>
      </c>
    </row>
    <row r="36" spans="1:20" ht="15.6" thickTop="1" thickBot="1">
      <c r="A36" s="46" t="str">
        <f ca="1">OFFSET('0'!$B$112,($A$1-1)*10,$B36-1)</f>
        <v>--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66</v>
      </c>
    </row>
    <row r="44" spans="1:20" ht="15.6" thickTop="1" thickBot="1">
      <c r="A44" s="46" t="str">
        <f ca="1">OFFSET('0'!$B$112,($A$1-1)*10,$B44-1)</f>
        <v>--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66</v>
      </c>
    </row>
    <row r="52" spans="1:20" ht="15.6" thickTop="1" thickBot="1">
      <c r="A52" s="46" t="str">
        <f ca="1">OFFSET('0'!$B$112,($A$1-1)*10,$B52-1)</f>
        <v>SS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66</v>
      </c>
    </row>
    <row r="60" spans="1:20" ht="15.6" thickTop="1" thickBot="1">
      <c r="A60" s="46" t="str">
        <f ca="1">OFFSET('0'!$B$112,($A$1-1)*10,$B60-1)</f>
        <v>SK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66</v>
      </c>
    </row>
    <row r="68" spans="1:20" ht="15.6" thickTop="1" thickBot="1">
      <c r="A68" s="46" t="str">
        <f ca="1">OFFSET('0'!$B$112,($A$1-1)*10,$B68-1)</f>
        <v>--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66</v>
      </c>
    </row>
    <row r="76" spans="1:20" ht="15.6" thickTop="1" thickBot="1">
      <c r="A76" s="46" t="str">
        <f ca="1">OFFSET('0'!$B$112,($A$1-1)*10,$B76-1)</f>
        <v>--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66</v>
      </c>
    </row>
    <row r="84" spans="1:20" ht="15.6" thickTop="1" thickBot="1">
      <c r="A84" s="46" t="str">
        <f ca="1">OFFSET('0'!$B$112,($A$1-1)*10,$B84-1)</f>
        <v>--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66</v>
      </c>
    </row>
    <row r="92" spans="1:20" ht="15.6" thickTop="1" thickBot="1">
      <c r="A92" s="46" t="str">
        <f ca="1">OFFSET('0'!$B$112,($A$1-1)*10,$B92-1)</f>
        <v>--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66</v>
      </c>
    </row>
    <row r="100" spans="1:20" ht="15.6" thickTop="1" thickBot="1">
      <c r="A100" s="46" t="str">
        <f ca="1">OFFSET('0'!$B$112,($A$1-1)*10,$B100-1)</f>
        <v>--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66</v>
      </c>
    </row>
    <row r="108" spans="1:20" ht="15.6" thickTop="1" thickBot="1">
      <c r="A108" s="46" t="str">
        <f ca="1">OFFSET('0'!$B$112,($A$1-1)*10,$B108-1)</f>
        <v>SS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66</v>
      </c>
    </row>
    <row r="116" spans="1:22" ht="15.6" thickTop="1" thickBot="1">
      <c r="A116" s="46" t="str">
        <f ca="1">OFFSET('0'!$B$112,($A$1-1)*10,$B116-1)</f>
        <v>SK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66</v>
      </c>
      <c r="U123" s="96"/>
    </row>
    <row r="124" spans="1:22" ht="15.6" thickTop="1" thickBot="1">
      <c r="A124" s="46" t="str">
        <f ca="1">OFFSET('0'!$B$112,($A$1-1)*10,$B124-1)</f>
        <v>--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66</v>
      </c>
    </row>
    <row r="132" spans="1:20" ht="15.6" thickTop="1" thickBot="1">
      <c r="A132" s="46" t="str">
        <f ca="1">OFFSET('0'!$B$112,($A$1-1)*10,$B132-1)</f>
        <v>--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66</v>
      </c>
    </row>
    <row r="140" spans="1:20" ht="15.6" thickTop="1" thickBot="1">
      <c r="A140" s="46" t="str">
        <f ca="1">OFFSET('0'!$B$112,($A$1-1)*10,$B140-1)</f>
        <v>--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13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13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66</v>
      </c>
    </row>
    <row r="148" spans="1:20" ht="15.6" thickTop="1" thickBot="1">
      <c r="A148" s="46" t="str">
        <f ca="1">OFFSET('0'!$B$112,($A$1-1)*10,$B148-1)</f>
        <v>--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13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66</v>
      </c>
    </row>
    <row r="156" spans="1:20" ht="15.6" thickTop="1" thickBot="1">
      <c r="A156" s="46" t="str">
        <f ca="1">OFFSET('0'!$B$112,($A$1-1)*10,$B156-1)</f>
        <v>--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13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66</v>
      </c>
    </row>
    <row r="164" spans="1:20" ht="15.6" thickTop="1" thickBot="1">
      <c r="A164" s="46" t="str">
        <f ca="1">OFFSET('0'!$B$112,($A$1-1)*10,$B164-1)</f>
        <v>SS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13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66</v>
      </c>
    </row>
    <row r="172" spans="1:20" ht="15.6" thickTop="1" thickBot="1">
      <c r="A172" s="46" t="str">
        <f ca="1">OFFSET('0'!$B$112,($A$1-1)*10,$B172-1)</f>
        <v>SK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13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66</v>
      </c>
    </row>
    <row r="180" spans="1:20" ht="15.6" thickTop="1" thickBot="1">
      <c r="A180" s="46" t="str">
        <f ca="1">OFFSET('0'!$B$112,($A$1-1)*10,$B180-1)</f>
        <v>--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13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66</v>
      </c>
    </row>
    <row r="188" spans="1:20" ht="15.6" thickTop="1" thickBot="1">
      <c r="A188" s="46" t="str">
        <f ca="1">OFFSET('0'!$B$112,($A$1-1)*10,$B188-1)</f>
        <v>--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13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66</v>
      </c>
    </row>
    <row r="196" spans="1:20" ht="15.6" thickTop="1" thickBot="1">
      <c r="A196" s="46" t="str">
        <f ca="1">OFFSET('0'!$B$112,($A$1-1)*10,$B196-1)</f>
        <v>--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66</v>
      </c>
    </row>
    <row r="204" spans="1:20" ht="15.6" thickTop="1" thickBot="1">
      <c r="A204" s="46" t="str">
        <f ca="1">OFFSET('0'!$B$112,($A$1-1)*10,$B204-1)</f>
        <v>--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13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66</v>
      </c>
    </row>
    <row r="212" spans="1:20" ht="15.6" thickTop="1" thickBot="1">
      <c r="A212" s="46" t="str">
        <f ca="1">OFFSET('0'!$B$112,($A$1-1)*10,$B212-1)</f>
        <v>--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13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13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66</v>
      </c>
    </row>
    <row r="220" spans="1:20" ht="15.6" thickTop="1" thickBot="1">
      <c r="A220" s="46" t="str">
        <f ca="1">OFFSET('0'!$B$112,($A$1-1)*10,$B220-1)</f>
        <v>SS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13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13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66</v>
      </c>
    </row>
    <row r="228" spans="1:20" ht="15.6" thickTop="1" thickBot="1">
      <c r="A228" s="46" t="str">
        <f ca="1">OFFSET('0'!$B$112,($A$1-1)*10,$B228-1)</f>
        <v>SK</v>
      </c>
      <c r="B228" s="228">
        <f ca="1">OFFSET('0'!$B$111,($A$1-1)*10,28)</f>
        <v>29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13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13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66</v>
      </c>
    </row>
    <row r="236" spans="1:20" ht="15.6" thickTop="1" thickBot="1">
      <c r="A236" s="46" t="str">
        <f ca="1">OFFSET('0'!$B$112,($A$1-1)*10,$B236-1)</f>
        <v>--</v>
      </c>
      <c r="B236" s="228">
        <f ca="1">OFFSET('0'!$B$111,($A$1-1)*10,29)</f>
        <v>30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13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13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66</v>
      </c>
    </row>
    <row r="244" spans="1:20" ht="15.6" thickTop="1" thickBot="1">
      <c r="A244" s="46" t="e">
        <f ca="1">OFFSET('0'!$B$112,($A$1-1)*10,$B244-1)</f>
        <v>#REF!</v>
      </c>
      <c r="B244" s="228">
        <f ca="1">OFFSET('0'!$B$111,($A$1-1)*10,30)</f>
        <v>-29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13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13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13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66</v>
      </c>
    </row>
    <row r="252" spans="1:20" ht="15" thickTop="1"/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11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11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94" priority="31">
      <formula>$A4&lt;&gt;"--"</formula>
    </cfRule>
  </conditionalFormatting>
  <conditionalFormatting sqref="B20:B27">
    <cfRule type="expression" dxfId="93" priority="30">
      <formula>$A20&lt;&gt;"--"</formula>
    </cfRule>
  </conditionalFormatting>
  <conditionalFormatting sqref="B28:B35">
    <cfRule type="expression" dxfId="92" priority="29">
      <formula>$A28&lt;&gt;"--"</formula>
    </cfRule>
  </conditionalFormatting>
  <conditionalFormatting sqref="B36:B43">
    <cfRule type="expression" dxfId="91" priority="28">
      <formula>$A36&lt;&gt;"--"</formula>
    </cfRule>
  </conditionalFormatting>
  <conditionalFormatting sqref="B44:B51">
    <cfRule type="expression" dxfId="90" priority="27">
      <formula>$A44&lt;&gt;"--"</formula>
    </cfRule>
  </conditionalFormatting>
  <conditionalFormatting sqref="B52:B59">
    <cfRule type="expression" dxfId="89" priority="26">
      <formula>$A52&lt;&gt;"--"</formula>
    </cfRule>
  </conditionalFormatting>
  <conditionalFormatting sqref="B60:B67">
    <cfRule type="expression" dxfId="88" priority="25">
      <formula>$A60&lt;&gt;"--"</formula>
    </cfRule>
  </conditionalFormatting>
  <conditionalFormatting sqref="B68:B75">
    <cfRule type="expression" dxfId="87" priority="24">
      <formula>$A68&lt;&gt;"--"</formula>
    </cfRule>
  </conditionalFormatting>
  <conditionalFormatting sqref="B76:B83">
    <cfRule type="expression" dxfId="86" priority="23">
      <formula>$A76&lt;&gt;"--"</formula>
    </cfRule>
  </conditionalFormatting>
  <conditionalFormatting sqref="B84:B91">
    <cfRule type="expression" dxfId="85" priority="22">
      <formula>$A84&lt;&gt;"--"</formula>
    </cfRule>
  </conditionalFormatting>
  <conditionalFormatting sqref="B92:B99">
    <cfRule type="expression" dxfId="84" priority="21">
      <formula>$A92&lt;&gt;"--"</formula>
    </cfRule>
  </conditionalFormatting>
  <conditionalFormatting sqref="B100:B107">
    <cfRule type="expression" dxfId="83" priority="20">
      <formula>$A100&lt;&gt;"--"</formula>
    </cfRule>
  </conditionalFormatting>
  <conditionalFormatting sqref="B108:B115">
    <cfRule type="expression" dxfId="82" priority="19">
      <formula>$A108&lt;&gt;"--"</formula>
    </cfRule>
  </conditionalFormatting>
  <conditionalFormatting sqref="B116:B123">
    <cfRule type="expression" dxfId="81" priority="18">
      <formula>$A116&lt;&gt;"--"</formula>
    </cfRule>
  </conditionalFormatting>
  <conditionalFormatting sqref="B124:B131">
    <cfRule type="expression" dxfId="80" priority="17">
      <formula>$A124&lt;&gt;"--"</formula>
    </cfRule>
  </conditionalFormatting>
  <conditionalFormatting sqref="B132:B139">
    <cfRule type="expression" dxfId="79" priority="16">
      <formula>$A132&lt;&gt;"--"</formula>
    </cfRule>
  </conditionalFormatting>
  <conditionalFormatting sqref="B140:B147">
    <cfRule type="expression" dxfId="78" priority="15">
      <formula>$A140&lt;&gt;"--"</formula>
    </cfRule>
  </conditionalFormatting>
  <conditionalFormatting sqref="B148:B155">
    <cfRule type="expression" dxfId="77" priority="14">
      <formula>$A148&lt;&gt;"--"</formula>
    </cfRule>
  </conditionalFormatting>
  <conditionalFormatting sqref="B156:B163">
    <cfRule type="expression" dxfId="76" priority="13">
      <formula>$A156&lt;&gt;"--"</formula>
    </cfRule>
  </conditionalFormatting>
  <conditionalFormatting sqref="B164:B171">
    <cfRule type="expression" dxfId="75" priority="12">
      <formula>$A164&lt;&gt;"--"</formula>
    </cfRule>
  </conditionalFormatting>
  <conditionalFormatting sqref="B172:B179">
    <cfRule type="expression" dxfId="74" priority="11">
      <formula>$A172&lt;&gt;"--"</formula>
    </cfRule>
  </conditionalFormatting>
  <conditionalFormatting sqref="B180:B187">
    <cfRule type="expression" dxfId="73" priority="10">
      <formula>$A180&lt;&gt;"--"</formula>
    </cfRule>
  </conditionalFormatting>
  <conditionalFormatting sqref="B188:B195">
    <cfRule type="expression" dxfId="72" priority="9">
      <formula>$A188&lt;&gt;"--"</formula>
    </cfRule>
  </conditionalFormatting>
  <conditionalFormatting sqref="B196:B203">
    <cfRule type="expression" dxfId="71" priority="8">
      <formula>$A196&lt;&gt;"--"</formula>
    </cfRule>
  </conditionalFormatting>
  <conditionalFormatting sqref="B204:B211">
    <cfRule type="expression" dxfId="70" priority="7">
      <formula>$A204&lt;&gt;"--"</formula>
    </cfRule>
  </conditionalFormatting>
  <conditionalFormatting sqref="B212:B219">
    <cfRule type="expression" dxfId="69" priority="6">
      <formula>$A212&lt;&gt;"--"</formula>
    </cfRule>
  </conditionalFormatting>
  <conditionalFormatting sqref="B220:B227">
    <cfRule type="expression" dxfId="68" priority="5">
      <formula>$A220&lt;&gt;"--"</formula>
    </cfRule>
  </conditionalFormatting>
  <conditionalFormatting sqref="B228:B251">
    <cfRule type="expression" dxfId="67" priority="4">
      <formula>$A228&lt;&gt;"--"</formula>
    </cfRule>
  </conditionalFormatting>
  <conditionalFormatting sqref="B236:B243">
    <cfRule type="expression" dxfId="66" priority="3">
      <formula>$A236&lt;&gt;"--"</formula>
    </cfRule>
  </conditionalFormatting>
  <conditionalFormatting sqref="B244:B251">
    <cfRule type="expression" dxfId="65" priority="2">
      <formula>$A244&lt;&gt;"--"</formula>
    </cfRule>
  </conditionalFormatting>
  <conditionalFormatting sqref="B228:B251">
    <cfRule type="cellIs" dxfId="64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33"/>
  <dimension ref="A1:V254"/>
  <sheetViews>
    <sheetView topLeftCell="I1" workbookViewId="0">
      <selection activeCell="V6" sqref="V6"/>
    </sheetView>
  </sheetViews>
  <sheetFormatPr defaultColWidth="15.109375" defaultRowHeight="14.4"/>
  <cols>
    <col min="1" max="1" width="6" style="46" customWidth="1"/>
    <col min="2" max="2" width="15.109375" style="85"/>
    <col min="3" max="3" width="22.109375" style="86" customWidth="1"/>
    <col min="4" max="11" width="15.109375" style="85"/>
    <col min="12" max="12" width="12.88671875" style="42" customWidth="1"/>
    <col min="13" max="14" width="10.109375" style="89" customWidth="1"/>
    <col min="15" max="16" width="10.109375" style="86" customWidth="1"/>
    <col min="17" max="17" width="22" style="86" customWidth="1"/>
    <col min="18" max="19" width="15.109375" style="85"/>
    <col min="20" max="20" width="26" style="86" customWidth="1"/>
    <col min="21" max="16384" width="15.109375" style="85"/>
  </cols>
  <sheetData>
    <row r="1" spans="1:22">
      <c r="A1" s="46">
        <v>12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B3" s="246"/>
      <c r="C3" s="246"/>
      <c r="D3" s="246"/>
      <c r="E3" s="246"/>
      <c r="F3" s="90" t="s">
        <v>9</v>
      </c>
      <c r="G3" s="90" t="s">
        <v>10</v>
      </c>
      <c r="H3" s="90" t="s">
        <v>11</v>
      </c>
      <c r="I3" s="90" t="s">
        <v>12</v>
      </c>
      <c r="J3" s="90" t="s">
        <v>13</v>
      </c>
      <c r="K3" s="90" t="s">
        <v>43</v>
      </c>
      <c r="L3" s="252"/>
      <c r="M3" s="246"/>
      <c r="N3" s="247"/>
      <c r="O3" s="247"/>
      <c r="P3" s="248"/>
      <c r="Q3" s="249"/>
      <c r="T3" s="250"/>
      <c r="U3" s="85" t="s">
        <v>155</v>
      </c>
      <c r="V3" s="49">
        <f>SUM(V6:V16)</f>
        <v>66</v>
      </c>
    </row>
    <row r="4" spans="1:22" ht="16.5" customHeight="1" thickTop="1">
      <c r="A4" s="46" t="str">
        <f ca="1">OFFSET('0'!$B$112,($A$1-1)*10,$B4-1)</f>
        <v>--</v>
      </c>
      <c r="B4" s="243">
        <f ca="1">OFFSET('0'!$B$111,($A$1-1)*10,0)</f>
        <v>1</v>
      </c>
      <c r="C4" s="99"/>
      <c r="D4" s="81"/>
      <c r="E4" s="43"/>
      <c r="F4" s="82"/>
      <c r="G4" s="82"/>
      <c r="H4" s="82"/>
      <c r="I4" s="82"/>
      <c r="J4" s="82"/>
      <c r="K4" s="82"/>
      <c r="L4" s="79">
        <v>12</v>
      </c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100"/>
      <c r="T4" s="250"/>
    </row>
    <row r="5" spans="1:22">
      <c r="B5" s="244"/>
      <c r="C5" s="10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102"/>
      <c r="U5" s="85" t="s">
        <v>154</v>
      </c>
    </row>
    <row r="6" spans="1:22">
      <c r="B6" s="244"/>
      <c r="C6" s="10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102"/>
      <c r="U6" s="85">
        <v>1</v>
      </c>
      <c r="V6" s="53">
        <f>Sausis!L254</f>
        <v>1</v>
      </c>
    </row>
    <row r="7" spans="1:22">
      <c r="B7" s="244"/>
      <c r="C7" s="10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102"/>
      <c r="U7" s="85">
        <v>2</v>
      </c>
      <c r="V7" s="53">
        <f>Vasaris!L254</f>
        <v>2</v>
      </c>
    </row>
    <row r="8" spans="1:22">
      <c r="B8" s="244"/>
      <c r="C8" s="10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102"/>
      <c r="U8" s="85">
        <v>3</v>
      </c>
      <c r="V8" s="53">
        <f>Kovas!L254</f>
        <v>3</v>
      </c>
    </row>
    <row r="9" spans="1:22" ht="15" thickBot="1"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U9" s="85">
        <v>4</v>
      </c>
      <c r="V9" s="53">
        <f>Balandis!L254</f>
        <v>4</v>
      </c>
    </row>
    <row r="10" spans="1:22" ht="15" thickBot="1">
      <c r="B10" s="244"/>
      <c r="C10" s="10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>
        <f>SUM(L4:L9)</f>
        <v>12</v>
      </c>
      <c r="M10" s="185">
        <f>SUM(M4:M9)</f>
        <v>0</v>
      </c>
      <c r="N10" s="187">
        <f>SUM(N4:N9)</f>
        <v>0</v>
      </c>
      <c r="O10" s="231"/>
      <c r="P10" s="234"/>
      <c r="Q10" s="102"/>
      <c r="U10" s="85">
        <v>5</v>
      </c>
      <c r="V10" s="53">
        <f>Gegužė!L254</f>
        <v>5</v>
      </c>
    </row>
    <row r="11" spans="1:22" ht="15" thickBot="1">
      <c r="B11" s="245"/>
      <c r="C11" s="9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SUM(L4:L9)</f>
        <v>12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92"/>
      <c r="T11" s="105">
        <f>$V$3+L11</f>
        <v>78</v>
      </c>
      <c r="U11" s="85">
        <v>6</v>
      </c>
      <c r="V11" s="53">
        <f>Birželis!L254</f>
        <v>6</v>
      </c>
    </row>
    <row r="12" spans="1:22" ht="15" thickTop="1">
      <c r="A12" s="46" t="str">
        <f ca="1">OFFSET('0'!$B$112,($A$1-1)*10,$B12-1)</f>
        <v>--</v>
      </c>
      <c r="B12" s="243">
        <f ca="1">OFFSET('0'!$B$111,($A$1-1)*10,1)</f>
        <v>2</v>
      </c>
      <c r="C12" s="9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106"/>
      <c r="U12" s="85">
        <v>7</v>
      </c>
      <c r="V12" s="53">
        <f>Liepa!L254</f>
        <v>7</v>
      </c>
    </row>
    <row r="13" spans="1:22" ht="17.25" customHeight="1">
      <c r="B13" s="244"/>
      <c r="C13" s="10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102"/>
      <c r="U13" s="85">
        <v>8</v>
      </c>
      <c r="V13" s="53">
        <f>Rugpjūtis!L254</f>
        <v>8</v>
      </c>
    </row>
    <row r="14" spans="1:22">
      <c r="B14" s="244"/>
      <c r="C14" s="10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102"/>
      <c r="U14" s="85">
        <v>9</v>
      </c>
      <c r="V14" s="53">
        <f>Rugsėjis!L254</f>
        <v>9</v>
      </c>
    </row>
    <row r="15" spans="1:22">
      <c r="B15" s="244"/>
      <c r="C15" s="10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102"/>
      <c r="U15" s="85">
        <v>10</v>
      </c>
      <c r="V15" s="53">
        <f>Spalis!L254</f>
        <v>10</v>
      </c>
    </row>
    <row r="16" spans="1:22">
      <c r="B16" s="244"/>
      <c r="C16" s="10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107"/>
      <c r="U16" s="85">
        <v>11</v>
      </c>
      <c r="V16" s="53">
        <f>Lapkritis!L254</f>
        <v>11</v>
      </c>
    </row>
    <row r="17" spans="1:22" ht="15" thickBot="1">
      <c r="B17" s="244"/>
      <c r="C17" s="10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107"/>
      <c r="U17" s="50"/>
      <c r="V17" s="51"/>
    </row>
    <row r="18" spans="1:22" ht="15" thickBot="1">
      <c r="B18" s="244"/>
      <c r="C18" s="104" t="s">
        <v>65</v>
      </c>
      <c r="D18" s="184">
        <f t="shared" ref="D18:L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>
        <f t="shared" si="5"/>
        <v>0</v>
      </c>
      <c r="M18" s="185">
        <f>SUM(M12:M17)</f>
        <v>0</v>
      </c>
      <c r="N18" s="197">
        <f>SUM(N12:N17)</f>
        <v>0</v>
      </c>
      <c r="O18" s="231"/>
      <c r="P18" s="234"/>
      <c r="Q18" s="107"/>
      <c r="U18" s="52"/>
      <c r="V18" s="52"/>
    </row>
    <row r="19" spans="1:22" ht="15" thickBot="1">
      <c r="B19" s="245"/>
      <c r="C19" s="9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SUM(L12:L17)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92"/>
      <c r="T19" s="105">
        <f>$V$3+L11+L19</f>
        <v>78</v>
      </c>
    </row>
    <row r="20" spans="1:22" ht="15.6" thickTop="1" thickBot="1">
      <c r="A20" s="46" t="str">
        <f ca="1">OFFSET('0'!$B$112,($A$1-1)*10,$B20-1)</f>
        <v>--</v>
      </c>
      <c r="B20" s="228">
        <f ca="1">OFFSET('0'!$B$111,($A$1-1)*10,2)</f>
        <v>3</v>
      </c>
      <c r="C20" s="9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100"/>
    </row>
    <row r="21" spans="1:22" ht="15.6" thickTop="1" thickBot="1">
      <c r="B21" s="228"/>
      <c r="C21" s="10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102"/>
    </row>
    <row r="22" spans="1:22" ht="15.6" thickTop="1" thickBot="1">
      <c r="B22" s="228"/>
      <c r="C22" s="10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102"/>
    </row>
    <row r="23" spans="1:22" ht="15.6" thickTop="1" thickBot="1">
      <c r="B23" s="228"/>
      <c r="C23" s="10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102"/>
    </row>
    <row r="24" spans="1:22" ht="15.6" thickTop="1" thickBot="1">
      <c r="B24" s="228"/>
      <c r="C24" s="10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107"/>
    </row>
    <row r="25" spans="1:22" ht="15.6" thickTop="1" thickBot="1">
      <c r="B25" s="228"/>
      <c r="C25" s="10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107"/>
    </row>
    <row r="26" spans="1:22" ht="15.6" thickTop="1" thickBot="1">
      <c r="B26" s="228"/>
      <c r="C26" s="104" t="s">
        <v>65</v>
      </c>
      <c r="D26" s="184">
        <f t="shared" ref="D26:L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>
        <f t="shared" si="8"/>
        <v>0</v>
      </c>
      <c r="M26" s="185">
        <f>SUM(M20:M25)</f>
        <v>0</v>
      </c>
      <c r="N26" s="197">
        <f>SUM(N20:N25)</f>
        <v>0</v>
      </c>
      <c r="O26" s="231"/>
      <c r="P26" s="234"/>
      <c r="Q26" s="107"/>
    </row>
    <row r="27" spans="1:22" ht="15.6" thickTop="1" thickBot="1">
      <c r="B27" s="228"/>
      <c r="C27" s="9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SUM(L20:L25)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95"/>
      <c r="T27" s="105">
        <f>$V$3++L11+L19+L27</f>
        <v>78</v>
      </c>
    </row>
    <row r="28" spans="1:22" ht="15.6" thickTop="1" thickBot="1">
      <c r="A28" s="46" t="str">
        <f ca="1">OFFSET('0'!$B$112,($A$1-1)*10,$B28-1)</f>
        <v>--</v>
      </c>
      <c r="B28" s="228">
        <f ca="1">OFFSET('0'!$B$111,($A$1-1)*10,3)</f>
        <v>4</v>
      </c>
      <c r="C28" s="9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100"/>
    </row>
    <row r="29" spans="1:22" ht="17.25" customHeight="1" thickTop="1" thickBot="1">
      <c r="B29" s="228"/>
      <c r="C29" s="10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102"/>
    </row>
    <row r="30" spans="1:22" ht="17.25" customHeight="1" thickTop="1" thickBot="1">
      <c r="B30" s="228"/>
      <c r="C30" s="10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102"/>
    </row>
    <row r="31" spans="1:22" ht="17.25" customHeight="1" thickTop="1" thickBot="1">
      <c r="B31" s="228"/>
      <c r="C31" s="10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102"/>
    </row>
    <row r="32" spans="1:22" ht="15.6" thickTop="1" thickBot="1">
      <c r="B32" s="228"/>
      <c r="C32" s="10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102"/>
    </row>
    <row r="33" spans="1:20" ht="15.6" thickTop="1" thickBot="1">
      <c r="B33" s="228"/>
      <c r="C33" s="10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102"/>
    </row>
    <row r="34" spans="1:20" ht="15.6" thickTop="1" thickBot="1">
      <c r="B34" s="228"/>
      <c r="C34" s="104" t="s">
        <v>65</v>
      </c>
      <c r="D34" s="184">
        <f t="shared" ref="D34:L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>
        <f t="shared" si="11"/>
        <v>0</v>
      </c>
      <c r="M34" s="185">
        <f>SUM(M28:M33)</f>
        <v>0</v>
      </c>
      <c r="N34" s="187">
        <f>SUM(N28:N33)</f>
        <v>0</v>
      </c>
      <c r="O34" s="231"/>
      <c r="P34" s="234"/>
      <c r="Q34" s="102"/>
    </row>
    <row r="35" spans="1:20" ht="15.6" thickTop="1" thickBot="1">
      <c r="B35" s="228"/>
      <c r="C35" s="9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SUM(L28:L33)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92"/>
      <c r="T35" s="105">
        <f>$V$3+L11+L19+L27+L35</f>
        <v>78</v>
      </c>
    </row>
    <row r="36" spans="1:20" ht="15.6" thickTop="1" thickBot="1">
      <c r="A36" s="46" t="str">
        <f ca="1">OFFSET('0'!$B$112,($A$1-1)*10,$B36-1)</f>
        <v>SS</v>
      </c>
      <c r="B36" s="228">
        <f ca="1">OFFSET('0'!$B$111,($A$1-1)*10,4)</f>
        <v>5</v>
      </c>
      <c r="C36" s="9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100"/>
    </row>
    <row r="37" spans="1:20" ht="15.6" thickTop="1" thickBot="1">
      <c r="B37" s="228"/>
      <c r="C37" s="10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102"/>
    </row>
    <row r="38" spans="1:20" ht="15.6" thickTop="1" thickBot="1">
      <c r="B38" s="228"/>
      <c r="C38" s="10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102"/>
    </row>
    <row r="39" spans="1:20" ht="15.6" thickTop="1" thickBot="1">
      <c r="B39" s="228"/>
      <c r="C39" s="10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102"/>
    </row>
    <row r="40" spans="1:20" ht="15.6" thickTop="1" thickBot="1">
      <c r="B40" s="228"/>
      <c r="C40" s="10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102"/>
    </row>
    <row r="41" spans="1:20" ht="15.6" thickTop="1" thickBot="1">
      <c r="B41" s="228"/>
      <c r="C41" s="10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102"/>
    </row>
    <row r="42" spans="1:20" ht="15.6" thickTop="1" thickBot="1">
      <c r="B42" s="228"/>
      <c r="C42" s="104" t="s">
        <v>65</v>
      </c>
      <c r="D42" s="184">
        <f t="shared" ref="D42:L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>
        <f t="shared" si="14"/>
        <v>0</v>
      </c>
      <c r="M42" s="185">
        <f>SUM(M36:M41)</f>
        <v>0</v>
      </c>
      <c r="N42" s="196">
        <f>SUM(N36:N41)</f>
        <v>0</v>
      </c>
      <c r="O42" s="231"/>
      <c r="P42" s="234"/>
      <c r="Q42" s="107"/>
    </row>
    <row r="43" spans="1:20" ht="15.6" thickTop="1" thickBot="1">
      <c r="B43" s="228"/>
      <c r="C43" s="9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SUM(L36:L41)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92"/>
      <c r="T43" s="105">
        <f>$V$3+L11+L19+L27+L35+L43</f>
        <v>78</v>
      </c>
    </row>
    <row r="44" spans="1:20" ht="15.6" thickTop="1" thickBot="1">
      <c r="A44" s="46" t="str">
        <f ca="1">OFFSET('0'!$B$112,($A$1-1)*10,$B44-1)</f>
        <v>SK</v>
      </c>
      <c r="B44" s="228">
        <f ca="1">OFFSET('0'!$B$111,($A$1-1)*10,5)</f>
        <v>6</v>
      </c>
      <c r="C44" s="9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100"/>
    </row>
    <row r="45" spans="1:20" ht="15.6" thickTop="1" thickBot="1">
      <c r="B45" s="228"/>
      <c r="C45" s="10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102"/>
    </row>
    <row r="46" spans="1:20" ht="15.6" thickTop="1" thickBot="1">
      <c r="B46" s="228"/>
      <c r="C46" s="10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102"/>
    </row>
    <row r="47" spans="1:20" ht="15.6" thickTop="1" thickBot="1">
      <c r="B47" s="228"/>
      <c r="C47" s="10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102"/>
    </row>
    <row r="48" spans="1:20" ht="15.6" thickTop="1" thickBot="1">
      <c r="B48" s="228"/>
      <c r="C48" s="10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107"/>
    </row>
    <row r="49" spans="1:20" ht="15.6" thickTop="1" thickBot="1">
      <c r="B49" s="228"/>
      <c r="C49" s="10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107"/>
    </row>
    <row r="50" spans="1:20" ht="15.6" thickTop="1" thickBot="1">
      <c r="B50" s="228"/>
      <c r="C50" s="104" t="s">
        <v>65</v>
      </c>
      <c r="D50" s="184">
        <f t="shared" ref="D50:L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>
        <f t="shared" si="17"/>
        <v>0</v>
      </c>
      <c r="M50" s="185">
        <f>SUM(M44:M49)</f>
        <v>0</v>
      </c>
      <c r="N50" s="197">
        <f>SUM(N44:N49)</f>
        <v>0</v>
      </c>
      <c r="O50" s="231"/>
      <c r="P50" s="234"/>
      <c r="Q50" s="107"/>
    </row>
    <row r="51" spans="1:20" ht="15.6" thickTop="1" thickBot="1">
      <c r="B51" s="228"/>
      <c r="C51" s="9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SUM(L44:L49)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95"/>
      <c r="T51" s="105">
        <f>$V$3+L11+L19+L27+L35+L43+L51</f>
        <v>78</v>
      </c>
    </row>
    <row r="52" spans="1:20" ht="15.6" thickTop="1" thickBot="1">
      <c r="A52" s="46" t="str">
        <f ca="1">OFFSET('0'!$B$112,($A$1-1)*10,$B52-1)</f>
        <v>--</v>
      </c>
      <c r="B52" s="228">
        <f ca="1">OFFSET('0'!$B$111,($A$1-1)*10,6)</f>
        <v>7</v>
      </c>
      <c r="C52" s="9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100"/>
    </row>
    <row r="53" spans="1:20" ht="15.6" thickTop="1" thickBot="1">
      <c r="B53" s="228"/>
      <c r="C53" s="10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102"/>
    </row>
    <row r="54" spans="1:20" ht="15.6" thickTop="1" thickBot="1">
      <c r="B54" s="228"/>
      <c r="C54" s="10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102"/>
    </row>
    <row r="55" spans="1:20" ht="15.6" thickTop="1" thickBot="1">
      <c r="B55" s="228"/>
      <c r="C55" s="10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102"/>
    </row>
    <row r="56" spans="1:20" ht="15.6" thickTop="1" thickBot="1">
      <c r="B56" s="228"/>
      <c r="C56" s="10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107"/>
    </row>
    <row r="57" spans="1:20" ht="15.6" thickTop="1" thickBot="1">
      <c r="B57" s="228"/>
      <c r="C57" s="10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107"/>
    </row>
    <row r="58" spans="1:20" ht="15.6" thickTop="1" thickBot="1">
      <c r="B58" s="228"/>
      <c r="C58" s="104" t="s">
        <v>65</v>
      </c>
      <c r="D58" s="184">
        <f t="shared" ref="D58:L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>
        <f t="shared" si="20"/>
        <v>0</v>
      </c>
      <c r="M58" s="185">
        <f>SUM(M52:M57)</f>
        <v>0</v>
      </c>
      <c r="N58" s="197">
        <f>SUM(N52:N57)</f>
        <v>0</v>
      </c>
      <c r="O58" s="231"/>
      <c r="P58" s="234"/>
      <c r="Q58" s="107"/>
    </row>
    <row r="59" spans="1:20" ht="15.6" thickTop="1" thickBot="1">
      <c r="B59" s="228"/>
      <c r="C59" s="9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SUM(L52:L57)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92"/>
      <c r="T59" s="105">
        <f>$V$3+L11+L19+L27+L35+L43+L51+L59</f>
        <v>78</v>
      </c>
    </row>
    <row r="60" spans="1:20" ht="15.6" thickTop="1" thickBot="1">
      <c r="A60" s="46" t="str">
        <f ca="1">OFFSET('0'!$B$112,($A$1-1)*10,$B60-1)</f>
        <v>--</v>
      </c>
      <c r="B60" s="228">
        <f ca="1">OFFSET('0'!$B$111,($A$1-1)*10,7)</f>
        <v>8</v>
      </c>
      <c r="C60" s="9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100"/>
    </row>
    <row r="61" spans="1:20" ht="15.6" thickTop="1" thickBot="1">
      <c r="B61" s="228"/>
      <c r="C61" s="10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102"/>
    </row>
    <row r="62" spans="1:20" ht="15.6" thickTop="1" thickBot="1">
      <c r="B62" s="228"/>
      <c r="C62" s="10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102"/>
    </row>
    <row r="63" spans="1:20" ht="15.6" thickTop="1" thickBot="1">
      <c r="B63" s="228"/>
      <c r="C63" s="10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102"/>
    </row>
    <row r="64" spans="1:20" ht="15.6" thickTop="1" thickBot="1">
      <c r="B64" s="228"/>
      <c r="C64" s="10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107"/>
    </row>
    <row r="65" spans="1:20" ht="15.6" thickTop="1" thickBot="1">
      <c r="B65" s="228"/>
      <c r="C65" s="10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107"/>
    </row>
    <row r="66" spans="1:20" ht="15.6" thickTop="1" thickBot="1">
      <c r="B66" s="228"/>
      <c r="C66" s="104" t="s">
        <v>65</v>
      </c>
      <c r="D66" s="184">
        <f t="shared" ref="D66:L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>
        <f t="shared" si="23"/>
        <v>0</v>
      </c>
      <c r="M66" s="185">
        <f>SUM(M60:M65)</f>
        <v>0</v>
      </c>
      <c r="N66" s="197">
        <f>SUM(N60:N65)</f>
        <v>0</v>
      </c>
      <c r="O66" s="231"/>
      <c r="P66" s="234"/>
      <c r="Q66" s="107"/>
    </row>
    <row r="67" spans="1:20" ht="15.6" thickTop="1" thickBot="1">
      <c r="B67" s="228"/>
      <c r="C67" s="9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SUM(L60:L65)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92"/>
      <c r="T67" s="105">
        <f>$V$3+L11+L19+L27+L35+L43+L51+L59+L67</f>
        <v>78</v>
      </c>
    </row>
    <row r="68" spans="1:20" ht="15.6" thickTop="1" thickBot="1">
      <c r="A68" s="46" t="str">
        <f ca="1">OFFSET('0'!$B$112,($A$1-1)*10,$B68-1)</f>
        <v>--</v>
      </c>
      <c r="B68" s="228">
        <f ca="1">OFFSET('0'!$B$111,($A$1-1)*10,8)</f>
        <v>9</v>
      </c>
      <c r="C68" s="9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100"/>
    </row>
    <row r="69" spans="1:20" ht="15.6" thickTop="1" thickBot="1">
      <c r="B69" s="228"/>
      <c r="C69" s="10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102"/>
    </row>
    <row r="70" spans="1:20" ht="15.6" thickTop="1" thickBot="1">
      <c r="B70" s="228"/>
      <c r="C70" s="10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102"/>
    </row>
    <row r="71" spans="1:20" ht="15.6" thickTop="1" thickBot="1">
      <c r="B71" s="228"/>
      <c r="C71" s="10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102"/>
    </row>
    <row r="72" spans="1:20" ht="15.6" thickTop="1" thickBot="1">
      <c r="B72" s="228"/>
      <c r="C72" s="10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102"/>
    </row>
    <row r="73" spans="1:20" ht="15.6" thickTop="1" thickBot="1">
      <c r="B73" s="228"/>
      <c r="C73" s="10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102"/>
    </row>
    <row r="74" spans="1:20" ht="15.6" thickTop="1" thickBot="1">
      <c r="B74" s="228"/>
      <c r="C74" s="104" t="s">
        <v>65</v>
      </c>
      <c r="D74" s="184">
        <f t="shared" ref="D74:L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>
        <f t="shared" si="26"/>
        <v>0</v>
      </c>
      <c r="M74" s="185">
        <f>SUM(M68:M73)</f>
        <v>0</v>
      </c>
      <c r="N74" s="187">
        <f>SUM(N68:N73)</f>
        <v>0</v>
      </c>
      <c r="O74" s="231"/>
      <c r="P74" s="234"/>
      <c r="Q74" s="102"/>
    </row>
    <row r="75" spans="1:20" ht="15.6" thickTop="1" thickBot="1">
      <c r="B75" s="228"/>
      <c r="C75" s="9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SUM(L68:L73)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92"/>
      <c r="T75" s="105">
        <f>$V$3+L11+L19+L27+L35+L43+L51+L59+L67+L75</f>
        <v>78</v>
      </c>
    </row>
    <row r="76" spans="1:20" ht="15.6" thickTop="1" thickBot="1">
      <c r="A76" s="46" t="str">
        <f ca="1">OFFSET('0'!$B$112,($A$1-1)*10,$B76-1)</f>
        <v>--</v>
      </c>
      <c r="B76" s="228">
        <f ca="1">OFFSET('0'!$B$111,($A$1-1)*10,9)</f>
        <v>10</v>
      </c>
      <c r="C76" s="9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100"/>
    </row>
    <row r="77" spans="1:20" ht="15.6" thickTop="1" thickBot="1">
      <c r="B77" s="228"/>
      <c r="C77" s="10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102"/>
    </row>
    <row r="78" spans="1:20" ht="15.6" thickTop="1" thickBot="1">
      <c r="B78" s="228"/>
      <c r="C78" s="10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102"/>
    </row>
    <row r="79" spans="1:20" ht="15.6" thickTop="1" thickBot="1">
      <c r="B79" s="228"/>
      <c r="C79" s="10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102"/>
    </row>
    <row r="80" spans="1:20" ht="15.6" thickTop="1" thickBot="1">
      <c r="B80" s="228"/>
      <c r="C80" s="10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102"/>
    </row>
    <row r="81" spans="1:20" ht="15.6" thickTop="1" thickBot="1">
      <c r="B81" s="228"/>
      <c r="C81" s="10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102"/>
    </row>
    <row r="82" spans="1:20" ht="15.6" thickTop="1" thickBot="1">
      <c r="B82" s="228"/>
      <c r="C82" s="104" t="s">
        <v>65</v>
      </c>
      <c r="D82" s="184">
        <f t="shared" ref="D82:L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>
        <f t="shared" si="29"/>
        <v>0</v>
      </c>
      <c r="M82" s="185">
        <f>SUM(M76:M81)</f>
        <v>0</v>
      </c>
      <c r="N82" s="187">
        <f>SUM(N76:N81)</f>
        <v>0</v>
      </c>
      <c r="O82" s="231"/>
      <c r="P82" s="234"/>
      <c r="Q82" s="102"/>
    </row>
    <row r="83" spans="1:20" ht="15.6" thickTop="1" thickBot="1">
      <c r="B83" s="228"/>
      <c r="C83" s="9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SUM(L76:L81)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92"/>
      <c r="T83" s="105">
        <f>$V$3+L11+L19+L27+L35+L43+L51+L59+L67+L75+L83</f>
        <v>78</v>
      </c>
    </row>
    <row r="84" spans="1:20" ht="15.6" thickTop="1" thickBot="1">
      <c r="A84" s="46" t="str">
        <f ca="1">OFFSET('0'!$B$112,($A$1-1)*10,$B84-1)</f>
        <v>--</v>
      </c>
      <c r="B84" s="228">
        <f ca="1">OFFSET('0'!$B$111,($A$1-1)*10,10)</f>
        <v>11</v>
      </c>
      <c r="C84" s="9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100"/>
    </row>
    <row r="85" spans="1:20" ht="15.6" thickTop="1" thickBot="1">
      <c r="B85" s="228"/>
      <c r="C85" s="10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102"/>
    </row>
    <row r="86" spans="1:20" ht="15.6" thickTop="1" thickBot="1">
      <c r="B86" s="228"/>
      <c r="C86" s="10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102"/>
    </row>
    <row r="87" spans="1:20" ht="15.6" thickTop="1" thickBot="1">
      <c r="B87" s="228"/>
      <c r="C87" s="10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102"/>
    </row>
    <row r="88" spans="1:20" ht="15.6" thickTop="1" thickBot="1">
      <c r="B88" s="228"/>
      <c r="C88" s="10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102"/>
    </row>
    <row r="89" spans="1:20" ht="15.6" thickTop="1" thickBot="1">
      <c r="B89" s="228"/>
      <c r="C89" s="10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102"/>
    </row>
    <row r="90" spans="1:20" ht="15.6" thickTop="1" thickBot="1">
      <c r="B90" s="228"/>
      <c r="C90" s="104" t="s">
        <v>65</v>
      </c>
      <c r="D90" s="184">
        <f t="shared" ref="D90:L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>
        <f t="shared" si="32"/>
        <v>0</v>
      </c>
      <c r="M90" s="185">
        <f>SUM(M84:M89)</f>
        <v>0</v>
      </c>
      <c r="N90" s="187">
        <f>SUM(N84:N89)</f>
        <v>0</v>
      </c>
      <c r="O90" s="231"/>
      <c r="P90" s="234"/>
      <c r="Q90" s="102"/>
    </row>
    <row r="91" spans="1:20" ht="15.6" thickTop="1" thickBot="1">
      <c r="B91" s="228"/>
      <c r="C91" s="9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SUM(L84:L89)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92"/>
      <c r="T91" s="105">
        <f>$V$3+L11+L19+L27+L35+L43+L51+L59+L67+L75+L83+L91</f>
        <v>78</v>
      </c>
    </row>
    <row r="92" spans="1:20" ht="15.6" thickTop="1" thickBot="1">
      <c r="A92" s="46" t="str">
        <f ca="1">OFFSET('0'!$B$112,($A$1-1)*10,$B92-1)</f>
        <v>SS</v>
      </c>
      <c r="B92" s="228">
        <f ca="1">OFFSET('0'!$B$111,($A$1-1)*10,11)</f>
        <v>12</v>
      </c>
      <c r="C92" s="9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100"/>
    </row>
    <row r="93" spans="1:20" ht="15.6" thickTop="1" thickBot="1">
      <c r="B93" s="228"/>
      <c r="C93" s="10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102"/>
    </row>
    <row r="94" spans="1:20" ht="15.6" thickTop="1" thickBot="1">
      <c r="B94" s="228"/>
      <c r="C94" s="10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102"/>
    </row>
    <row r="95" spans="1:20" ht="15.6" thickTop="1" thickBot="1">
      <c r="B95" s="228"/>
      <c r="C95" s="10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102"/>
    </row>
    <row r="96" spans="1:20" ht="15.6" thickTop="1" thickBot="1">
      <c r="B96" s="228"/>
      <c r="C96" s="10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102"/>
    </row>
    <row r="97" spans="1:20" ht="15.6" thickTop="1" thickBot="1">
      <c r="B97" s="228"/>
      <c r="C97" s="10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102"/>
    </row>
    <row r="98" spans="1:20" ht="15.6" thickTop="1" thickBot="1">
      <c r="B98" s="228"/>
      <c r="C98" s="104" t="s">
        <v>65</v>
      </c>
      <c r="D98" s="184">
        <f t="shared" ref="D98:L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>
        <f t="shared" si="35"/>
        <v>0</v>
      </c>
      <c r="M98" s="185">
        <f>SUM(M92:M97)</f>
        <v>0</v>
      </c>
      <c r="N98" s="187">
        <f>SUM(N92:N97)</f>
        <v>0</v>
      </c>
      <c r="O98" s="231"/>
      <c r="P98" s="234"/>
      <c r="Q98" s="102"/>
    </row>
    <row r="99" spans="1:20" ht="15.6" thickTop="1" thickBot="1">
      <c r="B99" s="228"/>
      <c r="C99" s="9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SUM(L92:L97)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92"/>
      <c r="T99" s="105">
        <f>$V$3+L11+L19+L27+L35+L43+L51+L59+L67+L75+L83+L91+L99</f>
        <v>78</v>
      </c>
    </row>
    <row r="100" spans="1:20" ht="15.6" thickTop="1" thickBot="1">
      <c r="A100" s="46" t="str">
        <f ca="1">OFFSET('0'!$B$112,($A$1-1)*10,$B100-1)</f>
        <v>SK</v>
      </c>
      <c r="B100" s="228">
        <f ca="1">OFFSET('0'!$B$111,($A$1-1)*10,12)</f>
        <v>13</v>
      </c>
      <c r="C100" s="9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100"/>
    </row>
    <row r="101" spans="1:20" ht="15.6" thickTop="1" thickBot="1">
      <c r="B101" s="228"/>
      <c r="C101" s="10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102"/>
    </row>
    <row r="102" spans="1:20" ht="15.6" thickTop="1" thickBot="1">
      <c r="B102" s="228"/>
      <c r="C102" s="10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102"/>
    </row>
    <row r="103" spans="1:20" ht="15.6" thickTop="1" thickBot="1">
      <c r="B103" s="228"/>
      <c r="C103" s="10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102"/>
    </row>
    <row r="104" spans="1:20" ht="15.6" thickTop="1" thickBot="1">
      <c r="B104" s="228"/>
      <c r="C104" s="10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102"/>
    </row>
    <row r="105" spans="1:20" ht="15.6" thickTop="1" thickBot="1">
      <c r="B105" s="228"/>
      <c r="C105" s="10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102"/>
    </row>
    <row r="106" spans="1:20" ht="15.6" thickTop="1" thickBot="1">
      <c r="B106" s="228"/>
      <c r="C106" s="108" t="s">
        <v>65</v>
      </c>
      <c r="D106" s="184">
        <f t="shared" ref="D106:L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>
        <f t="shared" si="38"/>
        <v>0</v>
      </c>
      <c r="M106" s="185">
        <f>SUM(M100:M105)</f>
        <v>0</v>
      </c>
      <c r="N106" s="187">
        <f>SUM(N100:N105)</f>
        <v>0</v>
      </c>
      <c r="O106" s="231"/>
      <c r="P106" s="234"/>
      <c r="Q106" s="102"/>
    </row>
    <row r="107" spans="1:20" ht="15.6" thickTop="1" thickBot="1">
      <c r="B107" s="228"/>
      <c r="C107" s="9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SUM(L100:L105)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92"/>
      <c r="T107" s="105">
        <f>$V$3+L11+L19+L27+L35+L43+L51+L59+L67+L75+L83+L91+L99+L107</f>
        <v>78</v>
      </c>
    </row>
    <row r="108" spans="1:20" ht="15.6" thickTop="1" thickBot="1">
      <c r="A108" s="46" t="str">
        <f ca="1">OFFSET('0'!$B$112,($A$1-1)*10,$B108-1)</f>
        <v>--</v>
      </c>
      <c r="B108" s="228">
        <f ca="1">OFFSET('0'!$B$111,($A$1-1)*10,13)</f>
        <v>14</v>
      </c>
      <c r="C108" s="9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100"/>
    </row>
    <row r="109" spans="1:20" ht="15.6" thickTop="1" thickBot="1">
      <c r="B109" s="228"/>
      <c r="C109" s="10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102"/>
    </row>
    <row r="110" spans="1:20" ht="15.6" thickTop="1" thickBot="1">
      <c r="B110" s="228"/>
      <c r="C110" s="10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102"/>
    </row>
    <row r="111" spans="1:20" ht="15.6" thickTop="1" thickBot="1">
      <c r="B111" s="228"/>
      <c r="C111" s="10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102"/>
    </row>
    <row r="112" spans="1:20" ht="15.6" thickTop="1" thickBot="1">
      <c r="B112" s="228"/>
      <c r="C112" s="10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102"/>
    </row>
    <row r="113" spans="1:22" ht="15.6" thickTop="1" thickBot="1">
      <c r="B113" s="228"/>
      <c r="C113" s="10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102"/>
    </row>
    <row r="114" spans="1:22" ht="15.6" thickTop="1" thickBot="1">
      <c r="B114" s="228"/>
      <c r="C114" s="104" t="s">
        <v>65</v>
      </c>
      <c r="D114" s="184">
        <f t="shared" ref="D114:L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>
        <f t="shared" si="41"/>
        <v>0</v>
      </c>
      <c r="M114" s="185">
        <f>SUM(M108:M113)</f>
        <v>0</v>
      </c>
      <c r="N114" s="187">
        <f>SUM(N108:N113)</f>
        <v>0</v>
      </c>
      <c r="O114" s="231"/>
      <c r="P114" s="234"/>
      <c r="Q114" s="102"/>
    </row>
    <row r="115" spans="1:22" ht="15.6" thickTop="1" thickBot="1">
      <c r="B115" s="228"/>
      <c r="C115" s="9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SUM(L108:L113)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92"/>
      <c r="S115" s="96"/>
      <c r="T115" s="105">
        <f>$V$3+L11+L19+L27+L35+L43+L51+L59+L67+L75+L83+L91+L99+L107+L115</f>
        <v>78</v>
      </c>
    </row>
    <row r="116" spans="1:22" ht="15.6" thickTop="1" thickBot="1">
      <c r="A116" s="46" t="str">
        <f ca="1">OFFSET('0'!$B$112,($A$1-1)*10,$B116-1)</f>
        <v>--</v>
      </c>
      <c r="B116" s="228">
        <f ca="1">OFFSET('0'!$B$111,($A$1-1)*10,14)</f>
        <v>15</v>
      </c>
      <c r="C116" s="9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100"/>
    </row>
    <row r="117" spans="1:22" ht="15.6" thickTop="1" thickBot="1">
      <c r="B117" s="228"/>
      <c r="C117" s="10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102"/>
    </row>
    <row r="118" spans="1:22" ht="15.6" thickTop="1" thickBot="1">
      <c r="B118" s="228"/>
      <c r="C118" s="10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102"/>
      <c r="S118" s="96"/>
    </row>
    <row r="119" spans="1:22" ht="15.6" thickTop="1" thickBot="1">
      <c r="B119" s="228"/>
      <c r="C119" s="10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102"/>
      <c r="S119" s="96"/>
    </row>
    <row r="120" spans="1:22" ht="15.6" thickTop="1" thickBot="1">
      <c r="B120" s="228"/>
      <c r="C120" s="10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102"/>
      <c r="S120" s="96"/>
    </row>
    <row r="121" spans="1:22" ht="15.6" thickTop="1" thickBot="1">
      <c r="B121" s="228"/>
      <c r="C121" s="10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102"/>
      <c r="S121" s="96"/>
    </row>
    <row r="122" spans="1:22" ht="15.6" thickTop="1" thickBot="1">
      <c r="B122" s="228"/>
      <c r="C122" s="104" t="s">
        <v>65</v>
      </c>
      <c r="D122" s="184">
        <f t="shared" ref="D122:L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>
        <f t="shared" si="44"/>
        <v>0</v>
      </c>
      <c r="M122" s="185">
        <f>SUM(M116:M121)</f>
        <v>0</v>
      </c>
      <c r="N122" s="187">
        <f>SUM(N116:N121)</f>
        <v>0</v>
      </c>
      <c r="O122" s="231"/>
      <c r="P122" s="234"/>
      <c r="Q122" s="102"/>
      <c r="S122" s="96"/>
    </row>
    <row r="123" spans="1:22" ht="15.6" thickTop="1" thickBot="1">
      <c r="B123" s="228"/>
      <c r="C123" s="9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SUM(L116:L121)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95"/>
      <c r="T123" s="105">
        <f>$V$3+L11+L19+L27+L35+L43+L51+L59+L67+L75+L83+L91+L99+L107+L115+L123</f>
        <v>78</v>
      </c>
      <c r="U123" s="96"/>
    </row>
    <row r="124" spans="1:22" ht="15.6" thickTop="1" thickBot="1">
      <c r="A124" s="46" t="str">
        <f ca="1">OFFSET('0'!$B$112,($A$1-1)*10,$B124-1)</f>
        <v>--</v>
      </c>
      <c r="B124" s="228">
        <f ca="1">OFFSET('0'!$B$111,($A$1-1)*10,15)</f>
        <v>16</v>
      </c>
      <c r="C124" s="9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100"/>
      <c r="V124" s="96"/>
    </row>
    <row r="125" spans="1:22" ht="15.6" thickTop="1" thickBot="1">
      <c r="B125" s="228"/>
      <c r="C125" s="10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102"/>
    </row>
    <row r="126" spans="1:22" ht="15.6" thickTop="1" thickBot="1">
      <c r="B126" s="228"/>
      <c r="C126" s="10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102"/>
    </row>
    <row r="127" spans="1:22" ht="15.6" thickTop="1" thickBot="1">
      <c r="B127" s="228"/>
      <c r="C127" s="10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102"/>
    </row>
    <row r="128" spans="1:22" ht="15.6" thickTop="1" thickBot="1">
      <c r="B128" s="228"/>
      <c r="C128" s="10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102"/>
    </row>
    <row r="129" spans="1:20" ht="15.6" thickTop="1" thickBot="1">
      <c r="B129" s="228"/>
      <c r="C129" s="10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102"/>
    </row>
    <row r="130" spans="1:20" ht="15.6" thickTop="1" thickBot="1">
      <c r="B130" s="228"/>
      <c r="C130" s="104" t="s">
        <v>65</v>
      </c>
      <c r="D130" s="184">
        <f t="shared" ref="D130:L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>
        <f t="shared" si="47"/>
        <v>0</v>
      </c>
      <c r="M130" s="185">
        <f>SUM(M124:M129)</f>
        <v>0</v>
      </c>
      <c r="N130" s="187">
        <f>SUM(N124:N129)</f>
        <v>0</v>
      </c>
      <c r="O130" s="231"/>
      <c r="P130" s="234"/>
      <c r="Q130" s="102"/>
      <c r="S130" s="97"/>
    </row>
    <row r="131" spans="1:20" ht="15.6" thickTop="1" thickBot="1">
      <c r="B131" s="228"/>
      <c r="C131" s="9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SUM(L124:L129)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92"/>
      <c r="S131" s="96"/>
      <c r="T131" s="105">
        <f>$V$3+L11+L19+L27+L35+L43+L51+L59+L67+L75+L83+L91+L99+L107+L115+L123+L131</f>
        <v>78</v>
      </c>
    </row>
    <row r="132" spans="1:20" ht="15.6" thickTop="1" thickBot="1">
      <c r="A132" s="46" t="str">
        <f ca="1">OFFSET('0'!$B$112,($A$1-1)*10,$B132-1)</f>
        <v>--</v>
      </c>
      <c r="B132" s="228">
        <f ca="1">OFFSET('0'!$B$111,($A$1-1)*10,16)</f>
        <v>17</v>
      </c>
      <c r="C132" s="9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100"/>
    </row>
    <row r="133" spans="1:20" ht="15.6" thickTop="1" thickBot="1">
      <c r="B133" s="228"/>
      <c r="C133" s="10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106"/>
    </row>
    <row r="134" spans="1:20" ht="15.6" thickTop="1" thickBot="1">
      <c r="B134" s="228"/>
      <c r="C134" s="10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102"/>
    </row>
    <row r="135" spans="1:20" ht="15.6" thickTop="1" thickBot="1">
      <c r="B135" s="228"/>
      <c r="C135" s="10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102"/>
    </row>
    <row r="136" spans="1:20" ht="15.6" thickTop="1" thickBot="1">
      <c r="B136" s="228"/>
      <c r="C136" s="10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102"/>
    </row>
    <row r="137" spans="1:20" ht="15.6" thickTop="1" thickBot="1">
      <c r="B137" s="228"/>
      <c r="C137" s="10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107"/>
    </row>
    <row r="138" spans="1:20" ht="15.6" thickTop="1" thickBot="1">
      <c r="B138" s="228"/>
      <c r="C138" s="104" t="s">
        <v>65</v>
      </c>
      <c r="D138" s="184">
        <f t="shared" ref="D138:L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>
        <f t="shared" si="50"/>
        <v>0</v>
      </c>
      <c r="M138" s="185">
        <f>SUM(M132:M137)</f>
        <v>0</v>
      </c>
      <c r="N138" s="197">
        <f>SUM(N132:N137)</f>
        <v>0</v>
      </c>
      <c r="O138" s="231"/>
      <c r="P138" s="234"/>
      <c r="Q138" s="107"/>
    </row>
    <row r="139" spans="1:20" ht="15.6" thickTop="1" thickBot="1">
      <c r="B139" s="228"/>
      <c r="C139" s="9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SUM(L132:L137)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92"/>
      <c r="T139" s="105">
        <f>$V$3+L11+L19+L27+L35+L43+L51+L59+L67+L75+L83+L91+L99+L107+L115+L123+L131+L139</f>
        <v>78</v>
      </c>
    </row>
    <row r="140" spans="1:20" ht="15.6" thickTop="1" thickBot="1">
      <c r="A140" s="46" t="str">
        <f ca="1">OFFSET('0'!$B$112,($A$1-1)*10,$B140-1)</f>
        <v>--</v>
      </c>
      <c r="B140" s="228">
        <f ca="1">OFFSET('0'!$B$111,($A$1-1)*10,17)</f>
        <v>18</v>
      </c>
      <c r="C140" s="9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100"/>
    </row>
    <row r="141" spans="1:20" ht="15.6" thickTop="1" thickBot="1">
      <c r="B141" s="228"/>
      <c r="C141" s="10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106"/>
    </row>
    <row r="142" spans="1:20" ht="15.6" thickTop="1" thickBot="1">
      <c r="B142" s="228"/>
      <c r="C142" s="10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106"/>
    </row>
    <row r="143" spans="1:20" ht="15.6" thickTop="1" thickBot="1">
      <c r="B143" s="228"/>
      <c r="C143" s="10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102"/>
    </row>
    <row r="144" spans="1:20" s="86" customFormat="1" ht="15.6" thickTop="1" thickBot="1">
      <c r="A144" s="138"/>
      <c r="B144" s="228"/>
      <c r="C144" s="10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102"/>
    </row>
    <row r="145" spans="1:20" s="86" customFormat="1" ht="15.6" thickTop="1" thickBot="1">
      <c r="A145" s="138"/>
      <c r="B145" s="228"/>
      <c r="C145" s="10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102"/>
    </row>
    <row r="146" spans="1:20" ht="15.6" thickTop="1" thickBot="1">
      <c r="B146" s="228"/>
      <c r="C146" s="104" t="s">
        <v>65</v>
      </c>
      <c r="D146" s="184">
        <f t="shared" ref="D146:L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>
        <f t="shared" si="53"/>
        <v>0</v>
      </c>
      <c r="M146" s="185">
        <f>SUM(M140:M145)</f>
        <v>0</v>
      </c>
      <c r="N146" s="187">
        <f>SUM(N140:N145)</f>
        <v>0</v>
      </c>
      <c r="O146" s="231"/>
      <c r="P146" s="234"/>
      <c r="Q146" s="102"/>
    </row>
    <row r="147" spans="1:20" ht="15.6" thickTop="1" thickBot="1">
      <c r="B147" s="228"/>
      <c r="C147" s="9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SUM(L140:L145)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92"/>
      <c r="T147" s="105">
        <f>$V$3+L11+L19+L27+L35+L43+L51+L59+L67+L75+L83+L91+L99+L107+L115+L123+L131+L139+L147</f>
        <v>78</v>
      </c>
    </row>
    <row r="148" spans="1:20" ht="15.6" thickTop="1" thickBot="1">
      <c r="A148" s="46" t="str">
        <f ca="1">OFFSET('0'!$B$112,($A$1-1)*10,$B148-1)</f>
        <v>SS</v>
      </c>
      <c r="B148" s="228">
        <f ca="1">OFFSET('0'!$B$111,($A$1-1)*10,18)</f>
        <v>19</v>
      </c>
      <c r="C148" s="9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100"/>
    </row>
    <row r="149" spans="1:20" s="86" customFormat="1" ht="15.6" thickTop="1" thickBot="1">
      <c r="A149" s="138"/>
      <c r="B149" s="228"/>
      <c r="C149" s="10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106"/>
    </row>
    <row r="150" spans="1:20" ht="15.6" thickTop="1" thickBot="1">
      <c r="B150" s="228"/>
      <c r="C150" s="10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106"/>
    </row>
    <row r="151" spans="1:20" ht="15.6" thickTop="1" thickBot="1">
      <c r="B151" s="228"/>
      <c r="C151" s="10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102"/>
    </row>
    <row r="152" spans="1:20" ht="15.6" thickTop="1" thickBot="1">
      <c r="B152" s="228"/>
      <c r="C152" s="10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102"/>
    </row>
    <row r="153" spans="1:20" ht="15.6" thickTop="1" thickBot="1">
      <c r="B153" s="228"/>
      <c r="C153" s="10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102"/>
    </row>
    <row r="154" spans="1:20" ht="15.6" thickTop="1" thickBot="1">
      <c r="B154" s="228"/>
      <c r="C154" s="104" t="s">
        <v>65</v>
      </c>
      <c r="D154" s="184">
        <f t="shared" ref="D154:L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>
        <f t="shared" si="56"/>
        <v>0</v>
      </c>
      <c r="M154" s="185">
        <f>SUM(M148:M153)</f>
        <v>0</v>
      </c>
      <c r="N154" s="187">
        <f>SUM(N148:N153)</f>
        <v>0</v>
      </c>
      <c r="O154" s="231"/>
      <c r="P154" s="234"/>
      <c r="Q154" s="102"/>
    </row>
    <row r="155" spans="1:20" ht="15.6" thickTop="1" thickBot="1">
      <c r="B155" s="228"/>
      <c r="C155" s="9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SUM(L148:L153)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92"/>
      <c r="T155" s="105">
        <f>$V$3+L11+L19+L27+L35+L43+L51+L59+L67+L75+L83+L91+L99+L107+L115+L123+L131+L139+L147+L155</f>
        <v>78</v>
      </c>
    </row>
    <row r="156" spans="1:20" ht="15.6" thickTop="1" thickBot="1">
      <c r="A156" s="46" t="str">
        <f ca="1">OFFSET('0'!$B$112,($A$1-1)*10,$B156-1)</f>
        <v>SK</v>
      </c>
      <c r="B156" s="228">
        <f ca="1">OFFSET('0'!$B$111,($A$1-1)*10,19)</f>
        <v>20</v>
      </c>
      <c r="C156" s="9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100"/>
    </row>
    <row r="157" spans="1:20" ht="15.6" thickTop="1" thickBot="1">
      <c r="B157" s="228"/>
      <c r="C157" s="10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106"/>
    </row>
    <row r="158" spans="1:20" s="86" customFormat="1" ht="15.6" thickTop="1" thickBot="1">
      <c r="A158" s="138"/>
      <c r="B158" s="228"/>
      <c r="C158" s="10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106"/>
    </row>
    <row r="159" spans="1:20" ht="15.6" thickTop="1" thickBot="1">
      <c r="B159" s="228"/>
      <c r="C159" s="10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102"/>
    </row>
    <row r="160" spans="1:20" ht="15.6" thickTop="1" thickBot="1">
      <c r="B160" s="228"/>
      <c r="C160" s="10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102"/>
    </row>
    <row r="161" spans="1:20" ht="15.6" thickTop="1" thickBot="1">
      <c r="B161" s="228"/>
      <c r="C161" s="10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102"/>
    </row>
    <row r="162" spans="1:20" ht="15.6" thickTop="1" thickBot="1">
      <c r="B162" s="228"/>
      <c r="C162" s="104" t="s">
        <v>65</v>
      </c>
      <c r="D162" s="184">
        <f t="shared" ref="D162:L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>
        <f t="shared" si="59"/>
        <v>0</v>
      </c>
      <c r="M162" s="185">
        <f>SUM(M156:M161)</f>
        <v>0</v>
      </c>
      <c r="N162" s="187">
        <f>SUM(N156:N161)</f>
        <v>0</v>
      </c>
      <c r="O162" s="231"/>
      <c r="P162" s="234"/>
      <c r="Q162" s="102"/>
    </row>
    <row r="163" spans="1:20" ht="15.6" thickTop="1" thickBot="1">
      <c r="B163" s="228"/>
      <c r="C163" s="9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SUM(L156:L161)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92"/>
      <c r="T163" s="105">
        <f>$V$3+L11+L19+L27+L35+L43+L51+L59+L67+L75+L83+L91+L99+L107+L115+L123+L131+L139+L147+L155+L163</f>
        <v>78</v>
      </c>
    </row>
    <row r="164" spans="1:20" ht="15.6" thickTop="1" thickBot="1">
      <c r="A164" s="46" t="str">
        <f ca="1">OFFSET('0'!$B$112,($A$1-1)*10,$B164-1)</f>
        <v>--</v>
      </c>
      <c r="B164" s="228">
        <f ca="1">OFFSET('0'!$B$111,($A$1-1)*10,20)</f>
        <v>21</v>
      </c>
      <c r="C164" s="9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100"/>
    </row>
    <row r="165" spans="1:20" ht="15.6" thickTop="1" thickBot="1">
      <c r="B165" s="228"/>
      <c r="C165" s="10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106"/>
    </row>
    <row r="166" spans="1:20" s="86" customFormat="1" ht="15.6" thickTop="1" thickBot="1">
      <c r="A166" s="138"/>
      <c r="B166" s="228"/>
      <c r="C166" s="10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106"/>
    </row>
    <row r="167" spans="1:20" ht="15.6" thickTop="1" thickBot="1">
      <c r="B167" s="228"/>
      <c r="C167" s="10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102"/>
    </row>
    <row r="168" spans="1:20" ht="15.6" thickTop="1" thickBot="1">
      <c r="B168" s="228"/>
      <c r="C168" s="10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102"/>
    </row>
    <row r="169" spans="1:20" ht="15.6" thickTop="1" thickBot="1">
      <c r="B169" s="228"/>
      <c r="C169" s="10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102"/>
    </row>
    <row r="170" spans="1:20" ht="15.6" thickTop="1" thickBot="1">
      <c r="B170" s="228"/>
      <c r="C170" s="104" t="s">
        <v>65</v>
      </c>
      <c r="D170" s="184">
        <f t="shared" ref="D170:L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>
        <f t="shared" si="62"/>
        <v>0</v>
      </c>
      <c r="M170" s="185">
        <f>SUM(M164:M169)</f>
        <v>0</v>
      </c>
      <c r="N170" s="187">
        <f>SUM(N164:N169)</f>
        <v>0</v>
      </c>
      <c r="O170" s="231"/>
      <c r="P170" s="234"/>
      <c r="Q170" s="102"/>
    </row>
    <row r="171" spans="1:20" ht="15.6" thickTop="1" thickBot="1">
      <c r="B171" s="228"/>
      <c r="C171" s="9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SUM(L164:L169)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92"/>
      <c r="T171" s="105">
        <f>$V$3+L11+L19+L27+L35+L43+L51+L59+L67+L75+L83+L91+L99+L107+L115+L123+L131+L139+L147+L155+L163+L171</f>
        <v>78</v>
      </c>
    </row>
    <row r="172" spans="1:20" ht="15.6" thickTop="1" thickBot="1">
      <c r="A172" s="46" t="str">
        <f ca="1">OFFSET('0'!$B$112,($A$1-1)*10,$B172-1)</f>
        <v>--</v>
      </c>
      <c r="B172" s="228">
        <f ca="1">OFFSET('0'!$B$111,($A$1-1)*10,21)</f>
        <v>22</v>
      </c>
      <c r="C172" s="9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100"/>
    </row>
    <row r="173" spans="1:20" ht="15.6" thickTop="1" thickBot="1">
      <c r="B173" s="228"/>
      <c r="C173" s="10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102"/>
    </row>
    <row r="174" spans="1:20" s="86" customFormat="1" ht="15.6" thickTop="1" thickBot="1">
      <c r="A174" s="138"/>
      <c r="B174" s="228"/>
      <c r="C174" s="10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102"/>
    </row>
    <row r="175" spans="1:20" ht="15.6" thickTop="1" thickBot="1">
      <c r="B175" s="228"/>
      <c r="C175" s="10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102"/>
    </row>
    <row r="176" spans="1:20" ht="15.6" thickTop="1" thickBot="1">
      <c r="B176" s="228"/>
      <c r="C176" s="10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102"/>
    </row>
    <row r="177" spans="1:20" ht="15.6" thickTop="1" thickBot="1">
      <c r="B177" s="228"/>
      <c r="C177" s="10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102"/>
    </row>
    <row r="178" spans="1:20" ht="15.6" thickTop="1" thickBot="1">
      <c r="B178" s="228"/>
      <c r="C178" s="104" t="s">
        <v>65</v>
      </c>
      <c r="D178" s="184">
        <f t="shared" ref="D178:L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>
        <f t="shared" si="65"/>
        <v>0</v>
      </c>
      <c r="M178" s="185">
        <f>SUM(M172:M177)</f>
        <v>0</v>
      </c>
      <c r="N178" s="187">
        <f>SUM(N172:N177)</f>
        <v>0</v>
      </c>
      <c r="O178" s="231"/>
      <c r="P178" s="234"/>
      <c r="Q178" s="102"/>
    </row>
    <row r="179" spans="1:20" ht="15.6" thickTop="1" thickBot="1">
      <c r="B179" s="228"/>
      <c r="C179" s="9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SUM(L172:L177)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92"/>
      <c r="T179" s="105">
        <f>$V$3+L11+L19+L27+L35+L43+L51+L59+L67+L75+L83+L91+L99+L107+L115+L123+L131+L139+L147+L155+L163+L171+L179</f>
        <v>78</v>
      </c>
    </row>
    <row r="180" spans="1:20" ht="15.6" thickTop="1" thickBot="1">
      <c r="A180" s="46" t="str">
        <f ca="1">OFFSET('0'!$B$112,($A$1-1)*10,$B180-1)</f>
        <v>--</v>
      </c>
      <c r="B180" s="228">
        <f ca="1">OFFSET('0'!$B$111,($A$1-1)*10,22)</f>
        <v>23</v>
      </c>
      <c r="C180" s="9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100"/>
    </row>
    <row r="181" spans="1:20" s="86" customFormat="1" ht="15.6" thickTop="1" thickBot="1">
      <c r="A181" s="138"/>
      <c r="B181" s="228"/>
      <c r="C181" s="10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106"/>
    </row>
    <row r="182" spans="1:20" ht="15.6" thickTop="1" thickBot="1">
      <c r="B182" s="228"/>
      <c r="C182" s="10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102"/>
    </row>
    <row r="183" spans="1:20" ht="15.6" thickTop="1" thickBot="1">
      <c r="B183" s="228"/>
      <c r="C183" s="10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102"/>
    </row>
    <row r="184" spans="1:20" ht="15.6" thickTop="1" thickBot="1">
      <c r="B184" s="228"/>
      <c r="C184" s="10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102"/>
    </row>
    <row r="185" spans="1:20" ht="15.6" thickTop="1" thickBot="1">
      <c r="B185" s="228"/>
      <c r="C185" s="10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102"/>
    </row>
    <row r="186" spans="1:20" ht="15.6" thickTop="1" thickBot="1">
      <c r="B186" s="228"/>
      <c r="C186" s="104" t="s">
        <v>65</v>
      </c>
      <c r="D186" s="184">
        <f t="shared" ref="D186:L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>
        <f t="shared" si="68"/>
        <v>0</v>
      </c>
      <c r="M186" s="185">
        <f>SUM(M180:M185)</f>
        <v>0</v>
      </c>
      <c r="N186" s="187">
        <f>SUM(N180:N185)</f>
        <v>0</v>
      </c>
      <c r="O186" s="231"/>
      <c r="P186" s="234"/>
      <c r="Q186" s="102"/>
    </row>
    <row r="187" spans="1:20" ht="15.6" thickTop="1" thickBot="1">
      <c r="B187" s="228"/>
      <c r="C187" s="9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SUM(L180:L185)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92"/>
      <c r="T187" s="105">
        <f>$V$3+L11+L19+L27+L35+L43+L51+L59+L67+L75+L83+L91+L99+L107+L115+L123+L131+L139+L147+L155+L163+L171+L179+L187</f>
        <v>78</v>
      </c>
    </row>
    <row r="188" spans="1:20" ht="15.6" thickTop="1" thickBot="1">
      <c r="A188" s="46" t="str">
        <f ca="1">OFFSET('0'!$B$112,($A$1-1)*10,$B188-1)</f>
        <v>SV</v>
      </c>
      <c r="B188" s="228">
        <f ca="1">OFFSET('0'!$B$111,($A$1-1)*10,23)</f>
        <v>24</v>
      </c>
      <c r="C188" s="9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100"/>
    </row>
    <row r="189" spans="1:20" ht="15.6" thickTop="1" thickBot="1">
      <c r="B189" s="228"/>
      <c r="C189" s="10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102"/>
    </row>
    <row r="190" spans="1:20" s="86" customFormat="1" ht="15.6" thickTop="1" thickBot="1">
      <c r="A190" s="138"/>
      <c r="B190" s="228"/>
      <c r="C190" s="10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102"/>
    </row>
    <row r="191" spans="1:20" ht="15.6" thickTop="1" thickBot="1">
      <c r="B191" s="228"/>
      <c r="C191" s="10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102"/>
    </row>
    <row r="192" spans="1:20" ht="15.6" thickTop="1" thickBot="1">
      <c r="B192" s="228"/>
      <c r="C192" s="10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102"/>
    </row>
    <row r="193" spans="1:20" ht="15.6" thickTop="1" thickBot="1">
      <c r="B193" s="228"/>
      <c r="C193" s="10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102"/>
    </row>
    <row r="194" spans="1:20" ht="15.6" thickTop="1" thickBot="1">
      <c r="B194" s="228"/>
      <c r="C194" s="104" t="s">
        <v>65</v>
      </c>
      <c r="D194" s="184">
        <f t="shared" ref="D194:L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>
        <f t="shared" si="71"/>
        <v>0</v>
      </c>
      <c r="M194" s="185">
        <f>SUM(M188:M193)</f>
        <v>0</v>
      </c>
      <c r="N194" s="187">
        <f>SUM(N188:N193)</f>
        <v>0</v>
      </c>
      <c r="O194" s="231"/>
      <c r="P194" s="234"/>
      <c r="Q194" s="102"/>
    </row>
    <row r="195" spans="1:20" ht="15.6" thickTop="1" thickBot="1">
      <c r="B195" s="228"/>
      <c r="C195" s="9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SUM(L188:L193)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92"/>
      <c r="T195" s="105">
        <f>$V$3+L11+L19+L27+L35+L43+L51+L59+L67+L75+L83+L91+L99+L107+L115+L123+L131+L139+L147+L155+L163+L171+L179+L187+L195</f>
        <v>78</v>
      </c>
    </row>
    <row r="196" spans="1:20" ht="15.6" thickTop="1" thickBot="1">
      <c r="A196" s="46" t="str">
        <f ca="1">OFFSET('0'!$B$112,($A$1-1)*10,$B196-1)</f>
        <v>SV</v>
      </c>
      <c r="B196" s="228">
        <f ca="1">OFFSET('0'!$B$111,($A$1-1)*10,24)</f>
        <v>25</v>
      </c>
      <c r="C196" s="9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100"/>
    </row>
    <row r="197" spans="1:20" ht="15.6" thickTop="1" thickBot="1">
      <c r="B197" s="228"/>
      <c r="C197" s="10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102"/>
    </row>
    <row r="198" spans="1:20" ht="15.6" thickTop="1" thickBot="1">
      <c r="B198" s="228"/>
      <c r="C198" s="10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102"/>
    </row>
    <row r="199" spans="1:20" ht="15.6" thickTop="1" thickBot="1">
      <c r="B199" s="228"/>
      <c r="C199" s="10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102"/>
    </row>
    <row r="200" spans="1:20" ht="15.6" thickTop="1" thickBot="1">
      <c r="B200" s="228"/>
      <c r="C200" s="10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102"/>
    </row>
    <row r="201" spans="1:20" ht="15.6" thickTop="1" thickBot="1">
      <c r="B201" s="228"/>
      <c r="C201" s="10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102"/>
    </row>
    <row r="202" spans="1:20" ht="15.6" thickTop="1" thickBot="1">
      <c r="B202" s="228"/>
      <c r="C202" s="98" t="s">
        <v>65</v>
      </c>
      <c r="D202" s="184">
        <f t="shared" ref="D202:L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>
        <f t="shared" si="74"/>
        <v>0</v>
      </c>
      <c r="M202" s="185">
        <f>SUM(M196:M201)</f>
        <v>0</v>
      </c>
      <c r="N202" s="187">
        <f>SUM(N196:N201)</f>
        <v>0</v>
      </c>
      <c r="O202" s="231"/>
      <c r="P202" s="234"/>
      <c r="Q202" s="102"/>
    </row>
    <row r="203" spans="1:20" ht="15.6" thickTop="1" thickBot="1">
      <c r="B203" s="228"/>
      <c r="C203" s="9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SUM(L196:L201)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92"/>
      <c r="T203" s="105">
        <f>$V$3+L11+L19+L27+L35+L43+L51+L59+L67+L75+L83+L91+L99+L107+L115+L123+L131+L139+L147+L155+L163+L171+L179+L187+L195+L203</f>
        <v>78</v>
      </c>
    </row>
    <row r="204" spans="1:20" ht="15.6" thickTop="1" thickBot="1">
      <c r="A204" s="46" t="str">
        <f ca="1">OFFSET('0'!$B$112,($A$1-1)*10,$B204-1)</f>
        <v>SV</v>
      </c>
      <c r="B204" s="228">
        <f ca="1">OFFSET('0'!$B$111,($A$1-1)*10,25)</f>
        <v>26</v>
      </c>
      <c r="C204" s="9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100"/>
    </row>
    <row r="205" spans="1:20" s="86" customFormat="1" ht="15.6" thickTop="1" thickBot="1">
      <c r="A205" s="138"/>
      <c r="B205" s="228"/>
      <c r="C205" s="10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106"/>
    </row>
    <row r="206" spans="1:20" ht="15.6" thickTop="1" thickBot="1">
      <c r="B206" s="228"/>
      <c r="C206" s="10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102"/>
    </row>
    <row r="207" spans="1:20" ht="15.6" thickTop="1" thickBot="1">
      <c r="B207" s="228"/>
      <c r="C207" s="10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102"/>
    </row>
    <row r="208" spans="1:20" ht="15.6" thickTop="1" thickBot="1">
      <c r="B208" s="228"/>
      <c r="C208" s="10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102"/>
    </row>
    <row r="209" spans="1:20" ht="15.6" thickTop="1" thickBot="1">
      <c r="B209" s="228"/>
      <c r="C209" s="10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102"/>
    </row>
    <row r="210" spans="1:20" ht="15.6" thickTop="1" thickBot="1">
      <c r="B210" s="228"/>
      <c r="C210" s="98" t="s">
        <v>65</v>
      </c>
      <c r="D210" s="184">
        <f t="shared" ref="D210:L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>
        <f t="shared" si="77"/>
        <v>0</v>
      </c>
      <c r="M210" s="185">
        <f>SUM(M204:M209)</f>
        <v>0</v>
      </c>
      <c r="N210" s="187">
        <f>SUM(N204:N209)</f>
        <v>0</v>
      </c>
      <c r="O210" s="231"/>
      <c r="P210" s="234"/>
      <c r="Q210" s="102"/>
    </row>
    <row r="211" spans="1:20" ht="15.6" thickTop="1" thickBot="1">
      <c r="B211" s="228"/>
      <c r="C211" s="9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SUM(L204:L209)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92"/>
      <c r="T211" s="105">
        <f>$V$3+L11+L19+L27+L35+L43+L51+L59+L67+L75+L83+L91+L99+L107+L115+L123+L131+L139+L147+L155+L163+L171+L179+L187+L195+L203+L211</f>
        <v>78</v>
      </c>
    </row>
    <row r="212" spans="1:20" ht="15.6" thickTop="1" thickBot="1">
      <c r="A212" s="46" t="str">
        <f ca="1">OFFSET('0'!$B$112,($A$1-1)*10,$B212-1)</f>
        <v>SK</v>
      </c>
      <c r="B212" s="228">
        <f ca="1">OFFSET('0'!$B$111,($A$1-1)*10,26)</f>
        <v>27</v>
      </c>
      <c r="C212" s="9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100"/>
    </row>
    <row r="213" spans="1:20" ht="15.6" thickTop="1" thickBot="1">
      <c r="B213" s="228"/>
      <c r="C213" s="10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102"/>
    </row>
    <row r="214" spans="1:20" s="86" customFormat="1" ht="15.6" thickTop="1" thickBot="1">
      <c r="A214" s="138"/>
      <c r="B214" s="228"/>
      <c r="C214" s="10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102"/>
    </row>
    <row r="215" spans="1:20" s="86" customFormat="1" ht="15.6" thickTop="1" thickBot="1">
      <c r="A215" s="138"/>
      <c r="B215" s="228"/>
      <c r="C215" s="10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102"/>
    </row>
    <row r="216" spans="1:20" ht="15.6" thickTop="1" thickBot="1">
      <c r="B216" s="228"/>
      <c r="C216" s="10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102"/>
    </row>
    <row r="217" spans="1:20" ht="15.6" thickTop="1" thickBot="1">
      <c r="B217" s="228"/>
      <c r="C217" s="10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102"/>
    </row>
    <row r="218" spans="1:20" ht="15.6" thickTop="1" thickBot="1">
      <c r="B218" s="228"/>
      <c r="C218" s="98" t="s">
        <v>65</v>
      </c>
      <c r="D218" s="184">
        <f t="shared" ref="D218:L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>
        <f t="shared" si="80"/>
        <v>0</v>
      </c>
      <c r="M218" s="185">
        <f>SUM(M212:M217)</f>
        <v>0</v>
      </c>
      <c r="N218" s="187">
        <f>SUM(N212:N217)</f>
        <v>0</v>
      </c>
      <c r="O218" s="231"/>
      <c r="P218" s="234"/>
      <c r="Q218" s="102"/>
    </row>
    <row r="219" spans="1:20" ht="15.6" thickTop="1" thickBot="1">
      <c r="B219" s="228"/>
      <c r="C219" s="9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SUM(L212:L217)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92"/>
      <c r="T219" s="105">
        <f>$V$3+L11+L19+L27+L35+L43+L51+L59+L67+L75+L83+L91+L99+L107+L115+L123+L131+L139+L147+L155+L163+L171+L179+L187+L195+L203+L211+L219</f>
        <v>78</v>
      </c>
    </row>
    <row r="220" spans="1:20" ht="15.6" thickTop="1" thickBot="1">
      <c r="A220" s="46" t="str">
        <f ca="1">OFFSET('0'!$B$112,($A$1-1)*10,$B220-1)</f>
        <v>--</v>
      </c>
      <c r="B220" s="228">
        <f ca="1">OFFSET('0'!$B$111,($A$1-1)*10,27)</f>
        <v>28</v>
      </c>
      <c r="C220" s="9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100"/>
    </row>
    <row r="221" spans="1:20" s="86" customFormat="1" ht="15.6" thickTop="1" thickBot="1">
      <c r="A221" s="138"/>
      <c r="B221" s="228"/>
      <c r="C221" s="10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106"/>
    </row>
    <row r="222" spans="1:20" ht="15.6" thickTop="1" thickBot="1">
      <c r="B222" s="228"/>
      <c r="C222" s="10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102"/>
    </row>
    <row r="223" spans="1:20" s="86" customFormat="1" ht="15.6" thickTop="1" thickBot="1">
      <c r="A223" s="138"/>
      <c r="B223" s="228"/>
      <c r="C223" s="10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102"/>
    </row>
    <row r="224" spans="1:20" ht="15.6" thickTop="1" thickBot="1">
      <c r="B224" s="228"/>
      <c r="C224" s="10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102"/>
    </row>
    <row r="225" spans="1:20" ht="15.6" thickTop="1" thickBot="1">
      <c r="B225" s="228"/>
      <c r="C225" s="10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102"/>
    </row>
    <row r="226" spans="1:20" ht="15.6" thickTop="1" thickBot="1">
      <c r="B226" s="228"/>
      <c r="C226" s="98" t="s">
        <v>65</v>
      </c>
      <c r="D226" s="184">
        <f t="shared" ref="D226:L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>
        <f t="shared" si="83"/>
        <v>0</v>
      </c>
      <c r="M226" s="185">
        <f>SUM(M220:M225)</f>
        <v>0</v>
      </c>
      <c r="N226" s="187">
        <f>SUM(N220:N225)</f>
        <v>0</v>
      </c>
      <c r="O226" s="231"/>
      <c r="P226" s="234"/>
      <c r="Q226" s="102"/>
    </row>
    <row r="227" spans="1:20" ht="15.6" thickTop="1" thickBot="1">
      <c r="B227" s="228"/>
      <c r="C227" s="9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SUM(L220:L225)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92"/>
      <c r="T227" s="105">
        <f>$V$3+L11+L19+L27+L35+L43+L51+L59+L67+L75+L83+L91+L99+L107+L115+L123+L131+L139+L147+L155+L163+L171+L179+L187+L195+L203+L211+L219+L227</f>
        <v>78</v>
      </c>
    </row>
    <row r="228" spans="1:20" ht="15.6" thickTop="1" thickBot="1">
      <c r="A228" s="46" t="str">
        <f ca="1">OFFSET('0'!$B$112,($A$1-1)*10,$B228-1)</f>
        <v>--</v>
      </c>
      <c r="B228" s="228">
        <f ca="1">OFFSET('0'!$B$111,($A$1-1)*10,28)</f>
        <v>29</v>
      </c>
      <c r="C228" s="9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100"/>
    </row>
    <row r="229" spans="1:20" ht="15.6" thickTop="1" thickBot="1">
      <c r="B229" s="228"/>
      <c r="C229" s="10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106"/>
    </row>
    <row r="230" spans="1:20" ht="15.6" thickTop="1" thickBot="1">
      <c r="B230" s="228"/>
      <c r="C230" s="10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102"/>
    </row>
    <row r="231" spans="1:20" s="86" customFormat="1" ht="15.6" thickTop="1" thickBot="1">
      <c r="A231" s="138"/>
      <c r="B231" s="228"/>
      <c r="C231" s="10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102"/>
    </row>
    <row r="232" spans="1:20" s="86" customFormat="1" ht="15.6" thickTop="1" thickBot="1">
      <c r="A232" s="138"/>
      <c r="B232" s="228"/>
      <c r="C232" s="10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102"/>
    </row>
    <row r="233" spans="1:20" ht="15.6" thickTop="1" thickBot="1">
      <c r="B233" s="228"/>
      <c r="C233" s="10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102"/>
    </row>
    <row r="234" spans="1:20" ht="15.6" thickTop="1" thickBot="1">
      <c r="B234" s="228"/>
      <c r="C234" s="98" t="s">
        <v>65</v>
      </c>
      <c r="D234" s="184">
        <f t="shared" ref="D234:L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>
        <f t="shared" si="86"/>
        <v>0</v>
      </c>
      <c r="M234" s="185">
        <f>SUM(M228:M233)</f>
        <v>0</v>
      </c>
      <c r="N234" s="187">
        <f>SUM(N228:N233)</f>
        <v>0</v>
      </c>
      <c r="O234" s="231"/>
      <c r="P234" s="234"/>
      <c r="Q234" s="102"/>
    </row>
    <row r="235" spans="1:20" ht="15.6" thickTop="1" thickBot="1">
      <c r="B235" s="228"/>
      <c r="C235" s="9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SUM(L228:L233)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92"/>
      <c r="T235" s="105">
        <f>$V$3+L11+L19+L27+L35+L43+L51+L59+L67+L75+L83+L91+L99+L107+L115+L123+L131+L139+L147+L155+L163+L171+L179+L187+L195+L203+L211+L219+L227+L235</f>
        <v>78</v>
      </c>
    </row>
    <row r="236" spans="1:20" ht="15.6" thickTop="1" thickBot="1">
      <c r="A236" s="46" t="str">
        <f ca="1">OFFSET('0'!$B$112,($A$1-1)*10,$B236-1)</f>
        <v>--</v>
      </c>
      <c r="B236" s="228">
        <f ca="1">OFFSET('0'!$B$111,($A$1-1)*10,29)</f>
        <v>30</v>
      </c>
      <c r="C236" s="9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100"/>
    </row>
    <row r="237" spans="1:20" ht="15.6" thickTop="1" thickBot="1">
      <c r="B237" s="228"/>
      <c r="C237" s="10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106"/>
    </row>
    <row r="238" spans="1:20" s="86" customFormat="1" ht="15.6" thickTop="1" thickBot="1">
      <c r="A238" s="138"/>
      <c r="B238" s="228"/>
      <c r="C238" s="10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106"/>
    </row>
    <row r="239" spans="1:20" s="86" customFormat="1" ht="15.6" thickTop="1" thickBot="1">
      <c r="A239" s="138"/>
      <c r="B239" s="228"/>
      <c r="C239" s="10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106"/>
    </row>
    <row r="240" spans="1:20" ht="15.6" thickTop="1" thickBot="1">
      <c r="B240" s="228"/>
      <c r="C240" s="10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102"/>
    </row>
    <row r="241" spans="1:20" ht="15.6" thickTop="1" thickBot="1">
      <c r="B241" s="228"/>
      <c r="C241" s="10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102"/>
    </row>
    <row r="242" spans="1:20" ht="15.6" thickTop="1" thickBot="1">
      <c r="B242" s="228"/>
      <c r="C242" s="98" t="s">
        <v>65</v>
      </c>
      <c r="D242" s="184">
        <f t="shared" ref="D242:L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>
        <f t="shared" si="89"/>
        <v>0</v>
      </c>
      <c r="M242" s="185">
        <f>SUM(M236:M241)</f>
        <v>0</v>
      </c>
      <c r="N242" s="187">
        <f>SUM(N236:N241)</f>
        <v>0</v>
      </c>
      <c r="O242" s="231"/>
      <c r="P242" s="234"/>
      <c r="Q242" s="102"/>
    </row>
    <row r="243" spans="1:20" ht="15.6" thickTop="1" thickBot="1">
      <c r="B243" s="228"/>
      <c r="C243" s="9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SUM(L236:L241)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92"/>
      <c r="T243" s="105">
        <f>$V$3+L11+L19+L27+L35+L43+L51+L59+L67+L75+L83+L91+L99+L107+L115+L123+L131+L139+L147+L155+L163+L171+L179+L187+L195+L203+L211+L219+L227+L235+L243</f>
        <v>78</v>
      </c>
    </row>
    <row r="244" spans="1:20" ht="15.6" thickTop="1" thickBot="1">
      <c r="A244" s="46" t="str">
        <f ca="1">OFFSET('0'!$B$112,($A$1-1)*10,$B244-1)</f>
        <v>--</v>
      </c>
      <c r="B244" s="228">
        <f ca="1">OFFSET('0'!$B$111,($A$1-1)*10,30)</f>
        <v>31</v>
      </c>
      <c r="C244" s="9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100"/>
    </row>
    <row r="245" spans="1:20" s="86" customFormat="1" ht="15.6" thickTop="1" thickBot="1">
      <c r="A245" s="138"/>
      <c r="B245" s="228"/>
      <c r="C245" s="10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106"/>
    </row>
    <row r="246" spans="1:20" s="86" customFormat="1" ht="15.6" thickTop="1" thickBot="1">
      <c r="A246" s="138"/>
      <c r="B246" s="228"/>
      <c r="C246" s="10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106"/>
    </row>
    <row r="247" spans="1:20" s="86" customFormat="1" ht="15.6" thickTop="1" thickBot="1">
      <c r="A247" s="138"/>
      <c r="B247" s="228"/>
      <c r="C247" s="10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106"/>
    </row>
    <row r="248" spans="1:20" ht="15.6" thickTop="1" thickBot="1">
      <c r="B248" s="228"/>
      <c r="C248" s="10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102"/>
    </row>
    <row r="249" spans="1:20" ht="15.6" thickTop="1" thickBot="1">
      <c r="B249" s="228"/>
      <c r="C249" s="10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102"/>
    </row>
    <row r="250" spans="1:20" ht="15.6" thickTop="1" thickBot="1">
      <c r="B250" s="228"/>
      <c r="C250" s="98" t="s">
        <v>65</v>
      </c>
      <c r="D250" s="184">
        <f t="shared" ref="D250:L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>
        <f t="shared" si="92"/>
        <v>0</v>
      </c>
      <c r="M250" s="185">
        <f>SUM(M244:M249)</f>
        <v>0</v>
      </c>
      <c r="N250" s="187">
        <f>SUM(N244:N249)</f>
        <v>0</v>
      </c>
      <c r="O250" s="231"/>
      <c r="P250" s="234"/>
      <c r="Q250" s="102"/>
    </row>
    <row r="251" spans="1:20" ht="15.6" thickTop="1" thickBot="1">
      <c r="B251" s="228"/>
      <c r="C251" s="9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SUM(L244:L249)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92"/>
      <c r="T251" s="105">
        <f>$V$3+L11+L19+L27+L35+L43+L51+L59+L67+L75+L83+L91+L99+L107+L115+L123+L131+L139+L147+L155+L163+L171+L179+L187+L195+L203+L211+L219+L227+L235+L243+L251</f>
        <v>78</v>
      </c>
    </row>
    <row r="252" spans="1:20" ht="15" thickTop="1"/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12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9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12</v>
      </c>
    </row>
  </sheetData>
  <mergeCells count="137">
    <mergeCell ref="M2:M3"/>
    <mergeCell ref="N2:N3"/>
    <mergeCell ref="O2:O3"/>
    <mergeCell ref="P2:P3"/>
    <mergeCell ref="Q2:Q3"/>
    <mergeCell ref="T2:T4"/>
    <mergeCell ref="B2:B3"/>
    <mergeCell ref="C2:C3"/>
    <mergeCell ref="D2:D3"/>
    <mergeCell ref="E2:E3"/>
    <mergeCell ref="F2:K2"/>
    <mergeCell ref="L2:L3"/>
    <mergeCell ref="B20:B27"/>
    <mergeCell ref="O20:O26"/>
    <mergeCell ref="P20:P26"/>
    <mergeCell ref="F27:K27"/>
    <mergeCell ref="B28:B35"/>
    <mergeCell ref="O28:O34"/>
    <mergeCell ref="P28:P34"/>
    <mergeCell ref="F35:K35"/>
    <mergeCell ref="B4:B11"/>
    <mergeCell ref="O4:O10"/>
    <mergeCell ref="P4:P10"/>
    <mergeCell ref="F11:K11"/>
    <mergeCell ref="B12:B19"/>
    <mergeCell ref="O12:O18"/>
    <mergeCell ref="P12:P18"/>
    <mergeCell ref="F19:K19"/>
    <mergeCell ref="B52:B59"/>
    <mergeCell ref="O52:O58"/>
    <mergeCell ref="P52:P58"/>
    <mergeCell ref="F59:K59"/>
    <mergeCell ref="B60:B67"/>
    <mergeCell ref="O60:O66"/>
    <mergeCell ref="P60:P66"/>
    <mergeCell ref="F67:K67"/>
    <mergeCell ref="B36:B43"/>
    <mergeCell ref="O36:O42"/>
    <mergeCell ref="P36:P42"/>
    <mergeCell ref="F43:K43"/>
    <mergeCell ref="B44:B51"/>
    <mergeCell ref="O44:O50"/>
    <mergeCell ref="P44:P50"/>
    <mergeCell ref="F51:K51"/>
    <mergeCell ref="B84:B91"/>
    <mergeCell ref="O84:O90"/>
    <mergeCell ref="P84:P90"/>
    <mergeCell ref="F91:K91"/>
    <mergeCell ref="B92:B99"/>
    <mergeCell ref="O92:O98"/>
    <mergeCell ref="P92:P98"/>
    <mergeCell ref="F99:K99"/>
    <mergeCell ref="B68:B75"/>
    <mergeCell ref="O68:O74"/>
    <mergeCell ref="P68:P74"/>
    <mergeCell ref="F75:K75"/>
    <mergeCell ref="B76:B83"/>
    <mergeCell ref="O76:O82"/>
    <mergeCell ref="P76:P82"/>
    <mergeCell ref="F83:K83"/>
    <mergeCell ref="B116:B123"/>
    <mergeCell ref="O116:O122"/>
    <mergeCell ref="P116:P122"/>
    <mergeCell ref="F123:K123"/>
    <mergeCell ref="B124:B131"/>
    <mergeCell ref="O124:O130"/>
    <mergeCell ref="P124:P130"/>
    <mergeCell ref="F131:K131"/>
    <mergeCell ref="B100:B107"/>
    <mergeCell ref="O100:O106"/>
    <mergeCell ref="P100:P106"/>
    <mergeCell ref="F107:K107"/>
    <mergeCell ref="B108:B115"/>
    <mergeCell ref="O108:O114"/>
    <mergeCell ref="P108:P114"/>
    <mergeCell ref="F115:K115"/>
    <mergeCell ref="B148:B155"/>
    <mergeCell ref="O148:O154"/>
    <mergeCell ref="P148:P154"/>
    <mergeCell ref="F155:K155"/>
    <mergeCell ref="B156:B163"/>
    <mergeCell ref="O156:O162"/>
    <mergeCell ref="P156:P162"/>
    <mergeCell ref="F163:K163"/>
    <mergeCell ref="B132:B139"/>
    <mergeCell ref="O132:O138"/>
    <mergeCell ref="P132:P138"/>
    <mergeCell ref="F139:K139"/>
    <mergeCell ref="B140:B147"/>
    <mergeCell ref="O140:O146"/>
    <mergeCell ref="P140:P146"/>
    <mergeCell ref="F147:K147"/>
    <mergeCell ref="B180:B187"/>
    <mergeCell ref="O180:O186"/>
    <mergeCell ref="P180:P186"/>
    <mergeCell ref="F187:K187"/>
    <mergeCell ref="B188:B195"/>
    <mergeCell ref="O188:O194"/>
    <mergeCell ref="P188:P194"/>
    <mergeCell ref="F195:K195"/>
    <mergeCell ref="B164:B171"/>
    <mergeCell ref="O164:O170"/>
    <mergeCell ref="P164:P170"/>
    <mergeCell ref="F171:K171"/>
    <mergeCell ref="B172:B179"/>
    <mergeCell ref="O172:O178"/>
    <mergeCell ref="P172:P178"/>
    <mergeCell ref="F179:K179"/>
    <mergeCell ref="B212:B219"/>
    <mergeCell ref="O212:O218"/>
    <mergeCell ref="P212:P218"/>
    <mergeCell ref="F219:K219"/>
    <mergeCell ref="B220:B227"/>
    <mergeCell ref="O220:O226"/>
    <mergeCell ref="P220:P226"/>
    <mergeCell ref="F227:K227"/>
    <mergeCell ref="B196:B203"/>
    <mergeCell ref="O196:O202"/>
    <mergeCell ref="P196:P202"/>
    <mergeCell ref="F203:K203"/>
    <mergeCell ref="B204:B211"/>
    <mergeCell ref="O204:O210"/>
    <mergeCell ref="P204:P210"/>
    <mergeCell ref="F211:K211"/>
    <mergeCell ref="B244:B251"/>
    <mergeCell ref="O244:O250"/>
    <mergeCell ref="P244:P250"/>
    <mergeCell ref="F251:K251"/>
    <mergeCell ref="F254:K254"/>
    <mergeCell ref="B228:B235"/>
    <mergeCell ref="O228:O234"/>
    <mergeCell ref="P228:P234"/>
    <mergeCell ref="F235:K235"/>
    <mergeCell ref="B236:B243"/>
    <mergeCell ref="O236:O242"/>
    <mergeCell ref="P236:P242"/>
    <mergeCell ref="F243:K243"/>
  </mergeCells>
  <conditionalFormatting sqref="B4:B19">
    <cfRule type="expression" dxfId="63" priority="31">
      <formula>$A4&lt;&gt;"--"</formula>
    </cfRule>
  </conditionalFormatting>
  <conditionalFormatting sqref="B20:B27">
    <cfRule type="expression" dxfId="62" priority="30">
      <formula>$A20&lt;&gt;"--"</formula>
    </cfRule>
  </conditionalFormatting>
  <conditionalFormatting sqref="B28:B35">
    <cfRule type="expression" dxfId="61" priority="29">
      <formula>$A28&lt;&gt;"--"</formula>
    </cfRule>
  </conditionalFormatting>
  <conditionalFormatting sqref="B36:B43">
    <cfRule type="expression" dxfId="60" priority="28">
      <formula>$A36&lt;&gt;"--"</formula>
    </cfRule>
  </conditionalFormatting>
  <conditionalFormatting sqref="B44:B51">
    <cfRule type="expression" dxfId="59" priority="27">
      <formula>$A44&lt;&gt;"--"</formula>
    </cfRule>
  </conditionalFormatting>
  <conditionalFormatting sqref="B52:B59">
    <cfRule type="expression" dxfId="58" priority="26">
      <formula>$A52&lt;&gt;"--"</formula>
    </cfRule>
  </conditionalFormatting>
  <conditionalFormatting sqref="B60:B67">
    <cfRule type="expression" dxfId="57" priority="25">
      <formula>$A60&lt;&gt;"--"</formula>
    </cfRule>
  </conditionalFormatting>
  <conditionalFormatting sqref="B68:B75">
    <cfRule type="expression" dxfId="56" priority="24">
      <formula>$A68&lt;&gt;"--"</formula>
    </cfRule>
  </conditionalFormatting>
  <conditionalFormatting sqref="B76:B83">
    <cfRule type="expression" dxfId="55" priority="23">
      <formula>$A76&lt;&gt;"--"</formula>
    </cfRule>
  </conditionalFormatting>
  <conditionalFormatting sqref="B84:B91">
    <cfRule type="expression" dxfId="54" priority="22">
      <formula>$A84&lt;&gt;"--"</formula>
    </cfRule>
  </conditionalFormatting>
  <conditionalFormatting sqref="B92:B99">
    <cfRule type="expression" dxfId="53" priority="21">
      <formula>$A92&lt;&gt;"--"</formula>
    </cfRule>
  </conditionalFormatting>
  <conditionalFormatting sqref="B100:B107">
    <cfRule type="expression" dxfId="52" priority="20">
      <formula>$A100&lt;&gt;"--"</formula>
    </cfRule>
  </conditionalFormatting>
  <conditionalFormatting sqref="B108:B115">
    <cfRule type="expression" dxfId="51" priority="19">
      <formula>$A108&lt;&gt;"--"</formula>
    </cfRule>
  </conditionalFormatting>
  <conditionalFormatting sqref="B116:B123">
    <cfRule type="expression" dxfId="50" priority="18">
      <formula>$A116&lt;&gt;"--"</formula>
    </cfRule>
  </conditionalFormatting>
  <conditionalFormatting sqref="B124:B131">
    <cfRule type="expression" dxfId="49" priority="17">
      <formula>$A124&lt;&gt;"--"</formula>
    </cfRule>
  </conditionalFormatting>
  <conditionalFormatting sqref="B132:B139">
    <cfRule type="expression" dxfId="48" priority="16">
      <formula>$A132&lt;&gt;"--"</formula>
    </cfRule>
  </conditionalFormatting>
  <conditionalFormatting sqref="B140:B147">
    <cfRule type="expression" dxfId="47" priority="15">
      <formula>$A140&lt;&gt;"--"</formula>
    </cfRule>
  </conditionalFormatting>
  <conditionalFormatting sqref="B148:B155">
    <cfRule type="expression" dxfId="46" priority="14">
      <formula>$A148&lt;&gt;"--"</formula>
    </cfRule>
  </conditionalFormatting>
  <conditionalFormatting sqref="B156:B163">
    <cfRule type="expression" dxfId="45" priority="13">
      <formula>$A156&lt;&gt;"--"</formula>
    </cfRule>
  </conditionalFormatting>
  <conditionalFormatting sqref="B164:B171">
    <cfRule type="expression" dxfId="44" priority="12">
      <formula>$A164&lt;&gt;"--"</formula>
    </cfRule>
  </conditionalFormatting>
  <conditionalFormatting sqref="B172:B179">
    <cfRule type="expression" dxfId="43" priority="11">
      <formula>$A172&lt;&gt;"--"</formula>
    </cfRule>
  </conditionalFormatting>
  <conditionalFormatting sqref="B180:B187">
    <cfRule type="expression" dxfId="42" priority="10">
      <formula>$A180&lt;&gt;"--"</formula>
    </cfRule>
  </conditionalFormatting>
  <conditionalFormatting sqref="B188:B195">
    <cfRule type="expression" dxfId="41" priority="9">
      <formula>$A188&lt;&gt;"--"</formula>
    </cfRule>
  </conditionalFormatting>
  <conditionalFormatting sqref="B196:B203">
    <cfRule type="expression" dxfId="40" priority="8">
      <formula>$A196&lt;&gt;"--"</formula>
    </cfRule>
  </conditionalFormatting>
  <conditionalFormatting sqref="B204:B211">
    <cfRule type="expression" dxfId="39" priority="7">
      <formula>$A204&lt;&gt;"--"</formula>
    </cfRule>
  </conditionalFormatting>
  <conditionalFormatting sqref="B212:B219">
    <cfRule type="expression" dxfId="38" priority="6">
      <formula>$A212&lt;&gt;"--"</formula>
    </cfRule>
  </conditionalFormatting>
  <conditionalFormatting sqref="B220:B227">
    <cfRule type="expression" dxfId="37" priority="5">
      <formula>$A220&lt;&gt;"--"</formula>
    </cfRule>
  </conditionalFormatting>
  <conditionalFormatting sqref="B228:B251">
    <cfRule type="expression" dxfId="36" priority="4">
      <formula>$A228&lt;&gt;"--"</formula>
    </cfRule>
  </conditionalFormatting>
  <conditionalFormatting sqref="B236:B243">
    <cfRule type="expression" dxfId="35" priority="3">
      <formula>$A236&lt;&gt;"--"</formula>
    </cfRule>
  </conditionalFormatting>
  <conditionalFormatting sqref="B244:B251">
    <cfRule type="expression" dxfId="34" priority="2">
      <formula>$A244&lt;&gt;"--"</formula>
    </cfRule>
  </conditionalFormatting>
  <conditionalFormatting sqref="B228:B251">
    <cfRule type="cellIs" dxfId="33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V254"/>
  <sheetViews>
    <sheetView topLeftCell="E128" workbookViewId="0">
      <selection activeCell="Q248" sqref="Q248"/>
    </sheetView>
  </sheetViews>
  <sheetFormatPr defaultColWidth="15.109375" defaultRowHeight="14.4"/>
  <cols>
    <col min="1" max="2" width="15.109375" style="56"/>
    <col min="3" max="3" width="22.109375" style="57" customWidth="1"/>
    <col min="4" max="11" width="15.109375" style="56"/>
    <col min="12" max="12" width="12.88671875" style="42" customWidth="1"/>
    <col min="13" max="14" width="10.109375" style="58" customWidth="1"/>
    <col min="15" max="16" width="10.109375" style="57" customWidth="1"/>
    <col min="17" max="17" width="22" style="57" customWidth="1"/>
    <col min="18" max="19" width="15.109375" style="56"/>
    <col min="20" max="20" width="26" style="57" customWidth="1"/>
    <col min="21" max="16384" width="15.109375" style="56"/>
  </cols>
  <sheetData>
    <row r="1" spans="1:22">
      <c r="A1" s="56">
        <v>4</v>
      </c>
    </row>
    <row r="2" spans="1:22" ht="15" customHeight="1" thickBot="1">
      <c r="B2" s="246" t="s">
        <v>34</v>
      </c>
      <c r="C2" s="246" t="s">
        <v>35</v>
      </c>
      <c r="D2" s="246" t="s">
        <v>3</v>
      </c>
      <c r="E2" s="246" t="s">
        <v>36</v>
      </c>
      <c r="F2" s="251" t="s">
        <v>37</v>
      </c>
      <c r="G2" s="251"/>
      <c r="H2" s="251"/>
      <c r="I2" s="251"/>
      <c r="J2" s="251"/>
      <c r="K2" s="251"/>
      <c r="L2" s="252" t="s">
        <v>38</v>
      </c>
      <c r="M2" s="246" t="s">
        <v>39</v>
      </c>
      <c r="N2" s="247" t="s">
        <v>40</v>
      </c>
      <c r="O2" s="247" t="s">
        <v>6</v>
      </c>
      <c r="P2" s="248" t="s">
        <v>7</v>
      </c>
      <c r="Q2" s="249" t="s">
        <v>41</v>
      </c>
      <c r="T2" s="250" t="s">
        <v>42</v>
      </c>
    </row>
    <row r="3" spans="1:22" ht="48" customHeight="1" thickTop="1" thickBot="1">
      <c r="A3" s="46"/>
      <c r="B3" s="246"/>
      <c r="C3" s="246"/>
      <c r="D3" s="246"/>
      <c r="E3" s="246"/>
      <c r="F3" s="59" t="s">
        <v>9</v>
      </c>
      <c r="G3" s="59" t="s">
        <v>10</v>
      </c>
      <c r="H3" s="59" t="s">
        <v>11</v>
      </c>
      <c r="I3" s="59" t="s">
        <v>12</v>
      </c>
      <c r="J3" s="59" t="s">
        <v>13</v>
      </c>
      <c r="K3" s="59" t="s">
        <v>43</v>
      </c>
      <c r="L3" s="252"/>
      <c r="M3" s="246"/>
      <c r="N3" s="247"/>
      <c r="O3" s="247"/>
      <c r="P3" s="248"/>
      <c r="Q3" s="249"/>
      <c r="T3" s="250"/>
      <c r="U3" s="56" t="s">
        <v>155</v>
      </c>
      <c r="V3" s="49" t="e">
        <f>SUM(V6:V16)</f>
        <v>#REF!</v>
      </c>
    </row>
    <row r="4" spans="1:22" ht="16.5" customHeight="1" thickTop="1">
      <c r="A4" s="47" t="str">
        <f ca="1">OFFSET('0'!$B$112,($A$1-1)*10,$B4-1)</f>
        <v>--</v>
      </c>
      <c r="B4" s="243">
        <f ca="1">OFFSET('0'!$B$111,($A$1-1)*10,0)</f>
        <v>1</v>
      </c>
      <c r="C4" s="69"/>
      <c r="D4" s="81"/>
      <c r="E4" s="43"/>
      <c r="F4" s="82"/>
      <c r="G4" s="82"/>
      <c r="H4" s="82"/>
      <c r="I4" s="82"/>
      <c r="J4" s="82"/>
      <c r="K4" s="82"/>
      <c r="L4" s="79"/>
      <c r="M4" s="43">
        <f t="shared" ref="M4:M9" si="0">SUM(D4-E4)</f>
        <v>0</v>
      </c>
      <c r="N4" s="39">
        <f t="shared" ref="N4:N9" si="1">SUM(E4,M4)</f>
        <v>0</v>
      </c>
      <c r="O4" s="229"/>
      <c r="P4" s="232"/>
      <c r="Q4" s="70"/>
      <c r="T4" s="250"/>
    </row>
    <row r="5" spans="1:22">
      <c r="A5" s="47"/>
      <c r="B5" s="244"/>
      <c r="C5" s="71"/>
      <c r="D5" s="184"/>
      <c r="E5" s="185"/>
      <c r="F5" s="186"/>
      <c r="G5" s="186"/>
      <c r="H5" s="186"/>
      <c r="I5" s="186"/>
      <c r="J5" s="186"/>
      <c r="K5" s="186"/>
      <c r="L5" s="206"/>
      <c r="M5" s="185">
        <f t="shared" si="0"/>
        <v>0</v>
      </c>
      <c r="N5" s="187">
        <f t="shared" si="1"/>
        <v>0</v>
      </c>
      <c r="O5" s="230"/>
      <c r="P5" s="233"/>
      <c r="Q5" s="72"/>
      <c r="U5" s="56" t="s">
        <v>154</v>
      </c>
    </row>
    <row r="6" spans="1:22">
      <c r="A6" s="47"/>
      <c r="B6" s="244"/>
      <c r="C6" s="71"/>
      <c r="D6" s="184"/>
      <c r="E6" s="185"/>
      <c r="F6" s="186"/>
      <c r="G6" s="186"/>
      <c r="H6" s="186"/>
      <c r="I6" s="186"/>
      <c r="J6" s="186"/>
      <c r="K6" s="186"/>
      <c r="L6" s="206"/>
      <c r="M6" s="185">
        <f t="shared" si="0"/>
        <v>0</v>
      </c>
      <c r="N6" s="187">
        <f t="shared" si="1"/>
        <v>0</v>
      </c>
      <c r="O6" s="230"/>
      <c r="P6" s="233"/>
      <c r="Q6" s="72"/>
      <c r="U6" s="56">
        <v>1</v>
      </c>
      <c r="V6" s="53" t="e">
        <f>#REF!</f>
        <v>#REF!</v>
      </c>
    </row>
    <row r="7" spans="1:22">
      <c r="A7" s="47"/>
      <c r="B7" s="244"/>
      <c r="C7" s="73"/>
      <c r="D7" s="184"/>
      <c r="E7" s="185"/>
      <c r="F7" s="186"/>
      <c r="G7" s="186"/>
      <c r="H7" s="186"/>
      <c r="I7" s="186"/>
      <c r="J7" s="186"/>
      <c r="K7" s="186"/>
      <c r="L7" s="206"/>
      <c r="M7" s="185">
        <f t="shared" si="0"/>
        <v>0</v>
      </c>
      <c r="N7" s="187">
        <f t="shared" si="1"/>
        <v>0</v>
      </c>
      <c r="O7" s="230"/>
      <c r="P7" s="233"/>
      <c r="Q7" s="72"/>
      <c r="U7" s="56">
        <v>2</v>
      </c>
      <c r="V7" s="53" t="e">
        <f>#REF!</f>
        <v>#REF!</v>
      </c>
    </row>
    <row r="8" spans="1:22">
      <c r="A8" s="47"/>
      <c r="B8" s="244"/>
      <c r="C8" s="73"/>
      <c r="D8" s="184"/>
      <c r="E8" s="185"/>
      <c r="F8" s="186"/>
      <c r="G8" s="186"/>
      <c r="H8" s="186"/>
      <c r="I8" s="186"/>
      <c r="J8" s="186"/>
      <c r="K8" s="186"/>
      <c r="L8" s="207"/>
      <c r="M8" s="185">
        <f t="shared" si="0"/>
        <v>0</v>
      </c>
      <c r="N8" s="187">
        <f t="shared" si="1"/>
        <v>0</v>
      </c>
      <c r="O8" s="230"/>
      <c r="P8" s="233"/>
      <c r="Q8" s="72"/>
      <c r="U8" s="56">
        <v>3</v>
      </c>
    </row>
    <row r="9" spans="1:22" s="85" customFormat="1" ht="15" thickBot="1">
      <c r="A9" s="47"/>
      <c r="B9" s="244"/>
      <c r="C9" s="103"/>
      <c r="D9" s="184"/>
      <c r="E9" s="185"/>
      <c r="F9" s="186"/>
      <c r="G9" s="186"/>
      <c r="H9" s="186"/>
      <c r="I9" s="186"/>
      <c r="J9" s="186"/>
      <c r="K9" s="186"/>
      <c r="L9" s="207"/>
      <c r="M9" s="185">
        <f t="shared" si="0"/>
        <v>0</v>
      </c>
      <c r="N9" s="187">
        <f t="shared" si="1"/>
        <v>0</v>
      </c>
      <c r="O9" s="230"/>
      <c r="P9" s="233"/>
      <c r="Q9" s="102"/>
      <c r="T9" s="86"/>
      <c r="U9" s="85">
        <v>4</v>
      </c>
    </row>
    <row r="10" spans="1:22" ht="15" thickBot="1">
      <c r="A10" s="47"/>
      <c r="B10" s="244"/>
      <c r="C10" s="74" t="s">
        <v>65</v>
      </c>
      <c r="D10" s="184">
        <f>SUM(D4:D9)</f>
        <v>0</v>
      </c>
      <c r="E10" s="185">
        <f>SUM(E4:E9)</f>
        <v>0</v>
      </c>
      <c r="F10" s="186">
        <f t="shared" ref="F10:K10" si="2">SUM(F4:F9)</f>
        <v>0</v>
      </c>
      <c r="G10" s="186">
        <f t="shared" si="2"/>
        <v>0</v>
      </c>
      <c r="H10" s="186">
        <f t="shared" si="2"/>
        <v>0</v>
      </c>
      <c r="I10" s="186">
        <f t="shared" si="2"/>
        <v>0</v>
      </c>
      <c r="J10" s="186">
        <f t="shared" si="2"/>
        <v>0</v>
      </c>
      <c r="K10" s="186">
        <f t="shared" si="2"/>
        <v>0</v>
      </c>
      <c r="L10" s="190"/>
      <c r="M10" s="185">
        <f>SUM(M4:M9)</f>
        <v>0</v>
      </c>
      <c r="N10" s="187">
        <f>SUM(N4:N9)</f>
        <v>0</v>
      </c>
      <c r="O10" s="231"/>
      <c r="P10" s="234"/>
      <c r="Q10" s="72"/>
      <c r="U10" s="56">
        <v>5</v>
      </c>
    </row>
    <row r="11" spans="1:22" ht="15" thickBot="1">
      <c r="A11" s="47"/>
      <c r="B11" s="245"/>
      <c r="C11" s="61" t="s">
        <v>44</v>
      </c>
      <c r="D11" s="189">
        <f>SUM(D4:D9)</f>
        <v>0</v>
      </c>
      <c r="E11" s="189">
        <f>SUM(E4:E9)</f>
        <v>0</v>
      </c>
      <c r="F11" s="235">
        <f>SUM(F10:K10)</f>
        <v>0</v>
      </c>
      <c r="G11" s="236"/>
      <c r="H11" s="236"/>
      <c r="I11" s="236"/>
      <c r="J11" s="236"/>
      <c r="K11" s="237"/>
      <c r="L11" s="191">
        <f>L10</f>
        <v>0</v>
      </c>
      <c r="M11" s="189">
        <f>SUM(M4:M9)</f>
        <v>0</v>
      </c>
      <c r="N11" s="189">
        <f>SUM(N4:N9)</f>
        <v>0</v>
      </c>
      <c r="O11" s="189">
        <f>SUM(O4)</f>
        <v>0</v>
      </c>
      <c r="P11" s="192">
        <f>SUM(P4)</f>
        <v>0</v>
      </c>
      <c r="Q11" s="62"/>
      <c r="T11" s="75" t="e">
        <f>$V$3+L11</f>
        <v>#REF!</v>
      </c>
      <c r="U11" s="56">
        <v>6</v>
      </c>
    </row>
    <row r="12" spans="1:22" ht="15" thickTop="1">
      <c r="A12" s="47" t="str">
        <f ca="1">OFFSET('0'!$B$112,($A$1-1)*10,$B12-1)</f>
        <v>--</v>
      </c>
      <c r="B12" s="243">
        <f ca="1">OFFSET('0'!$B$111,($A$1-1)*10,1)</f>
        <v>2</v>
      </c>
      <c r="C12" s="69"/>
      <c r="D12" s="83"/>
      <c r="E12" s="44"/>
      <c r="F12" s="84"/>
      <c r="G12" s="84"/>
      <c r="H12" s="84"/>
      <c r="I12" s="84"/>
      <c r="J12" s="84"/>
      <c r="K12" s="84"/>
      <c r="L12" s="45"/>
      <c r="M12" s="43">
        <f t="shared" ref="M12:M17" si="3">SUM(D12-E12)</f>
        <v>0</v>
      </c>
      <c r="N12" s="39">
        <f t="shared" ref="N12:N17" si="4">SUM(E12,M12)</f>
        <v>0</v>
      </c>
      <c r="O12" s="229"/>
      <c r="P12" s="232"/>
      <c r="Q12" s="76"/>
      <c r="U12" s="56">
        <v>7</v>
      </c>
    </row>
    <row r="13" spans="1:22" ht="17.25" customHeight="1">
      <c r="A13" s="47"/>
      <c r="B13" s="244"/>
      <c r="C13" s="71"/>
      <c r="D13" s="184"/>
      <c r="E13" s="185"/>
      <c r="F13" s="186"/>
      <c r="G13" s="186"/>
      <c r="H13" s="186"/>
      <c r="I13" s="186"/>
      <c r="J13" s="186"/>
      <c r="K13" s="186"/>
      <c r="L13" s="206"/>
      <c r="M13" s="185">
        <f t="shared" si="3"/>
        <v>0</v>
      </c>
      <c r="N13" s="187">
        <f t="shared" si="4"/>
        <v>0</v>
      </c>
      <c r="O13" s="230"/>
      <c r="P13" s="233"/>
      <c r="Q13" s="72"/>
      <c r="U13" s="56">
        <v>8</v>
      </c>
    </row>
    <row r="14" spans="1:22">
      <c r="A14" s="47"/>
      <c r="B14" s="244"/>
      <c r="C14" s="71"/>
      <c r="D14" s="184"/>
      <c r="E14" s="185"/>
      <c r="F14" s="186"/>
      <c r="G14" s="186"/>
      <c r="H14" s="186"/>
      <c r="I14" s="186"/>
      <c r="J14" s="186"/>
      <c r="K14" s="186"/>
      <c r="L14" s="206"/>
      <c r="M14" s="185">
        <f t="shared" si="3"/>
        <v>0</v>
      </c>
      <c r="N14" s="187">
        <f t="shared" si="4"/>
        <v>0</v>
      </c>
      <c r="O14" s="230"/>
      <c r="P14" s="233"/>
      <c r="Q14" s="72"/>
      <c r="U14" s="56">
        <v>9</v>
      </c>
    </row>
    <row r="15" spans="1:22">
      <c r="A15" s="47"/>
      <c r="B15" s="244"/>
      <c r="C15" s="73"/>
      <c r="D15" s="184"/>
      <c r="E15" s="185"/>
      <c r="F15" s="186"/>
      <c r="G15" s="186"/>
      <c r="H15" s="186"/>
      <c r="I15" s="186"/>
      <c r="J15" s="186"/>
      <c r="K15" s="186"/>
      <c r="L15" s="206"/>
      <c r="M15" s="185">
        <f t="shared" si="3"/>
        <v>0</v>
      </c>
      <c r="N15" s="187">
        <f t="shared" si="4"/>
        <v>0</v>
      </c>
      <c r="O15" s="230"/>
      <c r="P15" s="233"/>
      <c r="Q15" s="72"/>
      <c r="U15" s="56">
        <v>10</v>
      </c>
    </row>
    <row r="16" spans="1:22">
      <c r="A16" s="47"/>
      <c r="B16" s="244"/>
      <c r="C16" s="73"/>
      <c r="D16" s="193"/>
      <c r="E16" s="194"/>
      <c r="F16" s="195"/>
      <c r="G16" s="195"/>
      <c r="H16" s="195"/>
      <c r="I16" s="195"/>
      <c r="J16" s="195"/>
      <c r="K16" s="195"/>
      <c r="L16" s="207"/>
      <c r="M16" s="185">
        <f t="shared" si="3"/>
        <v>0</v>
      </c>
      <c r="N16" s="196">
        <f t="shared" si="4"/>
        <v>0</v>
      </c>
      <c r="O16" s="230"/>
      <c r="P16" s="233"/>
      <c r="Q16" s="77"/>
      <c r="U16" s="56">
        <v>11</v>
      </c>
    </row>
    <row r="17" spans="1:22" ht="15" thickBot="1">
      <c r="A17" s="47"/>
      <c r="B17" s="244"/>
      <c r="C17" s="73"/>
      <c r="D17" s="193"/>
      <c r="E17" s="194"/>
      <c r="F17" s="195"/>
      <c r="G17" s="195"/>
      <c r="H17" s="195"/>
      <c r="I17" s="195"/>
      <c r="J17" s="195"/>
      <c r="K17" s="195"/>
      <c r="L17" s="207"/>
      <c r="M17" s="185">
        <f t="shared" si="3"/>
        <v>0</v>
      </c>
      <c r="N17" s="196">
        <f t="shared" si="4"/>
        <v>0</v>
      </c>
      <c r="O17" s="230"/>
      <c r="P17" s="233"/>
      <c r="Q17" s="77"/>
      <c r="U17" s="50"/>
      <c r="V17" s="51"/>
    </row>
    <row r="18" spans="1:22" ht="15" thickBot="1">
      <c r="A18" s="47"/>
      <c r="B18" s="244"/>
      <c r="C18" s="74" t="s">
        <v>65</v>
      </c>
      <c r="D18" s="184">
        <f t="shared" ref="D18:K18" si="5">SUM(D12:D17)</f>
        <v>0</v>
      </c>
      <c r="E18" s="194">
        <f t="shared" si="5"/>
        <v>0</v>
      </c>
      <c r="F18" s="186">
        <f t="shared" si="5"/>
        <v>0</v>
      </c>
      <c r="G18" s="186">
        <f t="shared" si="5"/>
        <v>0</v>
      </c>
      <c r="H18" s="186">
        <f t="shared" si="5"/>
        <v>0</v>
      </c>
      <c r="I18" s="186">
        <f t="shared" si="5"/>
        <v>0</v>
      </c>
      <c r="J18" s="186">
        <f t="shared" si="5"/>
        <v>0</v>
      </c>
      <c r="K18" s="186">
        <f t="shared" si="5"/>
        <v>0</v>
      </c>
      <c r="L18" s="190"/>
      <c r="M18" s="185">
        <f>SUM(M12:M17)</f>
        <v>0</v>
      </c>
      <c r="N18" s="197">
        <f>SUM(N12:N17)</f>
        <v>0</v>
      </c>
      <c r="O18" s="231"/>
      <c r="P18" s="234"/>
      <c r="Q18" s="77"/>
      <c r="U18" s="52"/>
      <c r="V18" s="52"/>
    </row>
    <row r="19" spans="1:22" ht="15" thickBot="1">
      <c r="A19" s="47"/>
      <c r="B19" s="245"/>
      <c r="C19" s="61" t="s">
        <v>44</v>
      </c>
      <c r="D19" s="189">
        <f>SUM(D12:D17)</f>
        <v>0</v>
      </c>
      <c r="E19" s="189">
        <f>SUM(E12:E17)</f>
        <v>0</v>
      </c>
      <c r="F19" s="235">
        <f>SUM(F18:K18)</f>
        <v>0</v>
      </c>
      <c r="G19" s="236"/>
      <c r="H19" s="236"/>
      <c r="I19" s="236"/>
      <c r="J19" s="236"/>
      <c r="K19" s="237"/>
      <c r="L19" s="191">
        <f>L18</f>
        <v>0</v>
      </c>
      <c r="M19" s="189">
        <f>SUM(M12:M17)</f>
        <v>0</v>
      </c>
      <c r="N19" s="189">
        <f>SUM(N12:N17)</f>
        <v>0</v>
      </c>
      <c r="O19" s="189">
        <f>SUM(O12)</f>
        <v>0</v>
      </c>
      <c r="P19" s="192">
        <f>SUM(P12)</f>
        <v>0</v>
      </c>
      <c r="Q19" s="62"/>
      <c r="T19" s="75" t="e">
        <f>$V$3+L11+L19</f>
        <v>#REF!</v>
      </c>
    </row>
    <row r="20" spans="1:22" ht="15.6" thickTop="1" thickBot="1">
      <c r="A20" s="47" t="str">
        <f ca="1">OFFSET('0'!$B$112,($A$1-1)*10,$B20-1)</f>
        <v>--</v>
      </c>
      <c r="B20" s="228">
        <f ca="1">OFFSET('0'!$B$111,($A$1-1)*10,2)</f>
        <v>3</v>
      </c>
      <c r="C20" s="69"/>
      <c r="D20" s="81"/>
      <c r="E20" s="43"/>
      <c r="F20" s="82"/>
      <c r="G20" s="82"/>
      <c r="H20" s="82"/>
      <c r="I20" s="82"/>
      <c r="J20" s="82"/>
      <c r="K20" s="82"/>
      <c r="L20" s="79"/>
      <c r="M20" s="43">
        <f t="shared" ref="M20:M25" si="6">SUM(D20-E20)</f>
        <v>0</v>
      </c>
      <c r="N20" s="39">
        <f t="shared" ref="N20:N25" si="7">SUM(E20,M20)</f>
        <v>0</v>
      </c>
      <c r="O20" s="229"/>
      <c r="P20" s="232"/>
      <c r="Q20" s="70"/>
    </row>
    <row r="21" spans="1:22" ht="15.6" thickTop="1" thickBot="1">
      <c r="A21" s="47"/>
      <c r="B21" s="228"/>
      <c r="C21" s="71"/>
      <c r="D21" s="184"/>
      <c r="E21" s="185"/>
      <c r="F21" s="186"/>
      <c r="G21" s="186"/>
      <c r="H21" s="186"/>
      <c r="I21" s="186"/>
      <c r="J21" s="186"/>
      <c r="K21" s="186"/>
      <c r="L21" s="206"/>
      <c r="M21" s="185">
        <f t="shared" si="6"/>
        <v>0</v>
      </c>
      <c r="N21" s="187">
        <f t="shared" si="7"/>
        <v>0</v>
      </c>
      <c r="O21" s="230"/>
      <c r="P21" s="233"/>
      <c r="Q21" s="72"/>
    </row>
    <row r="22" spans="1:22" ht="15.6" thickTop="1" thickBot="1">
      <c r="A22" s="47"/>
      <c r="B22" s="228"/>
      <c r="C22" s="71"/>
      <c r="D22" s="184"/>
      <c r="E22" s="185"/>
      <c r="F22" s="186"/>
      <c r="G22" s="186"/>
      <c r="H22" s="186"/>
      <c r="I22" s="186"/>
      <c r="J22" s="186"/>
      <c r="K22" s="186"/>
      <c r="L22" s="206"/>
      <c r="M22" s="185">
        <f t="shared" si="6"/>
        <v>0</v>
      </c>
      <c r="N22" s="187">
        <f t="shared" si="7"/>
        <v>0</v>
      </c>
      <c r="O22" s="230"/>
      <c r="P22" s="233"/>
      <c r="Q22" s="72"/>
    </row>
    <row r="23" spans="1:22" ht="15.6" thickTop="1" thickBot="1">
      <c r="A23" s="47"/>
      <c r="B23" s="228"/>
      <c r="C23" s="73"/>
      <c r="D23" s="184"/>
      <c r="E23" s="185"/>
      <c r="F23" s="186"/>
      <c r="G23" s="186"/>
      <c r="H23" s="186"/>
      <c r="I23" s="186"/>
      <c r="J23" s="186"/>
      <c r="K23" s="186"/>
      <c r="L23" s="206"/>
      <c r="M23" s="185">
        <f t="shared" si="6"/>
        <v>0</v>
      </c>
      <c r="N23" s="187">
        <f t="shared" si="7"/>
        <v>0</v>
      </c>
      <c r="O23" s="230"/>
      <c r="P23" s="233"/>
      <c r="Q23" s="72"/>
    </row>
    <row r="24" spans="1:22" ht="15.6" thickTop="1" thickBot="1">
      <c r="A24" s="47"/>
      <c r="B24" s="228"/>
      <c r="C24" s="73"/>
      <c r="D24" s="193"/>
      <c r="E24" s="194"/>
      <c r="F24" s="195"/>
      <c r="G24" s="195"/>
      <c r="H24" s="195"/>
      <c r="I24" s="195"/>
      <c r="J24" s="195"/>
      <c r="K24" s="195"/>
      <c r="L24" s="207"/>
      <c r="M24" s="185">
        <f t="shared" si="6"/>
        <v>0</v>
      </c>
      <c r="N24" s="187">
        <f t="shared" si="7"/>
        <v>0</v>
      </c>
      <c r="O24" s="230"/>
      <c r="P24" s="233"/>
      <c r="Q24" s="77"/>
    </row>
    <row r="25" spans="1:22" ht="15.6" thickTop="1" thickBot="1">
      <c r="A25" s="47"/>
      <c r="B25" s="228"/>
      <c r="C25" s="73"/>
      <c r="D25" s="193"/>
      <c r="E25" s="194"/>
      <c r="F25" s="195"/>
      <c r="G25" s="195"/>
      <c r="H25" s="195"/>
      <c r="I25" s="195"/>
      <c r="J25" s="195"/>
      <c r="K25" s="195"/>
      <c r="L25" s="207"/>
      <c r="M25" s="185">
        <f t="shared" si="6"/>
        <v>0</v>
      </c>
      <c r="N25" s="187">
        <f t="shared" si="7"/>
        <v>0</v>
      </c>
      <c r="O25" s="230"/>
      <c r="P25" s="233"/>
      <c r="Q25" s="77"/>
    </row>
    <row r="26" spans="1:22" ht="15.6" thickTop="1" thickBot="1">
      <c r="A26" s="47"/>
      <c r="B26" s="228"/>
      <c r="C26" s="74" t="s">
        <v>65</v>
      </c>
      <c r="D26" s="184">
        <f t="shared" ref="D26:K26" si="8">SUM(D20:D25)</f>
        <v>0</v>
      </c>
      <c r="E26" s="185">
        <f t="shared" si="8"/>
        <v>0</v>
      </c>
      <c r="F26" s="186">
        <f t="shared" si="8"/>
        <v>0</v>
      </c>
      <c r="G26" s="186">
        <f t="shared" si="8"/>
        <v>0</v>
      </c>
      <c r="H26" s="186">
        <f t="shared" si="8"/>
        <v>0</v>
      </c>
      <c r="I26" s="186">
        <f t="shared" si="8"/>
        <v>0</v>
      </c>
      <c r="J26" s="186">
        <f t="shared" si="8"/>
        <v>0</v>
      </c>
      <c r="K26" s="186">
        <f t="shared" si="8"/>
        <v>0</v>
      </c>
      <c r="L26" s="190"/>
      <c r="M26" s="185">
        <f>SUM(M20:M25)</f>
        <v>0</v>
      </c>
      <c r="N26" s="197">
        <f>SUM(N20:N25)</f>
        <v>0</v>
      </c>
      <c r="O26" s="231"/>
      <c r="P26" s="234"/>
      <c r="Q26" s="77"/>
    </row>
    <row r="27" spans="1:22" ht="15.6" thickTop="1" thickBot="1">
      <c r="A27" s="47"/>
      <c r="B27" s="228"/>
      <c r="C27" s="64" t="s">
        <v>44</v>
      </c>
      <c r="D27" s="198">
        <f>SUM(D20:D25)</f>
        <v>0</v>
      </c>
      <c r="E27" s="198">
        <f>SUM(E20:E25)</f>
        <v>0</v>
      </c>
      <c r="F27" s="235">
        <f>SUM(F26:K26)</f>
        <v>0</v>
      </c>
      <c r="G27" s="236"/>
      <c r="H27" s="236"/>
      <c r="I27" s="236"/>
      <c r="J27" s="236"/>
      <c r="K27" s="237"/>
      <c r="L27" s="199">
        <f>L26</f>
        <v>0</v>
      </c>
      <c r="M27" s="198">
        <f>SUM(M20:M25)</f>
        <v>0</v>
      </c>
      <c r="N27" s="198">
        <f>SUM(N20:N25)</f>
        <v>0</v>
      </c>
      <c r="O27" s="189">
        <f>SUM(O20)</f>
        <v>0</v>
      </c>
      <c r="P27" s="192">
        <f>SUM(P20)</f>
        <v>0</v>
      </c>
      <c r="Q27" s="65"/>
      <c r="T27" s="75" t="e">
        <f>$V$3++L11+L19+L27</f>
        <v>#REF!</v>
      </c>
    </row>
    <row r="28" spans="1:22" ht="15.6" thickTop="1" thickBot="1">
      <c r="A28" s="47" t="str">
        <f ca="1">OFFSET('0'!$B$112,($A$1-1)*10,$B28-1)</f>
        <v>SS</v>
      </c>
      <c r="B28" s="228">
        <f ca="1">OFFSET('0'!$B$111,($A$1-1)*10,3)</f>
        <v>4</v>
      </c>
      <c r="C28" s="69"/>
      <c r="D28" s="81"/>
      <c r="E28" s="43"/>
      <c r="F28" s="82"/>
      <c r="G28" s="82"/>
      <c r="H28" s="82"/>
      <c r="I28" s="82"/>
      <c r="J28" s="82"/>
      <c r="K28" s="82"/>
      <c r="L28" s="79"/>
      <c r="M28" s="43">
        <f t="shared" ref="M28:M33" si="9">SUM(D28-E28)</f>
        <v>0</v>
      </c>
      <c r="N28" s="39">
        <f t="shared" ref="N28:N33" si="10">SUM(E28,M28)</f>
        <v>0</v>
      </c>
      <c r="O28" s="229"/>
      <c r="P28" s="232"/>
      <c r="Q28" s="70"/>
    </row>
    <row r="29" spans="1:22" ht="17.25" customHeight="1" thickTop="1" thickBot="1">
      <c r="A29" s="47"/>
      <c r="B29" s="228"/>
      <c r="C29" s="71"/>
      <c r="D29" s="184"/>
      <c r="E29" s="185"/>
      <c r="F29" s="186"/>
      <c r="G29" s="186"/>
      <c r="H29" s="186"/>
      <c r="I29" s="186"/>
      <c r="J29" s="186"/>
      <c r="K29" s="186"/>
      <c r="L29" s="206"/>
      <c r="M29" s="185">
        <f t="shared" si="9"/>
        <v>0</v>
      </c>
      <c r="N29" s="187">
        <f t="shared" si="10"/>
        <v>0</v>
      </c>
      <c r="O29" s="230"/>
      <c r="P29" s="233"/>
      <c r="Q29" s="72"/>
    </row>
    <row r="30" spans="1:22" ht="17.25" customHeight="1" thickTop="1" thickBot="1">
      <c r="A30" s="47"/>
      <c r="B30" s="228"/>
      <c r="C30" s="71"/>
      <c r="D30" s="184"/>
      <c r="E30" s="185"/>
      <c r="F30" s="186"/>
      <c r="G30" s="186"/>
      <c r="H30" s="186"/>
      <c r="I30" s="186"/>
      <c r="J30" s="186"/>
      <c r="K30" s="186"/>
      <c r="L30" s="206"/>
      <c r="M30" s="185">
        <f t="shared" si="9"/>
        <v>0</v>
      </c>
      <c r="N30" s="187">
        <f t="shared" si="10"/>
        <v>0</v>
      </c>
      <c r="O30" s="230"/>
      <c r="P30" s="233"/>
      <c r="Q30" s="72"/>
    </row>
    <row r="31" spans="1:22" ht="17.25" customHeight="1" thickTop="1" thickBot="1">
      <c r="A31" s="47"/>
      <c r="B31" s="228"/>
      <c r="C31" s="73"/>
      <c r="D31" s="184"/>
      <c r="E31" s="185"/>
      <c r="F31" s="186"/>
      <c r="G31" s="186"/>
      <c r="H31" s="186"/>
      <c r="I31" s="186"/>
      <c r="J31" s="186"/>
      <c r="K31" s="186"/>
      <c r="L31" s="206"/>
      <c r="M31" s="185">
        <f t="shared" si="9"/>
        <v>0</v>
      </c>
      <c r="N31" s="187">
        <f t="shared" si="10"/>
        <v>0</v>
      </c>
      <c r="O31" s="230"/>
      <c r="P31" s="233"/>
      <c r="Q31" s="72"/>
    </row>
    <row r="32" spans="1:22" ht="15.6" thickTop="1" thickBot="1">
      <c r="A32" s="47"/>
      <c r="B32" s="228"/>
      <c r="C32" s="73"/>
      <c r="D32" s="184"/>
      <c r="E32" s="185"/>
      <c r="F32" s="186"/>
      <c r="G32" s="186"/>
      <c r="H32" s="186"/>
      <c r="I32" s="186"/>
      <c r="J32" s="186"/>
      <c r="K32" s="186"/>
      <c r="L32" s="206"/>
      <c r="M32" s="185">
        <f t="shared" si="9"/>
        <v>0</v>
      </c>
      <c r="N32" s="187">
        <f t="shared" si="10"/>
        <v>0</v>
      </c>
      <c r="O32" s="230"/>
      <c r="P32" s="233"/>
      <c r="Q32" s="72"/>
    </row>
    <row r="33" spans="1:20" ht="15.6" thickTop="1" thickBot="1">
      <c r="A33" s="47"/>
      <c r="B33" s="228"/>
      <c r="C33" s="73"/>
      <c r="D33" s="184"/>
      <c r="E33" s="185"/>
      <c r="F33" s="186"/>
      <c r="G33" s="186"/>
      <c r="H33" s="186"/>
      <c r="I33" s="186"/>
      <c r="J33" s="186"/>
      <c r="K33" s="186"/>
      <c r="L33" s="207"/>
      <c r="M33" s="185">
        <f t="shared" si="9"/>
        <v>0</v>
      </c>
      <c r="N33" s="187">
        <f t="shared" si="10"/>
        <v>0</v>
      </c>
      <c r="O33" s="230"/>
      <c r="P33" s="233"/>
      <c r="Q33" s="72"/>
    </row>
    <row r="34" spans="1:20" ht="15.6" thickTop="1" thickBot="1">
      <c r="A34" s="47"/>
      <c r="B34" s="228"/>
      <c r="C34" s="74" t="s">
        <v>65</v>
      </c>
      <c r="D34" s="184">
        <f t="shared" ref="D34:K34" si="11">SUM(D28:D33)</f>
        <v>0</v>
      </c>
      <c r="E34" s="185">
        <f t="shared" si="11"/>
        <v>0</v>
      </c>
      <c r="F34" s="186">
        <f t="shared" si="11"/>
        <v>0</v>
      </c>
      <c r="G34" s="186">
        <f t="shared" si="11"/>
        <v>0</v>
      </c>
      <c r="H34" s="186">
        <f t="shared" si="11"/>
        <v>0</v>
      </c>
      <c r="I34" s="186">
        <f t="shared" si="11"/>
        <v>0</v>
      </c>
      <c r="J34" s="186">
        <f t="shared" si="11"/>
        <v>0</v>
      </c>
      <c r="K34" s="186">
        <f t="shared" si="11"/>
        <v>0</v>
      </c>
      <c r="L34" s="190"/>
      <c r="M34" s="185">
        <f>SUM(M28:M33)</f>
        <v>0</v>
      </c>
      <c r="N34" s="187">
        <f>SUM(N28:N33)</f>
        <v>0</v>
      </c>
      <c r="O34" s="231"/>
      <c r="P34" s="234"/>
      <c r="Q34" s="72"/>
    </row>
    <row r="35" spans="1:20" ht="15.6" thickTop="1" thickBot="1">
      <c r="A35" s="47"/>
      <c r="B35" s="228"/>
      <c r="C35" s="61" t="s">
        <v>44</v>
      </c>
      <c r="D35" s="189">
        <f>SUM(D28:D33)</f>
        <v>0</v>
      </c>
      <c r="E35" s="189">
        <f>SUM(E28:E33)</f>
        <v>0</v>
      </c>
      <c r="F35" s="235">
        <f>SUM(F34:K34)</f>
        <v>0</v>
      </c>
      <c r="G35" s="236"/>
      <c r="H35" s="236"/>
      <c r="I35" s="236"/>
      <c r="J35" s="236"/>
      <c r="K35" s="237"/>
      <c r="L35" s="191">
        <f>L34</f>
        <v>0</v>
      </c>
      <c r="M35" s="189">
        <f>SUM(M28:M33)</f>
        <v>0</v>
      </c>
      <c r="N35" s="189">
        <f>SUM(N28:N33)</f>
        <v>0</v>
      </c>
      <c r="O35" s="189">
        <f>SUM(O28)</f>
        <v>0</v>
      </c>
      <c r="P35" s="192">
        <f>SUM(P28)</f>
        <v>0</v>
      </c>
      <c r="Q35" s="62"/>
      <c r="T35" s="75" t="e">
        <f>$V$3+L11+L19+L27+L35</f>
        <v>#REF!</v>
      </c>
    </row>
    <row r="36" spans="1:20" ht="15.6" thickTop="1" thickBot="1">
      <c r="A36" s="47" t="str">
        <f ca="1">OFFSET('0'!$B$112,($A$1-1)*10,$B36-1)</f>
        <v>SV</v>
      </c>
      <c r="B36" s="228">
        <f ca="1">OFFSET('0'!$B$111,($A$1-1)*10,4)</f>
        <v>5</v>
      </c>
      <c r="C36" s="69"/>
      <c r="D36" s="81"/>
      <c r="E36" s="43"/>
      <c r="F36" s="82"/>
      <c r="G36" s="82"/>
      <c r="H36" s="82"/>
      <c r="I36" s="82"/>
      <c r="J36" s="82"/>
      <c r="K36" s="82"/>
      <c r="L36" s="79"/>
      <c r="M36" s="43">
        <f t="shared" ref="M36:M41" si="12">SUM(D36-E36)</f>
        <v>0</v>
      </c>
      <c r="N36" s="39">
        <f t="shared" ref="N36:N41" si="13">SUM(E36,M36)</f>
        <v>0</v>
      </c>
      <c r="O36" s="229"/>
      <c r="P36" s="232"/>
      <c r="Q36" s="70"/>
    </row>
    <row r="37" spans="1:20" ht="15.6" thickTop="1" thickBot="1">
      <c r="A37" s="47"/>
      <c r="B37" s="228"/>
      <c r="C37" s="71"/>
      <c r="D37" s="184"/>
      <c r="E37" s="185"/>
      <c r="F37" s="186"/>
      <c r="G37" s="186"/>
      <c r="H37" s="186"/>
      <c r="I37" s="186"/>
      <c r="J37" s="186"/>
      <c r="K37" s="186"/>
      <c r="L37" s="206"/>
      <c r="M37" s="185">
        <f t="shared" si="12"/>
        <v>0</v>
      </c>
      <c r="N37" s="187">
        <f t="shared" si="13"/>
        <v>0</v>
      </c>
      <c r="O37" s="230"/>
      <c r="P37" s="233"/>
      <c r="Q37" s="72"/>
    </row>
    <row r="38" spans="1:20" ht="15.6" thickTop="1" thickBot="1">
      <c r="A38" s="47"/>
      <c r="B38" s="228"/>
      <c r="C38" s="71"/>
      <c r="D38" s="184"/>
      <c r="E38" s="185"/>
      <c r="F38" s="186"/>
      <c r="G38" s="186"/>
      <c r="H38" s="186"/>
      <c r="I38" s="186"/>
      <c r="J38" s="186"/>
      <c r="K38" s="186"/>
      <c r="L38" s="206"/>
      <c r="M38" s="185">
        <f t="shared" si="12"/>
        <v>0</v>
      </c>
      <c r="N38" s="187">
        <f t="shared" si="13"/>
        <v>0</v>
      </c>
      <c r="O38" s="230"/>
      <c r="P38" s="233"/>
      <c r="Q38" s="72"/>
    </row>
    <row r="39" spans="1:20" ht="15.6" thickTop="1" thickBot="1">
      <c r="A39" s="47"/>
      <c r="B39" s="228"/>
      <c r="C39" s="73"/>
      <c r="D39" s="184"/>
      <c r="E39" s="185"/>
      <c r="F39" s="186"/>
      <c r="G39" s="186"/>
      <c r="H39" s="186"/>
      <c r="I39" s="186"/>
      <c r="J39" s="186"/>
      <c r="K39" s="186"/>
      <c r="L39" s="207"/>
      <c r="M39" s="185">
        <f t="shared" si="12"/>
        <v>0</v>
      </c>
      <c r="N39" s="187">
        <f t="shared" si="13"/>
        <v>0</v>
      </c>
      <c r="O39" s="230"/>
      <c r="P39" s="233"/>
      <c r="Q39" s="72"/>
    </row>
    <row r="40" spans="1:20" ht="15.6" thickTop="1" thickBot="1">
      <c r="A40" s="47"/>
      <c r="B40" s="228"/>
      <c r="C40" s="73"/>
      <c r="D40" s="184"/>
      <c r="E40" s="185"/>
      <c r="F40" s="186"/>
      <c r="G40" s="186"/>
      <c r="H40" s="186"/>
      <c r="I40" s="186"/>
      <c r="J40" s="186"/>
      <c r="K40" s="186"/>
      <c r="L40" s="207"/>
      <c r="M40" s="185">
        <f t="shared" si="12"/>
        <v>0</v>
      </c>
      <c r="N40" s="187">
        <f t="shared" si="13"/>
        <v>0</v>
      </c>
      <c r="O40" s="230"/>
      <c r="P40" s="233"/>
      <c r="Q40" s="72"/>
    </row>
    <row r="41" spans="1:20" ht="15.6" thickTop="1" thickBot="1">
      <c r="A41" s="47"/>
      <c r="B41" s="228"/>
      <c r="C41" s="73"/>
      <c r="D41" s="184"/>
      <c r="E41" s="185"/>
      <c r="F41" s="186"/>
      <c r="G41" s="186"/>
      <c r="H41" s="186"/>
      <c r="I41" s="186"/>
      <c r="J41" s="186"/>
      <c r="K41" s="186"/>
      <c r="L41" s="207"/>
      <c r="M41" s="185">
        <f t="shared" si="12"/>
        <v>0</v>
      </c>
      <c r="N41" s="187">
        <f t="shared" si="13"/>
        <v>0</v>
      </c>
      <c r="O41" s="230"/>
      <c r="P41" s="233"/>
      <c r="Q41" s="72"/>
    </row>
    <row r="42" spans="1:20" ht="15.6" thickTop="1" thickBot="1">
      <c r="A42" s="47"/>
      <c r="B42" s="228"/>
      <c r="C42" s="74" t="s">
        <v>65</v>
      </c>
      <c r="D42" s="184">
        <f t="shared" ref="D42:K42" si="14">SUM(D36:D41)</f>
        <v>0</v>
      </c>
      <c r="E42" s="185">
        <f t="shared" si="14"/>
        <v>0</v>
      </c>
      <c r="F42" s="186">
        <f t="shared" si="14"/>
        <v>0</v>
      </c>
      <c r="G42" s="186">
        <f t="shared" si="14"/>
        <v>0</v>
      </c>
      <c r="H42" s="186">
        <f t="shared" si="14"/>
        <v>0</v>
      </c>
      <c r="I42" s="186">
        <f t="shared" si="14"/>
        <v>0</v>
      </c>
      <c r="J42" s="186">
        <f t="shared" si="14"/>
        <v>0</v>
      </c>
      <c r="K42" s="186">
        <f t="shared" si="14"/>
        <v>0</v>
      </c>
      <c r="L42" s="190"/>
      <c r="M42" s="185">
        <f>SUM(M36:M41)</f>
        <v>0</v>
      </c>
      <c r="N42" s="196">
        <f>SUM(N36:N41)</f>
        <v>0</v>
      </c>
      <c r="O42" s="231"/>
      <c r="P42" s="234"/>
      <c r="Q42" s="77"/>
    </row>
    <row r="43" spans="1:20" ht="15.6" thickTop="1" thickBot="1">
      <c r="A43" s="47"/>
      <c r="B43" s="228"/>
      <c r="C43" s="61" t="s">
        <v>44</v>
      </c>
      <c r="D43" s="189">
        <f>SUM(D36:D41)</f>
        <v>0</v>
      </c>
      <c r="E43" s="189">
        <f>SUM(E36:E41)</f>
        <v>0</v>
      </c>
      <c r="F43" s="235">
        <f>SUM(F42:K42)</f>
        <v>0</v>
      </c>
      <c r="G43" s="236"/>
      <c r="H43" s="236"/>
      <c r="I43" s="236"/>
      <c r="J43" s="236"/>
      <c r="K43" s="237"/>
      <c r="L43" s="191">
        <f>L42</f>
        <v>0</v>
      </c>
      <c r="M43" s="189">
        <f>SUM(M36:M41)</f>
        <v>0</v>
      </c>
      <c r="N43" s="189">
        <f>SUM(N36:N41)</f>
        <v>0</v>
      </c>
      <c r="O43" s="189">
        <f>SUM(O36)</f>
        <v>0</v>
      </c>
      <c r="P43" s="192">
        <f>SUM(P36)</f>
        <v>0</v>
      </c>
      <c r="Q43" s="62"/>
      <c r="T43" s="75" t="e">
        <f>$V$3+L11+L19+L27+L35+L43</f>
        <v>#REF!</v>
      </c>
    </row>
    <row r="44" spans="1:20" ht="15.6" thickTop="1" thickBot="1">
      <c r="A44" s="47" t="str">
        <f ca="1">OFFSET('0'!$B$112,($A$1-1)*10,$B44-1)</f>
        <v>--</v>
      </c>
      <c r="B44" s="228">
        <f ca="1">OFFSET('0'!$B$111,($A$1-1)*10,5)</f>
        <v>6</v>
      </c>
      <c r="C44" s="69"/>
      <c r="D44" s="81"/>
      <c r="E44" s="43"/>
      <c r="F44" s="82"/>
      <c r="G44" s="82"/>
      <c r="H44" s="82"/>
      <c r="I44" s="82"/>
      <c r="J44" s="82"/>
      <c r="K44" s="82"/>
      <c r="L44" s="79"/>
      <c r="M44" s="43">
        <f t="shared" ref="M44:M49" si="15">SUM(D44-E44)</f>
        <v>0</v>
      </c>
      <c r="N44" s="39">
        <f t="shared" ref="N44:N49" si="16">SUM(E44,M44)</f>
        <v>0</v>
      </c>
      <c r="O44" s="229"/>
      <c r="P44" s="232"/>
      <c r="Q44" s="70"/>
    </row>
    <row r="45" spans="1:20" ht="15.6" thickTop="1" thickBot="1">
      <c r="A45" s="47"/>
      <c r="B45" s="228"/>
      <c r="C45" s="71"/>
      <c r="D45" s="184"/>
      <c r="E45" s="185"/>
      <c r="F45" s="186"/>
      <c r="G45" s="186"/>
      <c r="H45" s="186"/>
      <c r="I45" s="186"/>
      <c r="J45" s="186"/>
      <c r="K45" s="186"/>
      <c r="L45" s="206"/>
      <c r="M45" s="185">
        <f t="shared" si="15"/>
        <v>0</v>
      </c>
      <c r="N45" s="187">
        <f t="shared" si="16"/>
        <v>0</v>
      </c>
      <c r="O45" s="230"/>
      <c r="P45" s="233"/>
      <c r="Q45" s="72"/>
    </row>
    <row r="46" spans="1:20" ht="15.6" thickTop="1" thickBot="1">
      <c r="A46" s="47"/>
      <c r="B46" s="228"/>
      <c r="C46" s="71"/>
      <c r="D46" s="184"/>
      <c r="E46" s="185"/>
      <c r="F46" s="186"/>
      <c r="G46" s="186"/>
      <c r="H46" s="186"/>
      <c r="I46" s="186"/>
      <c r="J46" s="186"/>
      <c r="K46" s="186"/>
      <c r="L46" s="206"/>
      <c r="M46" s="185">
        <f t="shared" si="15"/>
        <v>0</v>
      </c>
      <c r="N46" s="187">
        <f t="shared" si="16"/>
        <v>0</v>
      </c>
      <c r="O46" s="230"/>
      <c r="P46" s="233"/>
      <c r="Q46" s="72"/>
    </row>
    <row r="47" spans="1:20" ht="15.6" thickTop="1" thickBot="1">
      <c r="A47" s="47"/>
      <c r="B47" s="228"/>
      <c r="C47" s="73"/>
      <c r="D47" s="184"/>
      <c r="E47" s="185"/>
      <c r="F47" s="186"/>
      <c r="G47" s="186"/>
      <c r="H47" s="186"/>
      <c r="I47" s="186"/>
      <c r="J47" s="186"/>
      <c r="K47" s="186"/>
      <c r="L47" s="206"/>
      <c r="M47" s="185">
        <f t="shared" si="15"/>
        <v>0</v>
      </c>
      <c r="N47" s="187">
        <f t="shared" si="16"/>
        <v>0</v>
      </c>
      <c r="O47" s="230"/>
      <c r="P47" s="233"/>
      <c r="Q47" s="72"/>
    </row>
    <row r="48" spans="1:20" ht="15.6" thickTop="1" thickBot="1">
      <c r="A48" s="47"/>
      <c r="B48" s="228"/>
      <c r="C48" s="73"/>
      <c r="D48" s="193"/>
      <c r="E48" s="194"/>
      <c r="F48" s="195"/>
      <c r="G48" s="195"/>
      <c r="H48" s="195"/>
      <c r="I48" s="195"/>
      <c r="J48" s="195"/>
      <c r="K48" s="195"/>
      <c r="L48" s="207"/>
      <c r="M48" s="185">
        <f t="shared" si="15"/>
        <v>0</v>
      </c>
      <c r="N48" s="187">
        <f t="shared" si="16"/>
        <v>0</v>
      </c>
      <c r="O48" s="230"/>
      <c r="P48" s="233"/>
      <c r="Q48" s="77"/>
    </row>
    <row r="49" spans="1:20" ht="15.6" thickTop="1" thickBot="1">
      <c r="A49" s="47"/>
      <c r="B49" s="228"/>
      <c r="C49" s="73"/>
      <c r="D49" s="193"/>
      <c r="E49" s="194"/>
      <c r="F49" s="195"/>
      <c r="G49" s="195"/>
      <c r="H49" s="195"/>
      <c r="I49" s="195"/>
      <c r="J49" s="195"/>
      <c r="K49" s="195"/>
      <c r="L49" s="207"/>
      <c r="M49" s="185">
        <f t="shared" si="15"/>
        <v>0</v>
      </c>
      <c r="N49" s="196">
        <f t="shared" si="16"/>
        <v>0</v>
      </c>
      <c r="O49" s="230"/>
      <c r="P49" s="233"/>
      <c r="Q49" s="77"/>
    </row>
    <row r="50" spans="1:20" ht="15.6" thickTop="1" thickBot="1">
      <c r="A50" s="47"/>
      <c r="B50" s="228"/>
      <c r="C50" s="74" t="s">
        <v>65</v>
      </c>
      <c r="D50" s="184">
        <f t="shared" ref="D50:K50" si="17">SUM(D44:D49)</f>
        <v>0</v>
      </c>
      <c r="E50" s="185">
        <f t="shared" si="17"/>
        <v>0</v>
      </c>
      <c r="F50" s="186">
        <f t="shared" si="17"/>
        <v>0</v>
      </c>
      <c r="G50" s="186">
        <f t="shared" si="17"/>
        <v>0</v>
      </c>
      <c r="H50" s="186">
        <f t="shared" si="17"/>
        <v>0</v>
      </c>
      <c r="I50" s="186">
        <f t="shared" si="17"/>
        <v>0</v>
      </c>
      <c r="J50" s="186">
        <f t="shared" si="17"/>
        <v>0</v>
      </c>
      <c r="K50" s="186">
        <f t="shared" si="17"/>
        <v>0</v>
      </c>
      <c r="L50" s="190"/>
      <c r="M50" s="185">
        <f>SUM(M44:M49)</f>
        <v>0</v>
      </c>
      <c r="N50" s="197">
        <f>SUM(N44:N49)</f>
        <v>0</v>
      </c>
      <c r="O50" s="231"/>
      <c r="P50" s="234"/>
      <c r="Q50" s="77"/>
    </row>
    <row r="51" spans="1:20" ht="15.6" thickTop="1" thickBot="1">
      <c r="A51" s="47"/>
      <c r="B51" s="228"/>
      <c r="C51" s="64" t="s">
        <v>44</v>
      </c>
      <c r="D51" s="198">
        <f>SUM(D44:D49)</f>
        <v>0</v>
      </c>
      <c r="E51" s="198">
        <f>SUM(E44:E49)</f>
        <v>0</v>
      </c>
      <c r="F51" s="235">
        <f>SUM(F50:K50)</f>
        <v>0</v>
      </c>
      <c r="G51" s="236"/>
      <c r="H51" s="236"/>
      <c r="I51" s="236"/>
      <c r="J51" s="236"/>
      <c r="K51" s="237"/>
      <c r="L51" s="199">
        <f>L50</f>
        <v>0</v>
      </c>
      <c r="M51" s="189">
        <f>SUM(M44:M49)</f>
        <v>0</v>
      </c>
      <c r="N51" s="189">
        <f>SUM(N44:N49)</f>
        <v>0</v>
      </c>
      <c r="O51" s="189">
        <f>SUM(O44)</f>
        <v>0</v>
      </c>
      <c r="P51" s="192">
        <f>SUM(P44)</f>
        <v>0</v>
      </c>
      <c r="Q51" s="65"/>
      <c r="T51" s="75" t="e">
        <f>$V$3+L11+L19+L27+L35+L43+L51</f>
        <v>#REF!</v>
      </c>
    </row>
    <row r="52" spans="1:20" ht="15.6" thickTop="1" thickBot="1">
      <c r="A52" s="47" t="str">
        <f ca="1">OFFSET('0'!$B$112,($A$1-1)*10,$B52-1)</f>
        <v>--</v>
      </c>
      <c r="B52" s="228">
        <f ca="1">OFFSET('0'!$B$111,($A$1-1)*10,6)</f>
        <v>7</v>
      </c>
      <c r="C52" s="69"/>
      <c r="D52" s="81"/>
      <c r="E52" s="43"/>
      <c r="F52" s="82"/>
      <c r="G52" s="82"/>
      <c r="H52" s="82"/>
      <c r="I52" s="82"/>
      <c r="J52" s="82"/>
      <c r="K52" s="82"/>
      <c r="L52" s="79"/>
      <c r="M52" s="43">
        <f t="shared" ref="M52:M57" si="18">SUM(D52-E52)</f>
        <v>0</v>
      </c>
      <c r="N52" s="39">
        <f t="shared" ref="N52:N57" si="19">SUM(E52,M52)</f>
        <v>0</v>
      </c>
      <c r="O52" s="229"/>
      <c r="P52" s="232"/>
      <c r="Q52" s="70"/>
    </row>
    <row r="53" spans="1:20" ht="15.6" thickTop="1" thickBot="1">
      <c r="A53" s="47"/>
      <c r="B53" s="228"/>
      <c r="C53" s="71"/>
      <c r="D53" s="184"/>
      <c r="E53" s="185"/>
      <c r="F53" s="186"/>
      <c r="G53" s="186"/>
      <c r="H53" s="186"/>
      <c r="I53" s="186"/>
      <c r="J53" s="186"/>
      <c r="K53" s="186"/>
      <c r="L53" s="206"/>
      <c r="M53" s="185">
        <f t="shared" si="18"/>
        <v>0</v>
      </c>
      <c r="N53" s="187">
        <f t="shared" si="19"/>
        <v>0</v>
      </c>
      <c r="O53" s="230"/>
      <c r="P53" s="233"/>
      <c r="Q53" s="72"/>
    </row>
    <row r="54" spans="1:20" ht="15.6" thickTop="1" thickBot="1">
      <c r="A54" s="47"/>
      <c r="B54" s="228"/>
      <c r="C54" s="71"/>
      <c r="D54" s="184"/>
      <c r="E54" s="185"/>
      <c r="F54" s="186"/>
      <c r="G54" s="186"/>
      <c r="H54" s="186"/>
      <c r="I54" s="186"/>
      <c r="J54" s="186"/>
      <c r="K54" s="186"/>
      <c r="L54" s="206"/>
      <c r="M54" s="185">
        <f t="shared" si="18"/>
        <v>0</v>
      </c>
      <c r="N54" s="187">
        <f t="shared" si="19"/>
        <v>0</v>
      </c>
      <c r="O54" s="230"/>
      <c r="P54" s="233"/>
      <c r="Q54" s="72"/>
    </row>
    <row r="55" spans="1:20" ht="15.6" thickTop="1" thickBot="1">
      <c r="A55" s="47"/>
      <c r="B55" s="228"/>
      <c r="C55" s="73"/>
      <c r="D55" s="184"/>
      <c r="E55" s="185"/>
      <c r="F55" s="186"/>
      <c r="G55" s="186"/>
      <c r="H55" s="186"/>
      <c r="I55" s="186"/>
      <c r="J55" s="186"/>
      <c r="K55" s="186"/>
      <c r="L55" s="206"/>
      <c r="M55" s="185">
        <f t="shared" si="18"/>
        <v>0</v>
      </c>
      <c r="N55" s="187">
        <f t="shared" si="19"/>
        <v>0</v>
      </c>
      <c r="O55" s="230"/>
      <c r="P55" s="233"/>
      <c r="Q55" s="72"/>
    </row>
    <row r="56" spans="1:20" ht="15.6" thickTop="1" thickBot="1">
      <c r="A56" s="47"/>
      <c r="B56" s="228"/>
      <c r="C56" s="73"/>
      <c r="D56" s="193"/>
      <c r="E56" s="194"/>
      <c r="F56" s="195"/>
      <c r="G56" s="195"/>
      <c r="H56" s="195"/>
      <c r="I56" s="195"/>
      <c r="J56" s="195"/>
      <c r="K56" s="195"/>
      <c r="L56" s="207"/>
      <c r="M56" s="185">
        <f t="shared" si="18"/>
        <v>0</v>
      </c>
      <c r="N56" s="187">
        <f t="shared" si="19"/>
        <v>0</v>
      </c>
      <c r="O56" s="230"/>
      <c r="P56" s="233"/>
      <c r="Q56" s="77"/>
    </row>
    <row r="57" spans="1:20" ht="15.6" thickTop="1" thickBot="1">
      <c r="A57" s="47"/>
      <c r="B57" s="228"/>
      <c r="C57" s="73"/>
      <c r="D57" s="193"/>
      <c r="E57" s="194"/>
      <c r="F57" s="195"/>
      <c r="G57" s="195"/>
      <c r="H57" s="195"/>
      <c r="I57" s="195"/>
      <c r="J57" s="195"/>
      <c r="K57" s="195"/>
      <c r="L57" s="207"/>
      <c r="M57" s="185">
        <f t="shared" si="18"/>
        <v>0</v>
      </c>
      <c r="N57" s="196">
        <f t="shared" si="19"/>
        <v>0</v>
      </c>
      <c r="O57" s="230"/>
      <c r="P57" s="233"/>
      <c r="Q57" s="77"/>
    </row>
    <row r="58" spans="1:20" ht="15.6" thickTop="1" thickBot="1">
      <c r="A58" s="47"/>
      <c r="B58" s="228"/>
      <c r="C58" s="74" t="s">
        <v>65</v>
      </c>
      <c r="D58" s="184">
        <f t="shared" ref="D58:K58" si="20">SUM(D52:D57)</f>
        <v>0</v>
      </c>
      <c r="E58" s="185">
        <f t="shared" si="20"/>
        <v>0</v>
      </c>
      <c r="F58" s="186">
        <f t="shared" si="20"/>
        <v>0</v>
      </c>
      <c r="G58" s="186">
        <f t="shared" si="20"/>
        <v>0</v>
      </c>
      <c r="H58" s="186">
        <f t="shared" si="20"/>
        <v>0</v>
      </c>
      <c r="I58" s="186">
        <f t="shared" si="20"/>
        <v>0</v>
      </c>
      <c r="J58" s="186">
        <f t="shared" si="20"/>
        <v>0</v>
      </c>
      <c r="K58" s="186">
        <f t="shared" si="20"/>
        <v>0</v>
      </c>
      <c r="L58" s="190"/>
      <c r="M58" s="185">
        <f>SUM(M52:M57)</f>
        <v>0</v>
      </c>
      <c r="N58" s="197">
        <f>SUM(N52:N57)</f>
        <v>0</v>
      </c>
      <c r="O58" s="231"/>
      <c r="P58" s="234"/>
      <c r="Q58" s="77"/>
    </row>
    <row r="59" spans="1:20" ht="15.6" thickTop="1" thickBot="1">
      <c r="A59" s="47"/>
      <c r="B59" s="228"/>
      <c r="C59" s="61" t="s">
        <v>44</v>
      </c>
      <c r="D59" s="189">
        <f>SUM(D52:D57)</f>
        <v>0</v>
      </c>
      <c r="E59" s="189">
        <f>SUM(E52:E57)</f>
        <v>0</v>
      </c>
      <c r="F59" s="235">
        <f>SUM(F58:K58)</f>
        <v>0</v>
      </c>
      <c r="G59" s="236"/>
      <c r="H59" s="236"/>
      <c r="I59" s="236"/>
      <c r="J59" s="236"/>
      <c r="K59" s="237"/>
      <c r="L59" s="200">
        <f>L58</f>
        <v>0</v>
      </c>
      <c r="M59" s="189">
        <f>SUM(M52:M57)</f>
        <v>0</v>
      </c>
      <c r="N59" s="189">
        <f>SUM(N52:N57)</f>
        <v>0</v>
      </c>
      <c r="O59" s="189">
        <f>SUM(O52)</f>
        <v>0</v>
      </c>
      <c r="P59" s="192">
        <f>SUM(P52)</f>
        <v>0</v>
      </c>
      <c r="Q59" s="62"/>
      <c r="T59" s="75" t="e">
        <f>$V$3+L11+L19+L27+L35+L43+L51+L59</f>
        <v>#REF!</v>
      </c>
    </row>
    <row r="60" spans="1:20" ht="15.6" thickTop="1" thickBot="1">
      <c r="A60" s="47" t="str">
        <f ca="1">OFFSET('0'!$B$112,($A$1-1)*10,$B60-1)</f>
        <v>--</v>
      </c>
      <c r="B60" s="228">
        <f ca="1">OFFSET('0'!$B$111,($A$1-1)*10,7)</f>
        <v>8</v>
      </c>
      <c r="C60" s="69"/>
      <c r="D60" s="81"/>
      <c r="E60" s="43"/>
      <c r="F60" s="82"/>
      <c r="G60" s="82"/>
      <c r="H60" s="82"/>
      <c r="I60" s="82"/>
      <c r="J60" s="82"/>
      <c r="K60" s="82"/>
      <c r="L60" s="79"/>
      <c r="M60" s="43">
        <f t="shared" ref="M60:M65" si="21">SUM(D60-E60)</f>
        <v>0</v>
      </c>
      <c r="N60" s="39">
        <f t="shared" ref="N60:N65" si="22">SUM(E60,M60)</f>
        <v>0</v>
      </c>
      <c r="O60" s="229"/>
      <c r="P60" s="232"/>
      <c r="Q60" s="70"/>
    </row>
    <row r="61" spans="1:20" ht="15.6" thickTop="1" thickBot="1">
      <c r="A61" s="47"/>
      <c r="B61" s="228"/>
      <c r="C61" s="71"/>
      <c r="D61" s="184"/>
      <c r="E61" s="185"/>
      <c r="F61" s="186"/>
      <c r="G61" s="186"/>
      <c r="H61" s="186"/>
      <c r="I61" s="186"/>
      <c r="J61" s="186"/>
      <c r="K61" s="186"/>
      <c r="L61" s="206"/>
      <c r="M61" s="185">
        <f t="shared" si="21"/>
        <v>0</v>
      </c>
      <c r="N61" s="187">
        <f t="shared" si="22"/>
        <v>0</v>
      </c>
      <c r="O61" s="230"/>
      <c r="P61" s="233"/>
      <c r="Q61" s="72"/>
    </row>
    <row r="62" spans="1:20" ht="15.6" thickTop="1" thickBot="1">
      <c r="A62" s="47"/>
      <c r="B62" s="228"/>
      <c r="C62" s="71"/>
      <c r="D62" s="184"/>
      <c r="E62" s="185"/>
      <c r="F62" s="186"/>
      <c r="G62" s="186"/>
      <c r="H62" s="186"/>
      <c r="I62" s="186"/>
      <c r="J62" s="186"/>
      <c r="K62" s="186"/>
      <c r="L62" s="206"/>
      <c r="M62" s="185">
        <f t="shared" si="21"/>
        <v>0</v>
      </c>
      <c r="N62" s="187">
        <f t="shared" si="22"/>
        <v>0</v>
      </c>
      <c r="O62" s="230"/>
      <c r="P62" s="233"/>
      <c r="Q62" s="72"/>
    </row>
    <row r="63" spans="1:20" ht="15.6" thickTop="1" thickBot="1">
      <c r="A63" s="47"/>
      <c r="B63" s="228"/>
      <c r="C63" s="73"/>
      <c r="D63" s="184"/>
      <c r="E63" s="185"/>
      <c r="F63" s="186"/>
      <c r="G63" s="186"/>
      <c r="H63" s="186"/>
      <c r="I63" s="186"/>
      <c r="J63" s="186"/>
      <c r="K63" s="186"/>
      <c r="L63" s="206"/>
      <c r="M63" s="185">
        <f t="shared" si="21"/>
        <v>0</v>
      </c>
      <c r="N63" s="187">
        <f t="shared" si="22"/>
        <v>0</v>
      </c>
      <c r="O63" s="230"/>
      <c r="P63" s="233"/>
      <c r="Q63" s="72"/>
    </row>
    <row r="64" spans="1:20" ht="15.6" thickTop="1" thickBot="1">
      <c r="A64" s="47"/>
      <c r="B64" s="228"/>
      <c r="C64" s="73"/>
      <c r="D64" s="193"/>
      <c r="E64" s="194"/>
      <c r="F64" s="195"/>
      <c r="G64" s="195"/>
      <c r="H64" s="195"/>
      <c r="I64" s="195"/>
      <c r="J64" s="195"/>
      <c r="K64" s="195"/>
      <c r="L64" s="207"/>
      <c r="M64" s="185">
        <f t="shared" si="21"/>
        <v>0</v>
      </c>
      <c r="N64" s="187">
        <f t="shared" si="22"/>
        <v>0</v>
      </c>
      <c r="O64" s="230"/>
      <c r="P64" s="233"/>
      <c r="Q64" s="77"/>
    </row>
    <row r="65" spans="1:20" ht="15.6" thickTop="1" thickBot="1">
      <c r="A65" s="47"/>
      <c r="B65" s="228"/>
      <c r="C65" s="73"/>
      <c r="D65" s="193"/>
      <c r="E65" s="194"/>
      <c r="F65" s="195"/>
      <c r="G65" s="195"/>
      <c r="H65" s="195"/>
      <c r="I65" s="195"/>
      <c r="J65" s="195"/>
      <c r="K65" s="195"/>
      <c r="L65" s="207"/>
      <c r="M65" s="185">
        <f t="shared" si="21"/>
        <v>0</v>
      </c>
      <c r="N65" s="196">
        <f t="shared" si="22"/>
        <v>0</v>
      </c>
      <c r="O65" s="230"/>
      <c r="P65" s="233"/>
      <c r="Q65" s="77"/>
    </row>
    <row r="66" spans="1:20" ht="15.6" thickTop="1" thickBot="1">
      <c r="A66" s="47"/>
      <c r="B66" s="228"/>
      <c r="C66" s="74" t="s">
        <v>65</v>
      </c>
      <c r="D66" s="184">
        <f t="shared" ref="D66:K66" si="23">SUM(D60:D65)</f>
        <v>0</v>
      </c>
      <c r="E66" s="185">
        <f t="shared" si="23"/>
        <v>0</v>
      </c>
      <c r="F66" s="186">
        <f t="shared" si="23"/>
        <v>0</v>
      </c>
      <c r="G66" s="186">
        <f t="shared" si="23"/>
        <v>0</v>
      </c>
      <c r="H66" s="186">
        <f t="shared" si="23"/>
        <v>0</v>
      </c>
      <c r="I66" s="186">
        <f t="shared" si="23"/>
        <v>0</v>
      </c>
      <c r="J66" s="186">
        <f t="shared" si="23"/>
        <v>0</v>
      </c>
      <c r="K66" s="186">
        <f t="shared" si="23"/>
        <v>0</v>
      </c>
      <c r="L66" s="190"/>
      <c r="M66" s="185">
        <f>SUM(M60:M65)</f>
        <v>0</v>
      </c>
      <c r="N66" s="197">
        <f>SUM(N60:N65)</f>
        <v>0</v>
      </c>
      <c r="O66" s="231"/>
      <c r="P66" s="234"/>
      <c r="Q66" s="77"/>
    </row>
    <row r="67" spans="1:20" ht="15.6" thickTop="1" thickBot="1">
      <c r="A67" s="47"/>
      <c r="B67" s="228"/>
      <c r="C67" s="61" t="s">
        <v>44</v>
      </c>
      <c r="D67" s="189">
        <f>SUM(D60:D65)</f>
        <v>0</v>
      </c>
      <c r="E67" s="189">
        <f>SUM(E60:E65)</f>
        <v>0</v>
      </c>
      <c r="F67" s="235">
        <f>SUM(F66:K66)</f>
        <v>0</v>
      </c>
      <c r="G67" s="236"/>
      <c r="H67" s="236"/>
      <c r="I67" s="236"/>
      <c r="J67" s="236"/>
      <c r="K67" s="237"/>
      <c r="L67" s="191">
        <f>L66</f>
        <v>0</v>
      </c>
      <c r="M67" s="189">
        <f>SUM(M60:M65)</f>
        <v>0</v>
      </c>
      <c r="N67" s="189">
        <f>SUM(N60:N65)</f>
        <v>0</v>
      </c>
      <c r="O67" s="189">
        <f>SUM(O60)</f>
        <v>0</v>
      </c>
      <c r="P67" s="192">
        <f>SUM(P60)</f>
        <v>0</v>
      </c>
      <c r="Q67" s="62"/>
      <c r="T67" s="75" t="e">
        <f>$V$3+L11+L19+L27+L35+L43+L51+L59+L67</f>
        <v>#REF!</v>
      </c>
    </row>
    <row r="68" spans="1:20" ht="15.6" thickTop="1" thickBot="1">
      <c r="A68" s="47" t="str">
        <f ca="1">OFFSET('0'!$B$112,($A$1-1)*10,$B68-1)</f>
        <v>--</v>
      </c>
      <c r="B68" s="228">
        <f ca="1">OFFSET('0'!$B$111,($A$1-1)*10,8)</f>
        <v>9</v>
      </c>
      <c r="C68" s="69"/>
      <c r="D68" s="81"/>
      <c r="E68" s="43"/>
      <c r="F68" s="82"/>
      <c r="G68" s="82"/>
      <c r="H68" s="82"/>
      <c r="I68" s="82"/>
      <c r="J68" s="82"/>
      <c r="K68" s="82"/>
      <c r="L68" s="79"/>
      <c r="M68" s="43">
        <f t="shared" ref="M68:M73" si="24">SUM(D68-E68)</f>
        <v>0</v>
      </c>
      <c r="N68" s="39">
        <f t="shared" ref="N68:N73" si="25">SUM(E68,M68)</f>
        <v>0</v>
      </c>
      <c r="O68" s="229"/>
      <c r="P68" s="232"/>
      <c r="Q68" s="70"/>
    </row>
    <row r="69" spans="1:20" ht="15.6" thickTop="1" thickBot="1">
      <c r="A69" s="47"/>
      <c r="B69" s="228"/>
      <c r="C69" s="71"/>
      <c r="D69" s="184"/>
      <c r="E69" s="185"/>
      <c r="F69" s="186"/>
      <c r="G69" s="186"/>
      <c r="H69" s="186"/>
      <c r="I69" s="186"/>
      <c r="J69" s="186"/>
      <c r="K69" s="186"/>
      <c r="L69" s="206"/>
      <c r="M69" s="185">
        <f t="shared" si="24"/>
        <v>0</v>
      </c>
      <c r="N69" s="187">
        <f t="shared" si="25"/>
        <v>0</v>
      </c>
      <c r="O69" s="230"/>
      <c r="P69" s="233"/>
      <c r="Q69" s="72"/>
    </row>
    <row r="70" spans="1:20" ht="15.6" thickTop="1" thickBot="1">
      <c r="A70" s="47"/>
      <c r="B70" s="228"/>
      <c r="C70" s="71"/>
      <c r="D70" s="184"/>
      <c r="E70" s="185"/>
      <c r="F70" s="186"/>
      <c r="G70" s="186"/>
      <c r="H70" s="186"/>
      <c r="I70" s="186"/>
      <c r="J70" s="186"/>
      <c r="K70" s="186"/>
      <c r="L70" s="206"/>
      <c r="M70" s="185">
        <f t="shared" si="24"/>
        <v>0</v>
      </c>
      <c r="N70" s="187">
        <f t="shared" si="25"/>
        <v>0</v>
      </c>
      <c r="O70" s="230"/>
      <c r="P70" s="233"/>
      <c r="Q70" s="72"/>
    </row>
    <row r="71" spans="1:20" ht="15.6" thickTop="1" thickBot="1">
      <c r="A71" s="47"/>
      <c r="B71" s="228"/>
      <c r="C71" s="73"/>
      <c r="D71" s="184"/>
      <c r="E71" s="185"/>
      <c r="F71" s="186"/>
      <c r="G71" s="186"/>
      <c r="H71" s="186"/>
      <c r="I71" s="186"/>
      <c r="J71" s="186"/>
      <c r="K71" s="186"/>
      <c r="L71" s="206"/>
      <c r="M71" s="185">
        <f t="shared" si="24"/>
        <v>0</v>
      </c>
      <c r="N71" s="187">
        <f t="shared" si="25"/>
        <v>0</v>
      </c>
      <c r="O71" s="230"/>
      <c r="P71" s="233"/>
      <c r="Q71" s="72"/>
    </row>
    <row r="72" spans="1:20" ht="15.6" thickTop="1" thickBot="1">
      <c r="A72" s="47"/>
      <c r="B72" s="228"/>
      <c r="C72" s="73"/>
      <c r="D72" s="184"/>
      <c r="E72" s="185"/>
      <c r="F72" s="186"/>
      <c r="G72" s="186"/>
      <c r="H72" s="186"/>
      <c r="I72" s="186"/>
      <c r="J72" s="186"/>
      <c r="K72" s="186"/>
      <c r="L72" s="207"/>
      <c r="M72" s="185">
        <f t="shared" si="24"/>
        <v>0</v>
      </c>
      <c r="N72" s="187">
        <f t="shared" si="25"/>
        <v>0</v>
      </c>
      <c r="O72" s="230"/>
      <c r="P72" s="233"/>
      <c r="Q72" s="72"/>
    </row>
    <row r="73" spans="1:20" ht="15.6" thickTop="1" thickBot="1">
      <c r="A73" s="47"/>
      <c r="B73" s="228"/>
      <c r="C73" s="73"/>
      <c r="D73" s="184"/>
      <c r="E73" s="185"/>
      <c r="F73" s="186"/>
      <c r="G73" s="186"/>
      <c r="H73" s="186"/>
      <c r="I73" s="186"/>
      <c r="J73" s="186"/>
      <c r="K73" s="186"/>
      <c r="L73" s="207"/>
      <c r="M73" s="185">
        <f t="shared" si="24"/>
        <v>0</v>
      </c>
      <c r="N73" s="187">
        <f t="shared" si="25"/>
        <v>0</v>
      </c>
      <c r="O73" s="230"/>
      <c r="P73" s="233"/>
      <c r="Q73" s="72"/>
    </row>
    <row r="74" spans="1:20" ht="15.6" thickTop="1" thickBot="1">
      <c r="A74" s="47"/>
      <c r="B74" s="228"/>
      <c r="C74" s="74" t="s">
        <v>65</v>
      </c>
      <c r="D74" s="184">
        <f t="shared" ref="D74:K74" si="26">SUM(D68:D73)</f>
        <v>0</v>
      </c>
      <c r="E74" s="185">
        <f t="shared" si="26"/>
        <v>0</v>
      </c>
      <c r="F74" s="186">
        <f t="shared" si="26"/>
        <v>0</v>
      </c>
      <c r="G74" s="186">
        <f t="shared" si="26"/>
        <v>0</v>
      </c>
      <c r="H74" s="186">
        <f t="shared" si="26"/>
        <v>0</v>
      </c>
      <c r="I74" s="186">
        <f t="shared" si="26"/>
        <v>0</v>
      </c>
      <c r="J74" s="186">
        <f t="shared" si="26"/>
        <v>0</v>
      </c>
      <c r="K74" s="186">
        <f t="shared" si="26"/>
        <v>0</v>
      </c>
      <c r="L74" s="190"/>
      <c r="M74" s="185">
        <f>SUM(M68:M73)</f>
        <v>0</v>
      </c>
      <c r="N74" s="187">
        <f>SUM(N68:N73)</f>
        <v>0</v>
      </c>
      <c r="O74" s="231"/>
      <c r="P74" s="234"/>
      <c r="Q74" s="72"/>
    </row>
    <row r="75" spans="1:20" ht="15.6" thickTop="1" thickBot="1">
      <c r="A75" s="47"/>
      <c r="B75" s="228"/>
      <c r="C75" s="61" t="s">
        <v>44</v>
      </c>
      <c r="D75" s="189">
        <f>SUM(D68:D73)</f>
        <v>0</v>
      </c>
      <c r="E75" s="189">
        <f>SUM(E68:E73)</f>
        <v>0</v>
      </c>
      <c r="F75" s="235">
        <f>SUM(F74:K74)</f>
        <v>0</v>
      </c>
      <c r="G75" s="236"/>
      <c r="H75" s="236"/>
      <c r="I75" s="236"/>
      <c r="J75" s="236"/>
      <c r="K75" s="237"/>
      <c r="L75" s="191">
        <f>L74</f>
        <v>0</v>
      </c>
      <c r="M75" s="189">
        <f>SUM(M68:M73)</f>
        <v>0</v>
      </c>
      <c r="N75" s="189">
        <f>SUM(N68:N73)</f>
        <v>0</v>
      </c>
      <c r="O75" s="189">
        <f>SUM(O68)</f>
        <v>0</v>
      </c>
      <c r="P75" s="192">
        <f>SUM(P68)</f>
        <v>0</v>
      </c>
      <c r="Q75" s="62"/>
      <c r="T75" s="75" t="e">
        <f>$V$3+L11+L19+L27+L35+L43+L51+L59+L67+L75</f>
        <v>#REF!</v>
      </c>
    </row>
    <row r="76" spans="1:20" ht="15.6" thickTop="1" thickBot="1">
      <c r="A76" s="47" t="str">
        <f ca="1">OFFSET('0'!$B$112,($A$1-1)*10,$B76-1)</f>
        <v>--</v>
      </c>
      <c r="B76" s="228">
        <f ca="1">OFFSET('0'!$B$111,($A$1-1)*10,9)</f>
        <v>10</v>
      </c>
      <c r="C76" s="69"/>
      <c r="D76" s="81"/>
      <c r="E76" s="43"/>
      <c r="F76" s="82"/>
      <c r="G76" s="82"/>
      <c r="H76" s="82"/>
      <c r="I76" s="82"/>
      <c r="J76" s="82"/>
      <c r="K76" s="82"/>
      <c r="L76" s="79"/>
      <c r="M76" s="43">
        <f t="shared" ref="M76:M81" si="27">SUM(D76-E76)</f>
        <v>0</v>
      </c>
      <c r="N76" s="39">
        <f t="shared" ref="N76:N81" si="28">SUM(E76,M76)</f>
        <v>0</v>
      </c>
      <c r="O76" s="229"/>
      <c r="P76" s="232"/>
      <c r="Q76" s="70"/>
    </row>
    <row r="77" spans="1:20" ht="15.6" thickTop="1" thickBot="1">
      <c r="A77" s="47"/>
      <c r="B77" s="228"/>
      <c r="C77" s="71"/>
      <c r="D77" s="184"/>
      <c r="E77" s="185"/>
      <c r="F77" s="186"/>
      <c r="G77" s="186"/>
      <c r="H77" s="186"/>
      <c r="I77" s="186"/>
      <c r="J77" s="186"/>
      <c r="K77" s="186"/>
      <c r="L77" s="206"/>
      <c r="M77" s="185">
        <f t="shared" si="27"/>
        <v>0</v>
      </c>
      <c r="N77" s="187">
        <f t="shared" si="28"/>
        <v>0</v>
      </c>
      <c r="O77" s="230"/>
      <c r="P77" s="233"/>
      <c r="Q77" s="72"/>
    </row>
    <row r="78" spans="1:20" ht="15.6" thickTop="1" thickBot="1">
      <c r="A78" s="47"/>
      <c r="B78" s="228"/>
      <c r="C78" s="71"/>
      <c r="D78" s="184"/>
      <c r="E78" s="185"/>
      <c r="F78" s="186"/>
      <c r="G78" s="186"/>
      <c r="H78" s="186"/>
      <c r="I78" s="186"/>
      <c r="J78" s="186"/>
      <c r="K78" s="186"/>
      <c r="L78" s="206"/>
      <c r="M78" s="185">
        <f t="shared" si="27"/>
        <v>0</v>
      </c>
      <c r="N78" s="187">
        <f t="shared" si="28"/>
        <v>0</v>
      </c>
      <c r="O78" s="230"/>
      <c r="P78" s="233"/>
      <c r="Q78" s="72"/>
    </row>
    <row r="79" spans="1:20" ht="15.6" thickTop="1" thickBot="1">
      <c r="A79" s="47"/>
      <c r="B79" s="228"/>
      <c r="C79" s="73"/>
      <c r="D79" s="184"/>
      <c r="E79" s="185"/>
      <c r="F79" s="186"/>
      <c r="G79" s="186"/>
      <c r="H79" s="186"/>
      <c r="I79" s="186"/>
      <c r="J79" s="186"/>
      <c r="K79" s="186"/>
      <c r="L79" s="206"/>
      <c r="M79" s="185">
        <f t="shared" si="27"/>
        <v>0</v>
      </c>
      <c r="N79" s="187">
        <f t="shared" si="28"/>
        <v>0</v>
      </c>
      <c r="O79" s="230"/>
      <c r="P79" s="233"/>
      <c r="Q79" s="72"/>
    </row>
    <row r="80" spans="1:20" ht="15.6" thickTop="1" thickBot="1">
      <c r="A80" s="47"/>
      <c r="B80" s="228"/>
      <c r="C80" s="73"/>
      <c r="D80" s="184"/>
      <c r="E80" s="185"/>
      <c r="F80" s="186"/>
      <c r="G80" s="186"/>
      <c r="H80" s="186"/>
      <c r="I80" s="186"/>
      <c r="J80" s="186"/>
      <c r="K80" s="186"/>
      <c r="L80" s="207"/>
      <c r="M80" s="185">
        <f t="shared" si="27"/>
        <v>0</v>
      </c>
      <c r="N80" s="187">
        <f t="shared" si="28"/>
        <v>0</v>
      </c>
      <c r="O80" s="230"/>
      <c r="P80" s="233"/>
      <c r="Q80" s="72"/>
    </row>
    <row r="81" spans="1:20" ht="15.6" thickTop="1" thickBot="1">
      <c r="A81" s="47"/>
      <c r="B81" s="228"/>
      <c r="C81" s="73"/>
      <c r="D81" s="184"/>
      <c r="E81" s="185"/>
      <c r="F81" s="186"/>
      <c r="G81" s="186"/>
      <c r="H81" s="186"/>
      <c r="I81" s="186"/>
      <c r="J81" s="186"/>
      <c r="K81" s="186"/>
      <c r="L81" s="207"/>
      <c r="M81" s="185">
        <f t="shared" si="27"/>
        <v>0</v>
      </c>
      <c r="N81" s="196">
        <f t="shared" si="28"/>
        <v>0</v>
      </c>
      <c r="O81" s="230"/>
      <c r="P81" s="233"/>
      <c r="Q81" s="72"/>
    </row>
    <row r="82" spans="1:20" ht="15.6" thickTop="1" thickBot="1">
      <c r="A82" s="47"/>
      <c r="B82" s="228"/>
      <c r="C82" s="74" t="s">
        <v>65</v>
      </c>
      <c r="D82" s="184">
        <f t="shared" ref="D82:K82" si="29">SUM(D76:D81)</f>
        <v>0</v>
      </c>
      <c r="E82" s="185">
        <f t="shared" si="29"/>
        <v>0</v>
      </c>
      <c r="F82" s="186">
        <f t="shared" si="29"/>
        <v>0</v>
      </c>
      <c r="G82" s="186">
        <f t="shared" si="29"/>
        <v>0</v>
      </c>
      <c r="H82" s="186">
        <f t="shared" si="29"/>
        <v>0</v>
      </c>
      <c r="I82" s="186">
        <f t="shared" si="29"/>
        <v>0</v>
      </c>
      <c r="J82" s="186">
        <f t="shared" si="29"/>
        <v>0</v>
      </c>
      <c r="K82" s="186">
        <f t="shared" si="29"/>
        <v>0</v>
      </c>
      <c r="L82" s="190"/>
      <c r="M82" s="185">
        <f>SUM(M76:M81)</f>
        <v>0</v>
      </c>
      <c r="N82" s="187">
        <f>SUM(N76:N81)</f>
        <v>0</v>
      </c>
      <c r="O82" s="231"/>
      <c r="P82" s="234"/>
      <c r="Q82" s="72"/>
    </row>
    <row r="83" spans="1:20" ht="15.6" thickTop="1" thickBot="1">
      <c r="A83" s="47"/>
      <c r="B83" s="228"/>
      <c r="C83" s="61" t="s">
        <v>44</v>
      </c>
      <c r="D83" s="189">
        <f>SUM(D76:D81)</f>
        <v>0</v>
      </c>
      <c r="E83" s="189">
        <f>SUM(E76:E81)</f>
        <v>0</v>
      </c>
      <c r="F83" s="235">
        <f>SUM(F82:K82)</f>
        <v>0</v>
      </c>
      <c r="G83" s="236"/>
      <c r="H83" s="236"/>
      <c r="I83" s="236"/>
      <c r="J83" s="236"/>
      <c r="K83" s="237"/>
      <c r="L83" s="191">
        <f>L82</f>
        <v>0</v>
      </c>
      <c r="M83" s="189">
        <f>SUM(M76:M81)</f>
        <v>0</v>
      </c>
      <c r="N83" s="189">
        <f>SUM(N76:N81)</f>
        <v>0</v>
      </c>
      <c r="O83" s="189">
        <f>SUM(O76)</f>
        <v>0</v>
      </c>
      <c r="P83" s="192">
        <f>SUM(P76)</f>
        <v>0</v>
      </c>
      <c r="Q83" s="62"/>
      <c r="T83" s="75" t="e">
        <f>$V$3+L11+L19+L27+L35+L43+L51+L59+L67+L75+L83</f>
        <v>#REF!</v>
      </c>
    </row>
    <row r="84" spans="1:20" ht="15.6" thickTop="1" thickBot="1">
      <c r="A84" s="47" t="str">
        <f ca="1">OFFSET('0'!$B$112,($A$1-1)*10,$B84-1)</f>
        <v>SS</v>
      </c>
      <c r="B84" s="228">
        <f ca="1">OFFSET('0'!$B$111,($A$1-1)*10,10)</f>
        <v>11</v>
      </c>
      <c r="C84" s="69"/>
      <c r="D84" s="81"/>
      <c r="E84" s="43"/>
      <c r="F84" s="82"/>
      <c r="G84" s="82"/>
      <c r="H84" s="82"/>
      <c r="I84" s="82"/>
      <c r="J84" s="82"/>
      <c r="K84" s="82"/>
      <c r="L84" s="79"/>
      <c r="M84" s="43">
        <f t="shared" ref="M84:M89" si="30">SUM(D84-E84)</f>
        <v>0</v>
      </c>
      <c r="N84" s="39">
        <f t="shared" ref="N84:N89" si="31">SUM(E84,M84)</f>
        <v>0</v>
      </c>
      <c r="O84" s="229"/>
      <c r="P84" s="232"/>
      <c r="Q84" s="70"/>
    </row>
    <row r="85" spans="1:20" ht="15.6" thickTop="1" thickBot="1">
      <c r="A85" s="47"/>
      <c r="B85" s="228"/>
      <c r="C85" s="71"/>
      <c r="D85" s="184"/>
      <c r="E85" s="185"/>
      <c r="F85" s="186"/>
      <c r="G85" s="186"/>
      <c r="H85" s="186"/>
      <c r="I85" s="186"/>
      <c r="J85" s="186"/>
      <c r="K85" s="186"/>
      <c r="L85" s="206"/>
      <c r="M85" s="185">
        <f t="shared" si="30"/>
        <v>0</v>
      </c>
      <c r="N85" s="187">
        <f t="shared" si="31"/>
        <v>0</v>
      </c>
      <c r="O85" s="230"/>
      <c r="P85" s="233"/>
      <c r="Q85" s="72"/>
    </row>
    <row r="86" spans="1:20" ht="15.6" thickTop="1" thickBot="1">
      <c r="A86" s="47"/>
      <c r="B86" s="228"/>
      <c r="C86" s="71"/>
      <c r="D86" s="184"/>
      <c r="E86" s="185"/>
      <c r="F86" s="186"/>
      <c r="G86" s="186"/>
      <c r="H86" s="186"/>
      <c r="I86" s="186"/>
      <c r="J86" s="186"/>
      <c r="K86" s="186"/>
      <c r="L86" s="206"/>
      <c r="M86" s="185">
        <f t="shared" si="30"/>
        <v>0</v>
      </c>
      <c r="N86" s="187">
        <f t="shared" si="31"/>
        <v>0</v>
      </c>
      <c r="O86" s="230"/>
      <c r="P86" s="233"/>
      <c r="Q86" s="72"/>
    </row>
    <row r="87" spans="1:20" ht="15.6" thickTop="1" thickBot="1">
      <c r="A87" s="47"/>
      <c r="B87" s="228"/>
      <c r="C87" s="73"/>
      <c r="D87" s="184"/>
      <c r="E87" s="185"/>
      <c r="F87" s="186"/>
      <c r="G87" s="186"/>
      <c r="H87" s="186"/>
      <c r="I87" s="186"/>
      <c r="J87" s="186"/>
      <c r="K87" s="186"/>
      <c r="L87" s="206"/>
      <c r="M87" s="185">
        <f t="shared" si="30"/>
        <v>0</v>
      </c>
      <c r="N87" s="187">
        <f t="shared" si="31"/>
        <v>0</v>
      </c>
      <c r="O87" s="230"/>
      <c r="P87" s="233"/>
      <c r="Q87" s="72"/>
    </row>
    <row r="88" spans="1:20" ht="15.6" thickTop="1" thickBot="1">
      <c r="A88" s="47"/>
      <c r="B88" s="228"/>
      <c r="C88" s="73"/>
      <c r="D88" s="184"/>
      <c r="E88" s="185"/>
      <c r="F88" s="186"/>
      <c r="G88" s="186"/>
      <c r="H88" s="186"/>
      <c r="I88" s="186"/>
      <c r="J88" s="186"/>
      <c r="K88" s="186"/>
      <c r="L88" s="206"/>
      <c r="M88" s="185">
        <f t="shared" si="30"/>
        <v>0</v>
      </c>
      <c r="N88" s="187">
        <f t="shared" si="31"/>
        <v>0</v>
      </c>
      <c r="O88" s="230"/>
      <c r="P88" s="233"/>
      <c r="Q88" s="72"/>
    </row>
    <row r="89" spans="1:20" ht="15.6" thickTop="1" thickBot="1">
      <c r="A89" s="47"/>
      <c r="B89" s="228"/>
      <c r="C89" s="73"/>
      <c r="D89" s="184"/>
      <c r="E89" s="185"/>
      <c r="F89" s="186"/>
      <c r="G89" s="186"/>
      <c r="H89" s="186"/>
      <c r="I89" s="186"/>
      <c r="J89" s="186"/>
      <c r="K89" s="186"/>
      <c r="L89" s="207"/>
      <c r="M89" s="185">
        <f t="shared" si="30"/>
        <v>0</v>
      </c>
      <c r="N89" s="196">
        <f t="shared" si="31"/>
        <v>0</v>
      </c>
      <c r="O89" s="230"/>
      <c r="P89" s="233"/>
      <c r="Q89" s="72"/>
    </row>
    <row r="90" spans="1:20" ht="15.6" thickTop="1" thickBot="1">
      <c r="A90" s="47"/>
      <c r="B90" s="228"/>
      <c r="C90" s="74" t="s">
        <v>65</v>
      </c>
      <c r="D90" s="184">
        <f t="shared" ref="D90:K90" si="32">SUM(D84:D89)</f>
        <v>0</v>
      </c>
      <c r="E90" s="185">
        <f t="shared" si="32"/>
        <v>0</v>
      </c>
      <c r="F90" s="186">
        <f t="shared" si="32"/>
        <v>0</v>
      </c>
      <c r="G90" s="186">
        <f t="shared" si="32"/>
        <v>0</v>
      </c>
      <c r="H90" s="186">
        <f t="shared" si="32"/>
        <v>0</v>
      </c>
      <c r="I90" s="186">
        <f t="shared" si="32"/>
        <v>0</v>
      </c>
      <c r="J90" s="186">
        <f t="shared" si="32"/>
        <v>0</v>
      </c>
      <c r="K90" s="186">
        <f t="shared" si="32"/>
        <v>0</v>
      </c>
      <c r="L90" s="190"/>
      <c r="M90" s="185">
        <f>SUM(M84:M89)</f>
        <v>0</v>
      </c>
      <c r="N90" s="187">
        <f>SUM(N84:N89)</f>
        <v>0</v>
      </c>
      <c r="O90" s="231"/>
      <c r="P90" s="234"/>
      <c r="Q90" s="72"/>
    </row>
    <row r="91" spans="1:20" ht="15.6" thickTop="1" thickBot="1">
      <c r="A91" s="47"/>
      <c r="B91" s="228"/>
      <c r="C91" s="61" t="s">
        <v>44</v>
      </c>
      <c r="D91" s="189">
        <f>SUM(D84:D89)</f>
        <v>0</v>
      </c>
      <c r="E91" s="189">
        <f>SUM(E84:E89)</f>
        <v>0</v>
      </c>
      <c r="F91" s="235">
        <f>SUM(F90:K90)</f>
        <v>0</v>
      </c>
      <c r="G91" s="236"/>
      <c r="H91" s="236"/>
      <c r="I91" s="236"/>
      <c r="J91" s="236"/>
      <c r="K91" s="237"/>
      <c r="L91" s="191">
        <f>L90</f>
        <v>0</v>
      </c>
      <c r="M91" s="189">
        <f>SUM(M84:M89)</f>
        <v>0</v>
      </c>
      <c r="N91" s="189">
        <f>SUM(N84:N89)</f>
        <v>0</v>
      </c>
      <c r="O91" s="189">
        <f>SUM(O84)</f>
        <v>0</v>
      </c>
      <c r="P91" s="192">
        <f>SUM(P84)</f>
        <v>0</v>
      </c>
      <c r="Q91" s="62"/>
      <c r="T91" s="75" t="e">
        <f>$V$3+L11+L19+L27+L35+L43+L51+L59+L67+L75+L83+L91</f>
        <v>#REF!</v>
      </c>
    </row>
    <row r="92" spans="1:20" ht="15.6" thickTop="1" thickBot="1">
      <c r="A92" s="47" t="str">
        <f ca="1">OFFSET('0'!$B$112,($A$1-1)*10,$B92-1)</f>
        <v>SK</v>
      </c>
      <c r="B92" s="228">
        <f ca="1">OFFSET('0'!$B$111,($A$1-1)*10,11)</f>
        <v>12</v>
      </c>
      <c r="C92" s="69"/>
      <c r="D92" s="81"/>
      <c r="E92" s="43"/>
      <c r="F92" s="82"/>
      <c r="G92" s="82"/>
      <c r="H92" s="82"/>
      <c r="I92" s="82"/>
      <c r="J92" s="82"/>
      <c r="K92" s="82"/>
      <c r="L92" s="79"/>
      <c r="M92" s="43">
        <f t="shared" ref="M92:M97" si="33">SUM(D92-E92)</f>
        <v>0</v>
      </c>
      <c r="N92" s="39">
        <f t="shared" ref="N92:N97" si="34">SUM(E92,M92)</f>
        <v>0</v>
      </c>
      <c r="O92" s="229"/>
      <c r="P92" s="232"/>
      <c r="Q92" s="70"/>
    </row>
    <row r="93" spans="1:20" ht="15.6" thickTop="1" thickBot="1">
      <c r="A93" s="47"/>
      <c r="B93" s="228"/>
      <c r="C93" s="71"/>
      <c r="D93" s="184"/>
      <c r="E93" s="185"/>
      <c r="F93" s="186"/>
      <c r="G93" s="186"/>
      <c r="H93" s="186"/>
      <c r="I93" s="186"/>
      <c r="J93" s="186"/>
      <c r="K93" s="186"/>
      <c r="L93" s="206"/>
      <c r="M93" s="185">
        <f t="shared" si="33"/>
        <v>0</v>
      </c>
      <c r="N93" s="187">
        <f t="shared" si="34"/>
        <v>0</v>
      </c>
      <c r="O93" s="230"/>
      <c r="P93" s="233"/>
      <c r="Q93" s="72"/>
    </row>
    <row r="94" spans="1:20" ht="15.6" thickTop="1" thickBot="1">
      <c r="A94" s="47"/>
      <c r="B94" s="228"/>
      <c r="C94" s="71"/>
      <c r="D94" s="184"/>
      <c r="E94" s="185"/>
      <c r="F94" s="186"/>
      <c r="G94" s="186"/>
      <c r="H94" s="186"/>
      <c r="I94" s="186"/>
      <c r="J94" s="186"/>
      <c r="K94" s="186"/>
      <c r="L94" s="206"/>
      <c r="M94" s="185">
        <f t="shared" si="33"/>
        <v>0</v>
      </c>
      <c r="N94" s="187">
        <f t="shared" si="34"/>
        <v>0</v>
      </c>
      <c r="O94" s="230"/>
      <c r="P94" s="233"/>
      <c r="Q94" s="72"/>
    </row>
    <row r="95" spans="1:20" ht="15.6" thickTop="1" thickBot="1">
      <c r="A95" s="47"/>
      <c r="B95" s="228"/>
      <c r="C95" s="73"/>
      <c r="D95" s="184"/>
      <c r="E95" s="185"/>
      <c r="F95" s="186"/>
      <c r="G95" s="186"/>
      <c r="H95" s="186"/>
      <c r="I95" s="186"/>
      <c r="J95" s="186"/>
      <c r="K95" s="186"/>
      <c r="L95" s="206"/>
      <c r="M95" s="185">
        <f t="shared" si="33"/>
        <v>0</v>
      </c>
      <c r="N95" s="187">
        <f t="shared" si="34"/>
        <v>0</v>
      </c>
      <c r="O95" s="230"/>
      <c r="P95" s="233"/>
      <c r="Q95" s="72"/>
    </row>
    <row r="96" spans="1:20" ht="15.6" thickTop="1" thickBot="1">
      <c r="A96" s="47"/>
      <c r="B96" s="228"/>
      <c r="C96" s="73"/>
      <c r="D96" s="184"/>
      <c r="E96" s="185"/>
      <c r="F96" s="186"/>
      <c r="G96" s="186"/>
      <c r="H96" s="186"/>
      <c r="I96" s="186"/>
      <c r="J96" s="186"/>
      <c r="K96" s="186"/>
      <c r="L96" s="206"/>
      <c r="M96" s="185">
        <f t="shared" si="33"/>
        <v>0</v>
      </c>
      <c r="N96" s="187">
        <f t="shared" si="34"/>
        <v>0</v>
      </c>
      <c r="O96" s="230"/>
      <c r="P96" s="233"/>
      <c r="Q96" s="72"/>
    </row>
    <row r="97" spans="1:20" ht="15.6" thickTop="1" thickBot="1">
      <c r="A97" s="47"/>
      <c r="B97" s="228"/>
      <c r="C97" s="73"/>
      <c r="D97" s="184"/>
      <c r="E97" s="185"/>
      <c r="F97" s="186"/>
      <c r="G97" s="186"/>
      <c r="H97" s="186"/>
      <c r="I97" s="186"/>
      <c r="J97" s="186"/>
      <c r="K97" s="186"/>
      <c r="L97" s="207"/>
      <c r="M97" s="185">
        <f t="shared" si="33"/>
        <v>0</v>
      </c>
      <c r="N97" s="196">
        <f t="shared" si="34"/>
        <v>0</v>
      </c>
      <c r="O97" s="230"/>
      <c r="P97" s="233"/>
      <c r="Q97" s="72"/>
    </row>
    <row r="98" spans="1:20" ht="15.6" thickTop="1" thickBot="1">
      <c r="A98" s="47"/>
      <c r="B98" s="228"/>
      <c r="C98" s="74" t="s">
        <v>65</v>
      </c>
      <c r="D98" s="184">
        <f t="shared" ref="D98:K98" si="35">SUM(D92:D97)</f>
        <v>0</v>
      </c>
      <c r="E98" s="185">
        <f t="shared" si="35"/>
        <v>0</v>
      </c>
      <c r="F98" s="186">
        <f t="shared" si="35"/>
        <v>0</v>
      </c>
      <c r="G98" s="186">
        <f t="shared" si="35"/>
        <v>0</v>
      </c>
      <c r="H98" s="186">
        <f t="shared" si="35"/>
        <v>0</v>
      </c>
      <c r="I98" s="186">
        <f t="shared" si="35"/>
        <v>0</v>
      </c>
      <c r="J98" s="186">
        <f t="shared" si="35"/>
        <v>0</v>
      </c>
      <c r="K98" s="186">
        <f t="shared" si="35"/>
        <v>0</v>
      </c>
      <c r="L98" s="190"/>
      <c r="M98" s="185">
        <f>SUM(M92:M97)</f>
        <v>0</v>
      </c>
      <c r="N98" s="187">
        <f>SUM(N92:N97)</f>
        <v>0</v>
      </c>
      <c r="O98" s="231"/>
      <c r="P98" s="234"/>
      <c r="Q98" s="72"/>
    </row>
    <row r="99" spans="1:20" ht="15.6" thickTop="1" thickBot="1">
      <c r="A99" s="47"/>
      <c r="B99" s="228"/>
      <c r="C99" s="61" t="s">
        <v>44</v>
      </c>
      <c r="D99" s="189">
        <f>SUM(D92:D97)</f>
        <v>0</v>
      </c>
      <c r="E99" s="189">
        <f>SUM(E92:E97)</f>
        <v>0</v>
      </c>
      <c r="F99" s="235">
        <f>SUM(F98:K98)</f>
        <v>0</v>
      </c>
      <c r="G99" s="236"/>
      <c r="H99" s="236"/>
      <c r="I99" s="236"/>
      <c r="J99" s="236"/>
      <c r="K99" s="237"/>
      <c r="L99" s="191">
        <f>L98</f>
        <v>0</v>
      </c>
      <c r="M99" s="189">
        <f>SUM(M92:M97)</f>
        <v>0</v>
      </c>
      <c r="N99" s="189">
        <f>SUM(N92:N97)</f>
        <v>0</v>
      </c>
      <c r="O99" s="189">
        <f>SUM(O92)</f>
        <v>0</v>
      </c>
      <c r="P99" s="192">
        <f>SUM(P92)</f>
        <v>0</v>
      </c>
      <c r="Q99" s="62"/>
      <c r="T99" s="75" t="e">
        <f>$V$3+L11+L19+L27+L35+L43+L51+L59+L67+L75+L83+L91+L99</f>
        <v>#REF!</v>
      </c>
    </row>
    <row r="100" spans="1:20" ht="15.6" thickTop="1" thickBot="1">
      <c r="A100" s="47" t="str">
        <f ca="1">OFFSET('0'!$B$112,($A$1-1)*10,$B100-1)</f>
        <v>--</v>
      </c>
      <c r="B100" s="228">
        <f ca="1">OFFSET('0'!$B$111,($A$1-1)*10,12)</f>
        <v>13</v>
      </c>
      <c r="C100" s="69"/>
      <c r="D100" s="81"/>
      <c r="E100" s="43"/>
      <c r="F100" s="82"/>
      <c r="G100" s="82"/>
      <c r="H100" s="82"/>
      <c r="I100" s="82"/>
      <c r="J100" s="82"/>
      <c r="K100" s="82"/>
      <c r="L100" s="79"/>
      <c r="M100" s="43">
        <f t="shared" ref="M100:M105" si="36">SUM(D100-E100)</f>
        <v>0</v>
      </c>
      <c r="N100" s="39">
        <f t="shared" ref="N100:N105" si="37">SUM(E100,M100)</f>
        <v>0</v>
      </c>
      <c r="O100" s="229"/>
      <c r="P100" s="232"/>
      <c r="Q100" s="70"/>
    </row>
    <row r="101" spans="1:20" ht="15.6" thickTop="1" thickBot="1">
      <c r="A101" s="47"/>
      <c r="B101" s="228"/>
      <c r="C101" s="71"/>
      <c r="D101" s="184"/>
      <c r="E101" s="185"/>
      <c r="F101" s="186"/>
      <c r="G101" s="186"/>
      <c r="H101" s="186"/>
      <c r="I101" s="186"/>
      <c r="J101" s="186"/>
      <c r="K101" s="186"/>
      <c r="L101" s="206"/>
      <c r="M101" s="185">
        <f t="shared" si="36"/>
        <v>0</v>
      </c>
      <c r="N101" s="187">
        <f t="shared" si="37"/>
        <v>0</v>
      </c>
      <c r="O101" s="230"/>
      <c r="P101" s="233"/>
      <c r="Q101" s="72"/>
    </row>
    <row r="102" spans="1:20" ht="15.6" thickTop="1" thickBot="1">
      <c r="A102" s="47"/>
      <c r="B102" s="228"/>
      <c r="C102" s="71"/>
      <c r="D102" s="184"/>
      <c r="E102" s="185"/>
      <c r="F102" s="186"/>
      <c r="G102" s="186"/>
      <c r="H102" s="186"/>
      <c r="I102" s="186"/>
      <c r="J102" s="186"/>
      <c r="K102" s="186"/>
      <c r="L102" s="206"/>
      <c r="M102" s="185">
        <f t="shared" si="36"/>
        <v>0</v>
      </c>
      <c r="N102" s="187">
        <f t="shared" si="37"/>
        <v>0</v>
      </c>
      <c r="O102" s="230"/>
      <c r="P102" s="233"/>
      <c r="Q102" s="72"/>
    </row>
    <row r="103" spans="1:20" ht="15.6" thickTop="1" thickBot="1">
      <c r="A103" s="47"/>
      <c r="B103" s="228"/>
      <c r="C103" s="73"/>
      <c r="D103" s="184"/>
      <c r="E103" s="185"/>
      <c r="F103" s="186"/>
      <c r="G103" s="186"/>
      <c r="H103" s="186"/>
      <c r="I103" s="186"/>
      <c r="J103" s="186"/>
      <c r="K103" s="186"/>
      <c r="L103" s="206"/>
      <c r="M103" s="185">
        <f t="shared" si="36"/>
        <v>0</v>
      </c>
      <c r="N103" s="187">
        <f t="shared" si="37"/>
        <v>0</v>
      </c>
      <c r="O103" s="230"/>
      <c r="P103" s="233"/>
      <c r="Q103" s="72"/>
    </row>
    <row r="104" spans="1:20" ht="15.6" thickTop="1" thickBot="1">
      <c r="A104" s="47"/>
      <c r="B104" s="228"/>
      <c r="C104" s="73"/>
      <c r="D104" s="184"/>
      <c r="E104" s="185"/>
      <c r="F104" s="186"/>
      <c r="G104" s="186"/>
      <c r="H104" s="186"/>
      <c r="I104" s="186"/>
      <c r="J104" s="186"/>
      <c r="K104" s="186"/>
      <c r="L104" s="206"/>
      <c r="M104" s="185">
        <f t="shared" si="36"/>
        <v>0</v>
      </c>
      <c r="N104" s="187">
        <f t="shared" si="37"/>
        <v>0</v>
      </c>
      <c r="O104" s="230"/>
      <c r="P104" s="233"/>
      <c r="Q104" s="72"/>
    </row>
    <row r="105" spans="1:20" ht="15.6" thickTop="1" thickBot="1">
      <c r="A105" s="47"/>
      <c r="B105" s="228"/>
      <c r="C105" s="73"/>
      <c r="D105" s="184"/>
      <c r="E105" s="185"/>
      <c r="F105" s="186"/>
      <c r="G105" s="186"/>
      <c r="H105" s="186"/>
      <c r="I105" s="186"/>
      <c r="J105" s="186"/>
      <c r="K105" s="186"/>
      <c r="L105" s="207"/>
      <c r="M105" s="185">
        <f t="shared" si="36"/>
        <v>0</v>
      </c>
      <c r="N105" s="196">
        <f t="shared" si="37"/>
        <v>0</v>
      </c>
      <c r="O105" s="230"/>
      <c r="P105" s="233"/>
      <c r="Q105" s="72"/>
    </row>
    <row r="106" spans="1:20" ht="15.6" thickTop="1" thickBot="1">
      <c r="A106" s="47"/>
      <c r="B106" s="228"/>
      <c r="C106" s="78" t="s">
        <v>65</v>
      </c>
      <c r="D106" s="184">
        <f t="shared" ref="D106:K106" si="38">SUM(D100:D105)</f>
        <v>0</v>
      </c>
      <c r="E106" s="185">
        <f t="shared" si="38"/>
        <v>0</v>
      </c>
      <c r="F106" s="186">
        <f t="shared" si="38"/>
        <v>0</v>
      </c>
      <c r="G106" s="186">
        <f t="shared" si="38"/>
        <v>0</v>
      </c>
      <c r="H106" s="186">
        <f t="shared" si="38"/>
        <v>0</v>
      </c>
      <c r="I106" s="186">
        <f t="shared" si="38"/>
        <v>0</v>
      </c>
      <c r="J106" s="186">
        <f t="shared" si="38"/>
        <v>0</v>
      </c>
      <c r="K106" s="186">
        <f t="shared" si="38"/>
        <v>0</v>
      </c>
      <c r="L106" s="190"/>
      <c r="M106" s="185">
        <f>SUM(M100:M105)</f>
        <v>0</v>
      </c>
      <c r="N106" s="187">
        <f>SUM(N100:N105)</f>
        <v>0</v>
      </c>
      <c r="O106" s="231"/>
      <c r="P106" s="234"/>
      <c r="Q106" s="72"/>
    </row>
    <row r="107" spans="1:20" ht="15.6" thickTop="1" thickBot="1">
      <c r="A107" s="47"/>
      <c r="B107" s="228"/>
      <c r="C107" s="61" t="s">
        <v>44</v>
      </c>
      <c r="D107" s="189">
        <f>SUM(D100:D105)</f>
        <v>0</v>
      </c>
      <c r="E107" s="189">
        <f>SUM(E100:E105)</f>
        <v>0</v>
      </c>
      <c r="F107" s="235">
        <f>SUM(F106:K106)</f>
        <v>0</v>
      </c>
      <c r="G107" s="236"/>
      <c r="H107" s="236"/>
      <c r="I107" s="236"/>
      <c r="J107" s="236"/>
      <c r="K107" s="237"/>
      <c r="L107" s="191">
        <f>L106</f>
        <v>0</v>
      </c>
      <c r="M107" s="189">
        <f>SUM(M100:M105)</f>
        <v>0</v>
      </c>
      <c r="N107" s="189">
        <f>SUM(N100:N105)</f>
        <v>0</v>
      </c>
      <c r="O107" s="189">
        <f>SUM(O100)</f>
        <v>0</v>
      </c>
      <c r="P107" s="192">
        <f>SUM(P100)</f>
        <v>0</v>
      </c>
      <c r="Q107" s="62"/>
      <c r="T107" s="75" t="e">
        <f>$V$3+L11+L19+L27+L35+L43+L51+L59+L67+L75+L83+L91+L99+L107</f>
        <v>#REF!</v>
      </c>
    </row>
    <row r="108" spans="1:20" ht="15.6" thickTop="1" thickBot="1">
      <c r="A108" s="47" t="str">
        <f ca="1">OFFSET('0'!$B$112,($A$1-1)*10,$B108-1)</f>
        <v>--</v>
      </c>
      <c r="B108" s="228">
        <f ca="1">OFFSET('0'!$B$111,($A$1-1)*10,13)</f>
        <v>14</v>
      </c>
      <c r="C108" s="69"/>
      <c r="D108" s="81"/>
      <c r="E108" s="43"/>
      <c r="F108" s="82"/>
      <c r="G108" s="82"/>
      <c r="H108" s="82"/>
      <c r="I108" s="82"/>
      <c r="J108" s="82"/>
      <c r="K108" s="82"/>
      <c r="L108" s="79"/>
      <c r="M108" s="43">
        <f t="shared" ref="M108:M113" si="39">SUM(D108-E108)</f>
        <v>0</v>
      </c>
      <c r="N108" s="39">
        <f t="shared" ref="N108:N113" si="40">SUM(E108,M108)</f>
        <v>0</v>
      </c>
      <c r="O108" s="229"/>
      <c r="P108" s="232"/>
      <c r="Q108" s="70"/>
    </row>
    <row r="109" spans="1:20" ht="15.6" thickTop="1" thickBot="1">
      <c r="A109" s="47"/>
      <c r="B109" s="228"/>
      <c r="C109" s="71"/>
      <c r="D109" s="184"/>
      <c r="E109" s="185"/>
      <c r="F109" s="186"/>
      <c r="G109" s="186"/>
      <c r="H109" s="186"/>
      <c r="I109" s="186"/>
      <c r="J109" s="186"/>
      <c r="K109" s="186"/>
      <c r="L109" s="206"/>
      <c r="M109" s="185">
        <f t="shared" si="39"/>
        <v>0</v>
      </c>
      <c r="N109" s="187">
        <f t="shared" si="40"/>
        <v>0</v>
      </c>
      <c r="O109" s="230"/>
      <c r="P109" s="233"/>
      <c r="Q109" s="72"/>
    </row>
    <row r="110" spans="1:20" ht="15.6" thickTop="1" thickBot="1">
      <c r="A110" s="47"/>
      <c r="B110" s="228"/>
      <c r="C110" s="71"/>
      <c r="D110" s="184"/>
      <c r="E110" s="185"/>
      <c r="F110" s="186"/>
      <c r="G110" s="186"/>
      <c r="H110" s="186"/>
      <c r="I110" s="186"/>
      <c r="J110" s="186"/>
      <c r="K110" s="186"/>
      <c r="L110" s="206"/>
      <c r="M110" s="185">
        <f t="shared" si="39"/>
        <v>0</v>
      </c>
      <c r="N110" s="187">
        <f t="shared" si="40"/>
        <v>0</v>
      </c>
      <c r="O110" s="230"/>
      <c r="P110" s="233"/>
      <c r="Q110" s="72"/>
    </row>
    <row r="111" spans="1:20" ht="15.6" thickTop="1" thickBot="1">
      <c r="A111" s="47"/>
      <c r="B111" s="228"/>
      <c r="C111" s="73"/>
      <c r="D111" s="184"/>
      <c r="E111" s="185"/>
      <c r="F111" s="186"/>
      <c r="G111" s="186"/>
      <c r="H111" s="186"/>
      <c r="I111" s="186"/>
      <c r="J111" s="186"/>
      <c r="K111" s="186"/>
      <c r="L111" s="206"/>
      <c r="M111" s="185">
        <f t="shared" si="39"/>
        <v>0</v>
      </c>
      <c r="N111" s="187">
        <f t="shared" si="40"/>
        <v>0</v>
      </c>
      <c r="O111" s="230"/>
      <c r="P111" s="233"/>
      <c r="Q111" s="72"/>
    </row>
    <row r="112" spans="1:20" ht="15.6" thickTop="1" thickBot="1">
      <c r="A112" s="47"/>
      <c r="B112" s="228"/>
      <c r="C112" s="73"/>
      <c r="D112" s="184"/>
      <c r="E112" s="185"/>
      <c r="F112" s="186"/>
      <c r="G112" s="186"/>
      <c r="H112" s="186"/>
      <c r="I112" s="186"/>
      <c r="J112" s="186"/>
      <c r="K112" s="186"/>
      <c r="L112" s="206"/>
      <c r="M112" s="185">
        <f t="shared" si="39"/>
        <v>0</v>
      </c>
      <c r="N112" s="196">
        <f t="shared" si="40"/>
        <v>0</v>
      </c>
      <c r="O112" s="230"/>
      <c r="P112" s="233"/>
      <c r="Q112" s="72"/>
    </row>
    <row r="113" spans="1:22" ht="15.6" thickTop="1" thickBot="1">
      <c r="A113" s="47"/>
      <c r="B113" s="228"/>
      <c r="C113" s="73"/>
      <c r="D113" s="184"/>
      <c r="E113" s="185"/>
      <c r="F113" s="186"/>
      <c r="G113" s="186"/>
      <c r="H113" s="186"/>
      <c r="I113" s="186"/>
      <c r="J113" s="186"/>
      <c r="K113" s="186"/>
      <c r="L113" s="207"/>
      <c r="M113" s="185">
        <f t="shared" si="39"/>
        <v>0</v>
      </c>
      <c r="N113" s="187">
        <f t="shared" si="40"/>
        <v>0</v>
      </c>
      <c r="O113" s="230"/>
      <c r="P113" s="233"/>
      <c r="Q113" s="72"/>
    </row>
    <row r="114" spans="1:22" ht="15.6" thickTop="1" thickBot="1">
      <c r="A114" s="47"/>
      <c r="B114" s="228"/>
      <c r="C114" s="74" t="s">
        <v>65</v>
      </c>
      <c r="D114" s="184">
        <f t="shared" ref="D114:K114" si="41">SUM(D108:D113)</f>
        <v>0</v>
      </c>
      <c r="E114" s="185">
        <f t="shared" si="41"/>
        <v>0</v>
      </c>
      <c r="F114" s="186">
        <f t="shared" si="41"/>
        <v>0</v>
      </c>
      <c r="G114" s="186">
        <f t="shared" si="41"/>
        <v>0</v>
      </c>
      <c r="H114" s="186">
        <f t="shared" si="41"/>
        <v>0</v>
      </c>
      <c r="I114" s="186">
        <f t="shared" si="41"/>
        <v>0</v>
      </c>
      <c r="J114" s="186">
        <f t="shared" si="41"/>
        <v>0</v>
      </c>
      <c r="K114" s="186">
        <f t="shared" si="41"/>
        <v>0</v>
      </c>
      <c r="L114" s="190"/>
      <c r="M114" s="185">
        <f>SUM(M108:M113)</f>
        <v>0</v>
      </c>
      <c r="N114" s="187">
        <f>SUM(N108:N113)</f>
        <v>0</v>
      </c>
      <c r="O114" s="231"/>
      <c r="P114" s="234"/>
      <c r="Q114" s="72"/>
    </row>
    <row r="115" spans="1:22" ht="15.6" thickTop="1" thickBot="1">
      <c r="A115" s="47"/>
      <c r="B115" s="228"/>
      <c r="C115" s="61" t="s">
        <v>44</v>
      </c>
      <c r="D115" s="189">
        <f>SUM(D108:D113)</f>
        <v>0</v>
      </c>
      <c r="E115" s="189">
        <f>SUM(E108:E113)</f>
        <v>0</v>
      </c>
      <c r="F115" s="235">
        <f>SUM(F114:K114)</f>
        <v>0</v>
      </c>
      <c r="G115" s="236"/>
      <c r="H115" s="236"/>
      <c r="I115" s="236"/>
      <c r="J115" s="236"/>
      <c r="K115" s="237"/>
      <c r="L115" s="191">
        <f>L114</f>
        <v>0</v>
      </c>
      <c r="M115" s="189">
        <f>SUM(M108:M113)</f>
        <v>0</v>
      </c>
      <c r="N115" s="189">
        <f>SUM(N108:N113)</f>
        <v>0</v>
      </c>
      <c r="O115" s="189">
        <f>SUM(O108)</f>
        <v>0</v>
      </c>
      <c r="P115" s="192">
        <f>SUM(P108)</f>
        <v>0</v>
      </c>
      <c r="Q115" s="62"/>
      <c r="S115" s="66"/>
      <c r="T115" s="75" t="e">
        <f>$V$3+L11+L19+L27+L35+L43+L51+L59+L67+L75+L83+L91+L99+L107+L115</f>
        <v>#REF!</v>
      </c>
    </row>
    <row r="116" spans="1:22" ht="15.6" thickTop="1" thickBot="1">
      <c r="A116" s="47" t="str">
        <f ca="1">OFFSET('0'!$B$112,($A$1-1)*10,$B116-1)</f>
        <v>--</v>
      </c>
      <c r="B116" s="228">
        <f ca="1">OFFSET('0'!$B$111,($A$1-1)*10,14)</f>
        <v>15</v>
      </c>
      <c r="C116" s="69"/>
      <c r="D116" s="81"/>
      <c r="E116" s="43"/>
      <c r="F116" s="82"/>
      <c r="G116" s="82"/>
      <c r="H116" s="82"/>
      <c r="I116" s="82"/>
      <c r="J116" s="82"/>
      <c r="K116" s="82"/>
      <c r="L116" s="79"/>
      <c r="M116" s="43">
        <f t="shared" ref="M116:M121" si="42">SUM(D116-E116)</f>
        <v>0</v>
      </c>
      <c r="N116" s="39">
        <f t="shared" ref="N116:N121" si="43">SUM(E116,M116)</f>
        <v>0</v>
      </c>
      <c r="O116" s="229"/>
      <c r="P116" s="232"/>
      <c r="Q116" s="70"/>
    </row>
    <row r="117" spans="1:22" ht="15.6" thickTop="1" thickBot="1">
      <c r="A117" s="47"/>
      <c r="B117" s="228"/>
      <c r="C117" s="71"/>
      <c r="D117" s="184"/>
      <c r="E117" s="185"/>
      <c r="F117" s="186"/>
      <c r="G117" s="186"/>
      <c r="H117" s="186"/>
      <c r="I117" s="186"/>
      <c r="J117" s="186"/>
      <c r="K117" s="186"/>
      <c r="L117" s="206"/>
      <c r="M117" s="185">
        <f t="shared" si="42"/>
        <v>0</v>
      </c>
      <c r="N117" s="187">
        <f t="shared" si="43"/>
        <v>0</v>
      </c>
      <c r="O117" s="230"/>
      <c r="P117" s="233"/>
      <c r="Q117" s="72"/>
    </row>
    <row r="118" spans="1:22" ht="15.6" thickTop="1" thickBot="1">
      <c r="A118" s="47"/>
      <c r="B118" s="228"/>
      <c r="C118" s="71"/>
      <c r="D118" s="184"/>
      <c r="E118" s="185"/>
      <c r="F118" s="186"/>
      <c r="G118" s="186"/>
      <c r="H118" s="186"/>
      <c r="I118" s="186"/>
      <c r="J118" s="186"/>
      <c r="K118" s="186"/>
      <c r="L118" s="206"/>
      <c r="M118" s="185">
        <f t="shared" si="42"/>
        <v>0</v>
      </c>
      <c r="N118" s="187">
        <f t="shared" si="43"/>
        <v>0</v>
      </c>
      <c r="O118" s="230"/>
      <c r="P118" s="233"/>
      <c r="Q118" s="72"/>
      <c r="S118" s="66"/>
    </row>
    <row r="119" spans="1:22" ht="15.6" thickTop="1" thickBot="1">
      <c r="A119" s="47"/>
      <c r="B119" s="228"/>
      <c r="C119" s="73"/>
      <c r="D119" s="184"/>
      <c r="E119" s="185"/>
      <c r="F119" s="186"/>
      <c r="G119" s="186"/>
      <c r="H119" s="186"/>
      <c r="I119" s="186"/>
      <c r="J119" s="186"/>
      <c r="K119" s="186"/>
      <c r="L119" s="206"/>
      <c r="M119" s="185">
        <f t="shared" si="42"/>
        <v>0</v>
      </c>
      <c r="N119" s="187">
        <f t="shared" si="43"/>
        <v>0</v>
      </c>
      <c r="O119" s="230"/>
      <c r="P119" s="233"/>
      <c r="Q119" s="72"/>
      <c r="S119" s="66"/>
    </row>
    <row r="120" spans="1:22" ht="15.6" thickTop="1" thickBot="1">
      <c r="A120" s="47"/>
      <c r="B120" s="228"/>
      <c r="C120" s="73"/>
      <c r="D120" s="184"/>
      <c r="E120" s="185"/>
      <c r="F120" s="186"/>
      <c r="G120" s="186"/>
      <c r="H120" s="186"/>
      <c r="I120" s="186"/>
      <c r="J120" s="186"/>
      <c r="K120" s="186"/>
      <c r="L120" s="206"/>
      <c r="M120" s="185">
        <f t="shared" si="42"/>
        <v>0</v>
      </c>
      <c r="N120" s="187">
        <f t="shared" si="43"/>
        <v>0</v>
      </c>
      <c r="O120" s="230"/>
      <c r="P120" s="233"/>
      <c r="Q120" s="72"/>
      <c r="S120" s="66"/>
    </row>
    <row r="121" spans="1:22" ht="15.6" thickTop="1" thickBot="1">
      <c r="A121" s="47"/>
      <c r="B121" s="228"/>
      <c r="C121" s="73"/>
      <c r="D121" s="184"/>
      <c r="E121" s="185"/>
      <c r="F121" s="186"/>
      <c r="G121" s="186"/>
      <c r="H121" s="186"/>
      <c r="I121" s="186"/>
      <c r="J121" s="186"/>
      <c r="K121" s="186"/>
      <c r="L121" s="207"/>
      <c r="M121" s="185">
        <f t="shared" si="42"/>
        <v>0</v>
      </c>
      <c r="N121" s="187">
        <f t="shared" si="43"/>
        <v>0</v>
      </c>
      <c r="O121" s="230"/>
      <c r="P121" s="233"/>
      <c r="Q121" s="72"/>
      <c r="S121" s="66"/>
    </row>
    <row r="122" spans="1:22" ht="15.6" thickTop="1" thickBot="1">
      <c r="A122" s="47"/>
      <c r="B122" s="228"/>
      <c r="C122" s="74" t="s">
        <v>65</v>
      </c>
      <c r="D122" s="184">
        <f t="shared" ref="D122:K122" si="44">SUM(D116:D121)</f>
        <v>0</v>
      </c>
      <c r="E122" s="185">
        <f t="shared" si="44"/>
        <v>0</v>
      </c>
      <c r="F122" s="186">
        <f t="shared" si="44"/>
        <v>0</v>
      </c>
      <c r="G122" s="186">
        <f t="shared" si="44"/>
        <v>0</v>
      </c>
      <c r="H122" s="186">
        <f t="shared" si="44"/>
        <v>0</v>
      </c>
      <c r="I122" s="186">
        <f t="shared" si="44"/>
        <v>0</v>
      </c>
      <c r="J122" s="186">
        <f t="shared" si="44"/>
        <v>0</v>
      </c>
      <c r="K122" s="186">
        <f t="shared" si="44"/>
        <v>0</v>
      </c>
      <c r="L122" s="190"/>
      <c r="M122" s="185">
        <f>SUM(M116:M121)</f>
        <v>0</v>
      </c>
      <c r="N122" s="187">
        <f>SUM(N116:N121)</f>
        <v>0</v>
      </c>
      <c r="O122" s="231"/>
      <c r="P122" s="234"/>
      <c r="Q122" s="72"/>
      <c r="S122" s="66"/>
    </row>
    <row r="123" spans="1:22" ht="15.6" thickTop="1" thickBot="1">
      <c r="A123" s="47"/>
      <c r="B123" s="228"/>
      <c r="C123" s="64" t="s">
        <v>44</v>
      </c>
      <c r="D123" s="198">
        <f>SUM(D116:D121)</f>
        <v>0</v>
      </c>
      <c r="E123" s="198">
        <f>SUM(E116:E121)</f>
        <v>0</v>
      </c>
      <c r="F123" s="235">
        <f>SUM(F122:K122)</f>
        <v>0</v>
      </c>
      <c r="G123" s="236"/>
      <c r="H123" s="236"/>
      <c r="I123" s="236"/>
      <c r="J123" s="236"/>
      <c r="K123" s="237"/>
      <c r="L123" s="199">
        <f>L122</f>
        <v>0</v>
      </c>
      <c r="M123" s="198">
        <f>SUM(M116:M121)</f>
        <v>0</v>
      </c>
      <c r="N123" s="198">
        <f>SUM(N116:N121)</f>
        <v>0</v>
      </c>
      <c r="O123" s="189">
        <f>SUM(O116)</f>
        <v>0</v>
      </c>
      <c r="P123" s="192">
        <f>SUM(P116)</f>
        <v>0</v>
      </c>
      <c r="Q123" s="65"/>
      <c r="T123" s="75" t="e">
        <f>$V$3+L11+L19+L27+L35+L43+L51+L59+L67+L75+L83+L91+L99+L107+L115+L123</f>
        <v>#REF!</v>
      </c>
      <c r="U123" s="66"/>
    </row>
    <row r="124" spans="1:22" ht="15.6" thickTop="1" thickBot="1">
      <c r="A124" s="47" t="str">
        <f ca="1">OFFSET('0'!$B$112,($A$1-1)*10,$B124-1)</f>
        <v>--</v>
      </c>
      <c r="B124" s="228">
        <f ca="1">OFFSET('0'!$B$111,($A$1-1)*10,15)</f>
        <v>16</v>
      </c>
      <c r="C124" s="69"/>
      <c r="D124" s="81"/>
      <c r="E124" s="43"/>
      <c r="F124" s="82"/>
      <c r="G124" s="82"/>
      <c r="H124" s="82"/>
      <c r="I124" s="82"/>
      <c r="J124" s="82"/>
      <c r="K124" s="82"/>
      <c r="L124" s="79"/>
      <c r="M124" s="43">
        <f t="shared" ref="M124:M129" si="45">SUM(D124-E124)</f>
        <v>0</v>
      </c>
      <c r="N124" s="39">
        <f t="shared" ref="N124:N129" si="46">SUM(E124,M124)</f>
        <v>0</v>
      </c>
      <c r="O124" s="229"/>
      <c r="P124" s="232"/>
      <c r="Q124" s="70"/>
      <c r="V124" s="66"/>
    </row>
    <row r="125" spans="1:22" ht="15.6" thickTop="1" thickBot="1">
      <c r="A125" s="47"/>
      <c r="B125" s="228"/>
      <c r="C125" s="71"/>
      <c r="D125" s="184"/>
      <c r="E125" s="185"/>
      <c r="F125" s="186"/>
      <c r="G125" s="186"/>
      <c r="H125" s="186"/>
      <c r="I125" s="186"/>
      <c r="J125" s="186"/>
      <c r="K125" s="186"/>
      <c r="L125" s="206"/>
      <c r="M125" s="185">
        <f t="shared" si="45"/>
        <v>0</v>
      </c>
      <c r="N125" s="187">
        <f t="shared" si="46"/>
        <v>0</v>
      </c>
      <c r="O125" s="230"/>
      <c r="P125" s="233"/>
      <c r="Q125" s="72"/>
    </row>
    <row r="126" spans="1:22" ht="15.6" thickTop="1" thickBot="1">
      <c r="A126" s="47"/>
      <c r="B126" s="228"/>
      <c r="C126" s="71"/>
      <c r="D126" s="184"/>
      <c r="E126" s="185"/>
      <c r="F126" s="186"/>
      <c r="G126" s="186"/>
      <c r="H126" s="186"/>
      <c r="I126" s="186"/>
      <c r="J126" s="186"/>
      <c r="K126" s="186"/>
      <c r="L126" s="206"/>
      <c r="M126" s="185">
        <f t="shared" si="45"/>
        <v>0</v>
      </c>
      <c r="N126" s="187">
        <f t="shared" si="46"/>
        <v>0</v>
      </c>
      <c r="O126" s="230"/>
      <c r="P126" s="233"/>
      <c r="Q126" s="72"/>
    </row>
    <row r="127" spans="1:22" ht="15.6" thickTop="1" thickBot="1">
      <c r="A127" s="47"/>
      <c r="B127" s="228"/>
      <c r="C127" s="73"/>
      <c r="D127" s="184"/>
      <c r="E127" s="185"/>
      <c r="F127" s="186"/>
      <c r="G127" s="186"/>
      <c r="H127" s="186"/>
      <c r="I127" s="186"/>
      <c r="J127" s="186"/>
      <c r="K127" s="186"/>
      <c r="L127" s="206"/>
      <c r="M127" s="185">
        <f t="shared" si="45"/>
        <v>0</v>
      </c>
      <c r="N127" s="187">
        <f t="shared" si="46"/>
        <v>0</v>
      </c>
      <c r="O127" s="230"/>
      <c r="P127" s="233"/>
      <c r="Q127" s="72"/>
    </row>
    <row r="128" spans="1:22" ht="15.6" thickTop="1" thickBot="1">
      <c r="A128" s="47"/>
      <c r="B128" s="228"/>
      <c r="C128" s="73"/>
      <c r="D128" s="184"/>
      <c r="E128" s="185"/>
      <c r="F128" s="186"/>
      <c r="G128" s="186"/>
      <c r="H128" s="186"/>
      <c r="I128" s="186"/>
      <c r="J128" s="186"/>
      <c r="K128" s="186"/>
      <c r="L128" s="206"/>
      <c r="M128" s="185">
        <f t="shared" si="45"/>
        <v>0</v>
      </c>
      <c r="N128" s="196">
        <f t="shared" si="46"/>
        <v>0</v>
      </c>
      <c r="O128" s="230"/>
      <c r="P128" s="233"/>
      <c r="Q128" s="72"/>
    </row>
    <row r="129" spans="1:20" ht="15.6" thickTop="1" thickBot="1">
      <c r="A129" s="47"/>
      <c r="B129" s="228"/>
      <c r="C129" s="73"/>
      <c r="D129" s="184"/>
      <c r="E129" s="185"/>
      <c r="F129" s="186"/>
      <c r="G129" s="186"/>
      <c r="H129" s="186"/>
      <c r="I129" s="186"/>
      <c r="J129" s="186"/>
      <c r="K129" s="186"/>
      <c r="L129" s="207"/>
      <c r="M129" s="185">
        <f t="shared" si="45"/>
        <v>0</v>
      </c>
      <c r="N129" s="187">
        <f t="shared" si="46"/>
        <v>0</v>
      </c>
      <c r="O129" s="230"/>
      <c r="P129" s="233"/>
      <c r="Q129" s="72"/>
    </row>
    <row r="130" spans="1:20" ht="15.6" thickTop="1" thickBot="1">
      <c r="A130" s="47"/>
      <c r="B130" s="228"/>
      <c r="C130" s="74" t="s">
        <v>65</v>
      </c>
      <c r="D130" s="184">
        <f t="shared" ref="D130:K130" si="47">SUM(D124:D129)</f>
        <v>0</v>
      </c>
      <c r="E130" s="185">
        <f t="shared" si="47"/>
        <v>0</v>
      </c>
      <c r="F130" s="186">
        <f t="shared" si="47"/>
        <v>0</v>
      </c>
      <c r="G130" s="186">
        <f t="shared" si="47"/>
        <v>0</v>
      </c>
      <c r="H130" s="186">
        <f t="shared" si="47"/>
        <v>0</v>
      </c>
      <c r="I130" s="186">
        <f t="shared" si="47"/>
        <v>0</v>
      </c>
      <c r="J130" s="186">
        <f t="shared" si="47"/>
        <v>0</v>
      </c>
      <c r="K130" s="186">
        <f t="shared" si="47"/>
        <v>0</v>
      </c>
      <c r="L130" s="190"/>
      <c r="M130" s="185">
        <f>SUM(M124:M129)</f>
        <v>0</v>
      </c>
      <c r="N130" s="187">
        <f>SUM(N124:N129)</f>
        <v>0</v>
      </c>
      <c r="O130" s="231"/>
      <c r="P130" s="234"/>
      <c r="Q130" s="72"/>
      <c r="S130" s="67"/>
    </row>
    <row r="131" spans="1:20" ht="15.6" thickTop="1" thickBot="1">
      <c r="A131" s="47"/>
      <c r="B131" s="228"/>
      <c r="C131" s="61" t="s">
        <v>44</v>
      </c>
      <c r="D131" s="189">
        <f>SUM(D124:D129)</f>
        <v>0</v>
      </c>
      <c r="E131" s="189">
        <f>SUM(E124:E129)</f>
        <v>0</v>
      </c>
      <c r="F131" s="235">
        <f>SUM(F130:K130)</f>
        <v>0</v>
      </c>
      <c r="G131" s="236"/>
      <c r="H131" s="236"/>
      <c r="I131" s="236"/>
      <c r="J131" s="236"/>
      <c r="K131" s="237"/>
      <c r="L131" s="191">
        <f>L130</f>
        <v>0</v>
      </c>
      <c r="M131" s="189">
        <f>SUM(M124:M129)</f>
        <v>0</v>
      </c>
      <c r="N131" s="189">
        <f>SUM(N124:N129)</f>
        <v>0</v>
      </c>
      <c r="O131" s="189">
        <f>SUM(O124)</f>
        <v>0</v>
      </c>
      <c r="P131" s="192">
        <f>SUM(P124)</f>
        <v>0</v>
      </c>
      <c r="Q131" s="62"/>
      <c r="S131" s="66"/>
      <c r="T131" s="75" t="e">
        <f>$V$3+L11+L19+L27+L35+L43+L51+L59+L67+L75+L83+L91+L99+L107+L115+L123+L131</f>
        <v>#REF!</v>
      </c>
    </row>
    <row r="132" spans="1:20" ht="15.6" thickTop="1" thickBot="1">
      <c r="A132" s="47" t="str">
        <f ca="1">OFFSET('0'!$B$112,($A$1-1)*10,$B132-1)</f>
        <v>--</v>
      </c>
      <c r="B132" s="228">
        <f ca="1">OFFSET('0'!$B$111,($A$1-1)*10,16)</f>
        <v>17</v>
      </c>
      <c r="C132" s="69"/>
      <c r="D132" s="81"/>
      <c r="E132" s="43"/>
      <c r="F132" s="82"/>
      <c r="G132" s="82"/>
      <c r="H132" s="82"/>
      <c r="I132" s="82"/>
      <c r="J132" s="82"/>
      <c r="K132" s="82"/>
      <c r="L132" s="79"/>
      <c r="M132" s="43">
        <f t="shared" ref="M132:M137" si="48">SUM(D132-E132)</f>
        <v>0</v>
      </c>
      <c r="N132" s="39">
        <f t="shared" ref="N132:N137" si="49">SUM(E132,M132)</f>
        <v>0</v>
      </c>
      <c r="O132" s="229"/>
      <c r="P132" s="232"/>
      <c r="Q132" s="70"/>
    </row>
    <row r="133" spans="1:20" ht="15.6" thickTop="1" thickBot="1">
      <c r="A133" s="47"/>
      <c r="B133" s="228"/>
      <c r="C133" s="71"/>
      <c r="D133" s="201"/>
      <c r="E133" s="202"/>
      <c r="F133" s="203"/>
      <c r="G133" s="203"/>
      <c r="H133" s="203"/>
      <c r="I133" s="203"/>
      <c r="J133" s="203"/>
      <c r="K133" s="203"/>
      <c r="L133" s="208"/>
      <c r="M133" s="185">
        <f t="shared" si="48"/>
        <v>0</v>
      </c>
      <c r="N133" s="187">
        <f t="shared" si="49"/>
        <v>0</v>
      </c>
      <c r="O133" s="230"/>
      <c r="P133" s="233"/>
      <c r="Q133" s="76"/>
    </row>
    <row r="134" spans="1:20" ht="15.6" thickTop="1" thickBot="1">
      <c r="A134" s="47"/>
      <c r="B134" s="228"/>
      <c r="C134" s="71"/>
      <c r="D134" s="184"/>
      <c r="E134" s="185"/>
      <c r="F134" s="186"/>
      <c r="G134" s="186"/>
      <c r="H134" s="186"/>
      <c r="I134" s="186"/>
      <c r="J134" s="186"/>
      <c r="K134" s="186"/>
      <c r="L134" s="206"/>
      <c r="M134" s="185">
        <f t="shared" si="48"/>
        <v>0</v>
      </c>
      <c r="N134" s="187">
        <f t="shared" si="49"/>
        <v>0</v>
      </c>
      <c r="O134" s="230"/>
      <c r="P134" s="233"/>
      <c r="Q134" s="72"/>
    </row>
    <row r="135" spans="1:20" ht="15.6" thickTop="1" thickBot="1">
      <c r="A135" s="47"/>
      <c r="B135" s="228"/>
      <c r="C135" s="73"/>
      <c r="D135" s="184"/>
      <c r="E135" s="185"/>
      <c r="F135" s="186"/>
      <c r="G135" s="186"/>
      <c r="H135" s="186"/>
      <c r="I135" s="186"/>
      <c r="J135" s="186"/>
      <c r="K135" s="186"/>
      <c r="L135" s="206"/>
      <c r="M135" s="185">
        <f t="shared" si="48"/>
        <v>0</v>
      </c>
      <c r="N135" s="187">
        <f t="shared" si="49"/>
        <v>0</v>
      </c>
      <c r="O135" s="230"/>
      <c r="P135" s="233"/>
      <c r="Q135" s="72"/>
    </row>
    <row r="136" spans="1:20" ht="15.6" thickTop="1" thickBot="1">
      <c r="A136" s="47"/>
      <c r="B136" s="228"/>
      <c r="C136" s="73"/>
      <c r="D136" s="184"/>
      <c r="E136" s="185"/>
      <c r="F136" s="186"/>
      <c r="G136" s="186"/>
      <c r="H136" s="186"/>
      <c r="I136" s="186"/>
      <c r="J136" s="186"/>
      <c r="K136" s="186"/>
      <c r="L136" s="206"/>
      <c r="M136" s="185">
        <f t="shared" si="48"/>
        <v>0</v>
      </c>
      <c r="N136" s="187">
        <f t="shared" si="49"/>
        <v>0</v>
      </c>
      <c r="O136" s="230"/>
      <c r="P136" s="233"/>
      <c r="Q136" s="72"/>
    </row>
    <row r="137" spans="1:20" ht="15.6" thickTop="1" thickBot="1">
      <c r="A137" s="47"/>
      <c r="B137" s="228"/>
      <c r="C137" s="73"/>
      <c r="D137" s="193"/>
      <c r="E137" s="194"/>
      <c r="F137" s="195"/>
      <c r="G137" s="195"/>
      <c r="H137" s="195"/>
      <c r="I137" s="195"/>
      <c r="J137" s="195"/>
      <c r="K137" s="195"/>
      <c r="L137" s="207"/>
      <c r="M137" s="185">
        <f t="shared" si="48"/>
        <v>0</v>
      </c>
      <c r="N137" s="197">
        <f t="shared" si="49"/>
        <v>0</v>
      </c>
      <c r="O137" s="230"/>
      <c r="P137" s="233"/>
      <c r="Q137" s="77"/>
    </row>
    <row r="138" spans="1:20" ht="15.6" thickTop="1" thickBot="1">
      <c r="A138" s="47"/>
      <c r="B138" s="228"/>
      <c r="C138" s="74" t="s">
        <v>65</v>
      </c>
      <c r="D138" s="184">
        <f t="shared" ref="D138:K138" si="50">SUM(D132:D137)</f>
        <v>0</v>
      </c>
      <c r="E138" s="185">
        <f t="shared" si="50"/>
        <v>0</v>
      </c>
      <c r="F138" s="186">
        <f t="shared" si="50"/>
        <v>0</v>
      </c>
      <c r="G138" s="186">
        <f t="shared" si="50"/>
        <v>0</v>
      </c>
      <c r="H138" s="186">
        <f t="shared" si="50"/>
        <v>0</v>
      </c>
      <c r="I138" s="186">
        <f t="shared" si="50"/>
        <v>0</v>
      </c>
      <c r="J138" s="186">
        <f t="shared" si="50"/>
        <v>0</v>
      </c>
      <c r="K138" s="186">
        <f t="shared" si="50"/>
        <v>0</v>
      </c>
      <c r="L138" s="190"/>
      <c r="M138" s="185">
        <f>SUM(M132:M137)</f>
        <v>0</v>
      </c>
      <c r="N138" s="197">
        <f>SUM(N132:N137)</f>
        <v>0</v>
      </c>
      <c r="O138" s="231"/>
      <c r="P138" s="234"/>
      <c r="Q138" s="77"/>
    </row>
    <row r="139" spans="1:20" ht="15.6" thickTop="1" thickBot="1">
      <c r="A139" s="47"/>
      <c r="B139" s="228"/>
      <c r="C139" s="61" t="s">
        <v>44</v>
      </c>
      <c r="D139" s="189">
        <f>SUM(D132:D137)</f>
        <v>0</v>
      </c>
      <c r="E139" s="189">
        <f>SUM(E132:E137)</f>
        <v>0</v>
      </c>
      <c r="F139" s="235">
        <f>SUM(F138:K138)</f>
        <v>0</v>
      </c>
      <c r="G139" s="236"/>
      <c r="H139" s="236"/>
      <c r="I139" s="236"/>
      <c r="J139" s="236"/>
      <c r="K139" s="237"/>
      <c r="L139" s="191">
        <f>L138</f>
        <v>0</v>
      </c>
      <c r="M139" s="189">
        <f>SUM(M132:M137)</f>
        <v>0</v>
      </c>
      <c r="N139" s="189">
        <f>SUM(N132:N137)</f>
        <v>0</v>
      </c>
      <c r="O139" s="189">
        <f>SUM(O132)</f>
        <v>0</v>
      </c>
      <c r="P139" s="192">
        <f>SUM(P132)</f>
        <v>0</v>
      </c>
      <c r="Q139" s="62"/>
      <c r="T139" s="75" t="e">
        <f>$V$3+L11+L19+L27+L35+L43+L51+L59+L67+L75+L83+L91+L99+L107+L115+L123+L131+L139</f>
        <v>#REF!</v>
      </c>
    </row>
    <row r="140" spans="1:20" ht="15.6" thickTop="1" thickBot="1">
      <c r="A140" s="47" t="str">
        <f ca="1">OFFSET('0'!$B$112,($A$1-1)*10,$B140-1)</f>
        <v>SS</v>
      </c>
      <c r="B140" s="228">
        <f ca="1">OFFSET('0'!$B$111,($A$1-1)*10,17)</f>
        <v>18</v>
      </c>
      <c r="C140" s="69"/>
      <c r="D140" s="81"/>
      <c r="E140" s="43"/>
      <c r="F140" s="82"/>
      <c r="G140" s="82"/>
      <c r="H140" s="82"/>
      <c r="I140" s="82"/>
      <c r="J140" s="82"/>
      <c r="K140" s="82"/>
      <c r="L140" s="79"/>
      <c r="M140" s="43">
        <f t="shared" ref="M140:M145" si="51">SUM(D140-E140)</f>
        <v>0</v>
      </c>
      <c r="N140" s="39">
        <f t="shared" ref="N140:N145" si="52">SUM(E140,M140)</f>
        <v>0</v>
      </c>
      <c r="O140" s="229"/>
      <c r="P140" s="232"/>
      <c r="Q140" s="70"/>
    </row>
    <row r="141" spans="1:20" ht="15.6" thickTop="1" thickBot="1">
      <c r="A141" s="47"/>
      <c r="B141" s="228"/>
      <c r="C141" s="71"/>
      <c r="D141" s="201"/>
      <c r="E141" s="202"/>
      <c r="F141" s="203"/>
      <c r="G141" s="203"/>
      <c r="H141" s="203"/>
      <c r="I141" s="203"/>
      <c r="J141" s="203"/>
      <c r="K141" s="203"/>
      <c r="L141" s="208"/>
      <c r="M141" s="185">
        <f t="shared" si="51"/>
        <v>0</v>
      </c>
      <c r="N141" s="187">
        <f t="shared" si="52"/>
        <v>0</v>
      </c>
      <c r="O141" s="230"/>
      <c r="P141" s="233"/>
      <c r="Q141" s="76"/>
    </row>
    <row r="142" spans="1:20" ht="15.6" thickTop="1" thickBot="1">
      <c r="A142" s="47"/>
      <c r="B142" s="228"/>
      <c r="C142" s="71"/>
      <c r="D142" s="201"/>
      <c r="E142" s="202"/>
      <c r="F142" s="203"/>
      <c r="G142" s="203"/>
      <c r="H142" s="203"/>
      <c r="I142" s="203"/>
      <c r="J142" s="203"/>
      <c r="K142" s="203"/>
      <c r="L142" s="208"/>
      <c r="M142" s="185">
        <f t="shared" si="51"/>
        <v>0</v>
      </c>
      <c r="N142" s="187">
        <f t="shared" si="52"/>
        <v>0</v>
      </c>
      <c r="O142" s="230"/>
      <c r="P142" s="233"/>
      <c r="Q142" s="76"/>
    </row>
    <row r="143" spans="1:20" ht="15.6" thickTop="1" thickBot="1">
      <c r="A143" s="47"/>
      <c r="B143" s="228"/>
      <c r="C143" s="73"/>
      <c r="D143" s="184"/>
      <c r="E143" s="185"/>
      <c r="F143" s="186"/>
      <c r="G143" s="186"/>
      <c r="H143" s="186"/>
      <c r="I143" s="186"/>
      <c r="J143" s="186"/>
      <c r="K143" s="186"/>
      <c r="L143" s="206"/>
      <c r="M143" s="185">
        <f t="shared" si="51"/>
        <v>0</v>
      </c>
      <c r="N143" s="187">
        <f t="shared" si="52"/>
        <v>0</v>
      </c>
      <c r="O143" s="230"/>
      <c r="P143" s="233"/>
      <c r="Q143" s="72"/>
    </row>
    <row r="144" spans="1:20" s="57" customFormat="1" ht="15.6" thickTop="1" thickBot="1">
      <c r="A144" s="48"/>
      <c r="B144" s="228"/>
      <c r="C144" s="73"/>
      <c r="D144" s="184"/>
      <c r="E144" s="185"/>
      <c r="F144" s="186"/>
      <c r="G144" s="186"/>
      <c r="H144" s="186"/>
      <c r="I144" s="186"/>
      <c r="J144" s="186"/>
      <c r="K144" s="186"/>
      <c r="L144" s="206"/>
      <c r="M144" s="185">
        <f t="shared" si="51"/>
        <v>0</v>
      </c>
      <c r="N144" s="187">
        <f t="shared" si="52"/>
        <v>0</v>
      </c>
      <c r="O144" s="230"/>
      <c r="P144" s="233"/>
      <c r="Q144" s="72"/>
    </row>
    <row r="145" spans="1:20" s="57" customFormat="1" ht="15.6" thickTop="1" thickBot="1">
      <c r="A145" s="48"/>
      <c r="B145" s="228"/>
      <c r="C145" s="73"/>
      <c r="D145" s="184"/>
      <c r="E145" s="185"/>
      <c r="F145" s="186"/>
      <c r="G145" s="186"/>
      <c r="H145" s="186"/>
      <c r="I145" s="186"/>
      <c r="J145" s="186"/>
      <c r="K145" s="186"/>
      <c r="L145" s="207"/>
      <c r="M145" s="185">
        <f t="shared" si="51"/>
        <v>0</v>
      </c>
      <c r="N145" s="187">
        <f t="shared" si="52"/>
        <v>0</v>
      </c>
      <c r="O145" s="230"/>
      <c r="P145" s="233"/>
      <c r="Q145" s="72"/>
    </row>
    <row r="146" spans="1:20" ht="15.6" thickTop="1" thickBot="1">
      <c r="A146" s="47"/>
      <c r="B146" s="228"/>
      <c r="C146" s="74" t="s">
        <v>65</v>
      </c>
      <c r="D146" s="184">
        <f t="shared" ref="D146:K146" si="53">SUM(D140:D145)</f>
        <v>0</v>
      </c>
      <c r="E146" s="185">
        <f t="shared" si="53"/>
        <v>0</v>
      </c>
      <c r="F146" s="186">
        <f t="shared" si="53"/>
        <v>0</v>
      </c>
      <c r="G146" s="186">
        <f t="shared" si="53"/>
        <v>0</v>
      </c>
      <c r="H146" s="186">
        <f t="shared" si="53"/>
        <v>0</v>
      </c>
      <c r="I146" s="186">
        <f t="shared" si="53"/>
        <v>0</v>
      </c>
      <c r="J146" s="186">
        <f t="shared" si="53"/>
        <v>0</v>
      </c>
      <c r="K146" s="186">
        <f t="shared" si="53"/>
        <v>0</v>
      </c>
      <c r="L146" s="190"/>
      <c r="M146" s="185">
        <f>SUM(M140:M145)</f>
        <v>0</v>
      </c>
      <c r="N146" s="187">
        <f>SUM(N140:N145)</f>
        <v>0</v>
      </c>
      <c r="O146" s="231"/>
      <c r="P146" s="234"/>
      <c r="Q146" s="72"/>
    </row>
    <row r="147" spans="1:20" ht="15.6" thickTop="1" thickBot="1">
      <c r="A147" s="47"/>
      <c r="B147" s="228"/>
      <c r="C147" s="61" t="s">
        <v>44</v>
      </c>
      <c r="D147" s="189">
        <f>SUM(D140:D145)</f>
        <v>0</v>
      </c>
      <c r="E147" s="189">
        <f>SUM(E140:E145)</f>
        <v>0</v>
      </c>
      <c r="F147" s="235">
        <f>SUM(F146:K146)</f>
        <v>0</v>
      </c>
      <c r="G147" s="236"/>
      <c r="H147" s="236"/>
      <c r="I147" s="236"/>
      <c r="J147" s="236"/>
      <c r="K147" s="237"/>
      <c r="L147" s="191">
        <f>L146</f>
        <v>0</v>
      </c>
      <c r="M147" s="189">
        <f>SUM(M140:M145)</f>
        <v>0</v>
      </c>
      <c r="N147" s="189">
        <f>SUM(N140:N145)</f>
        <v>0</v>
      </c>
      <c r="O147" s="189">
        <f>SUM(O140)</f>
        <v>0</v>
      </c>
      <c r="P147" s="192">
        <f>SUM(P140)</f>
        <v>0</v>
      </c>
      <c r="Q147" s="62"/>
      <c r="T147" s="75" t="e">
        <f>$V$3+L11+L19+L27+L35+L43+L51+L59+L67+L75+L83+L91+L99+L107+L115+L123+L131+L139+L147</f>
        <v>#REF!</v>
      </c>
    </row>
    <row r="148" spans="1:20" ht="15.6" thickTop="1" thickBot="1">
      <c r="A148" s="47" t="str">
        <f ca="1">OFFSET('0'!$B$112,($A$1-1)*10,$B148-1)</f>
        <v>SK</v>
      </c>
      <c r="B148" s="228">
        <f ca="1">OFFSET('0'!$B$111,($A$1-1)*10,18)</f>
        <v>19</v>
      </c>
      <c r="C148" s="69"/>
      <c r="D148" s="81"/>
      <c r="E148" s="43"/>
      <c r="F148" s="82"/>
      <c r="G148" s="82"/>
      <c r="H148" s="82"/>
      <c r="I148" s="82"/>
      <c r="J148" s="82"/>
      <c r="K148" s="82"/>
      <c r="L148" s="79"/>
      <c r="M148" s="43">
        <f t="shared" ref="M148:M153" si="54">SUM(D148-E148)</f>
        <v>0</v>
      </c>
      <c r="N148" s="39">
        <f t="shared" ref="N148:N153" si="55">SUM(E148,M148)</f>
        <v>0</v>
      </c>
      <c r="O148" s="229"/>
      <c r="P148" s="232"/>
      <c r="Q148" s="70"/>
    </row>
    <row r="149" spans="1:20" s="57" customFormat="1" ht="15.6" thickTop="1" thickBot="1">
      <c r="A149" s="48"/>
      <c r="B149" s="228"/>
      <c r="C149" s="71"/>
      <c r="D149" s="201"/>
      <c r="E149" s="202"/>
      <c r="F149" s="203"/>
      <c r="G149" s="203"/>
      <c r="H149" s="203"/>
      <c r="I149" s="203"/>
      <c r="J149" s="203"/>
      <c r="K149" s="203"/>
      <c r="L149" s="208"/>
      <c r="M149" s="185">
        <f t="shared" si="54"/>
        <v>0</v>
      </c>
      <c r="N149" s="187">
        <f t="shared" si="55"/>
        <v>0</v>
      </c>
      <c r="O149" s="230"/>
      <c r="P149" s="233"/>
      <c r="Q149" s="76"/>
    </row>
    <row r="150" spans="1:20" ht="15.6" thickTop="1" thickBot="1">
      <c r="A150" s="47"/>
      <c r="B150" s="228"/>
      <c r="C150" s="71"/>
      <c r="D150" s="201"/>
      <c r="E150" s="202"/>
      <c r="F150" s="203"/>
      <c r="G150" s="203"/>
      <c r="H150" s="203"/>
      <c r="I150" s="203"/>
      <c r="J150" s="203"/>
      <c r="K150" s="203"/>
      <c r="L150" s="208"/>
      <c r="M150" s="185">
        <f t="shared" si="54"/>
        <v>0</v>
      </c>
      <c r="N150" s="187">
        <f t="shared" si="55"/>
        <v>0</v>
      </c>
      <c r="O150" s="230"/>
      <c r="P150" s="233"/>
      <c r="Q150" s="76"/>
    </row>
    <row r="151" spans="1:20" ht="15.6" thickTop="1" thickBot="1">
      <c r="A151" s="47"/>
      <c r="B151" s="228"/>
      <c r="C151" s="73"/>
      <c r="D151" s="184"/>
      <c r="E151" s="185"/>
      <c r="F151" s="186"/>
      <c r="G151" s="186"/>
      <c r="H151" s="186"/>
      <c r="I151" s="186"/>
      <c r="J151" s="186"/>
      <c r="K151" s="186"/>
      <c r="L151" s="206"/>
      <c r="M151" s="185">
        <f t="shared" si="54"/>
        <v>0</v>
      </c>
      <c r="N151" s="187">
        <f t="shared" si="55"/>
        <v>0</v>
      </c>
      <c r="O151" s="230"/>
      <c r="P151" s="233"/>
      <c r="Q151" s="72"/>
    </row>
    <row r="152" spans="1:20" ht="15.6" thickTop="1" thickBot="1">
      <c r="A152" s="47"/>
      <c r="B152" s="228"/>
      <c r="C152" s="73"/>
      <c r="D152" s="184"/>
      <c r="E152" s="185"/>
      <c r="F152" s="186"/>
      <c r="G152" s="186"/>
      <c r="H152" s="186"/>
      <c r="I152" s="186"/>
      <c r="J152" s="186"/>
      <c r="K152" s="186"/>
      <c r="L152" s="206"/>
      <c r="M152" s="185">
        <f t="shared" si="54"/>
        <v>0</v>
      </c>
      <c r="N152" s="187">
        <f t="shared" si="55"/>
        <v>0</v>
      </c>
      <c r="O152" s="230"/>
      <c r="P152" s="233"/>
      <c r="Q152" s="72"/>
    </row>
    <row r="153" spans="1:20" ht="15.6" thickTop="1" thickBot="1">
      <c r="A153" s="47"/>
      <c r="B153" s="228"/>
      <c r="C153" s="73"/>
      <c r="D153" s="184"/>
      <c r="E153" s="185"/>
      <c r="F153" s="186"/>
      <c r="G153" s="186"/>
      <c r="H153" s="186"/>
      <c r="I153" s="186"/>
      <c r="J153" s="186"/>
      <c r="K153" s="186"/>
      <c r="L153" s="207"/>
      <c r="M153" s="185">
        <f t="shared" si="54"/>
        <v>0</v>
      </c>
      <c r="N153" s="187">
        <f t="shared" si="55"/>
        <v>0</v>
      </c>
      <c r="O153" s="230"/>
      <c r="P153" s="233"/>
      <c r="Q153" s="72"/>
    </row>
    <row r="154" spans="1:20" ht="15.6" thickTop="1" thickBot="1">
      <c r="A154" s="47"/>
      <c r="B154" s="228"/>
      <c r="C154" s="74" t="s">
        <v>65</v>
      </c>
      <c r="D154" s="184">
        <f t="shared" ref="D154:K154" si="56">SUM(D148:D153)</f>
        <v>0</v>
      </c>
      <c r="E154" s="185">
        <f t="shared" si="56"/>
        <v>0</v>
      </c>
      <c r="F154" s="186">
        <f t="shared" si="56"/>
        <v>0</v>
      </c>
      <c r="G154" s="186">
        <f t="shared" si="56"/>
        <v>0</v>
      </c>
      <c r="H154" s="186">
        <f t="shared" si="56"/>
        <v>0</v>
      </c>
      <c r="I154" s="186">
        <f t="shared" si="56"/>
        <v>0</v>
      </c>
      <c r="J154" s="186">
        <f t="shared" si="56"/>
        <v>0</v>
      </c>
      <c r="K154" s="186">
        <f t="shared" si="56"/>
        <v>0</v>
      </c>
      <c r="L154" s="190"/>
      <c r="M154" s="185">
        <f>SUM(M148:M153)</f>
        <v>0</v>
      </c>
      <c r="N154" s="187">
        <f>SUM(N148:N153)</f>
        <v>0</v>
      </c>
      <c r="O154" s="231"/>
      <c r="P154" s="234"/>
      <c r="Q154" s="72"/>
    </row>
    <row r="155" spans="1:20" ht="15.6" thickTop="1" thickBot="1">
      <c r="A155" s="47"/>
      <c r="B155" s="228"/>
      <c r="C155" s="61" t="s">
        <v>44</v>
      </c>
      <c r="D155" s="189">
        <f>SUM(D148:D153)</f>
        <v>0</v>
      </c>
      <c r="E155" s="189">
        <f>SUM(E148:E153)</f>
        <v>0</v>
      </c>
      <c r="F155" s="235">
        <f>SUM(F154:K154)</f>
        <v>0</v>
      </c>
      <c r="G155" s="236"/>
      <c r="H155" s="236"/>
      <c r="I155" s="236"/>
      <c r="J155" s="236"/>
      <c r="K155" s="237"/>
      <c r="L155" s="191">
        <f>L154</f>
        <v>0</v>
      </c>
      <c r="M155" s="189">
        <f>SUM(M148:M153)</f>
        <v>0</v>
      </c>
      <c r="N155" s="189">
        <f>SUM(N148:N153)</f>
        <v>0</v>
      </c>
      <c r="O155" s="189">
        <f>SUM(O148)</f>
        <v>0</v>
      </c>
      <c r="P155" s="192">
        <f>SUM(P148)</f>
        <v>0</v>
      </c>
      <c r="Q155" s="62"/>
      <c r="T155" s="75" t="e">
        <f>$V$3+L11+L19+L27+L35+L43+L51+L59+L67+L75+L83+L91+L99+L107+L115+L123+L131+L139+L147+L155</f>
        <v>#REF!</v>
      </c>
    </row>
    <row r="156" spans="1:20" ht="15.6" thickTop="1" thickBot="1">
      <c r="A156" s="47" t="str">
        <f ca="1">OFFSET('0'!$B$112,($A$1-1)*10,$B156-1)</f>
        <v>--</v>
      </c>
      <c r="B156" s="228">
        <f ca="1">OFFSET('0'!$B$111,($A$1-1)*10,19)</f>
        <v>20</v>
      </c>
      <c r="C156" s="69"/>
      <c r="D156" s="81"/>
      <c r="E156" s="43"/>
      <c r="F156" s="82"/>
      <c r="G156" s="82"/>
      <c r="H156" s="82"/>
      <c r="I156" s="82"/>
      <c r="J156" s="82"/>
      <c r="K156" s="82"/>
      <c r="L156" s="79"/>
      <c r="M156" s="43">
        <f t="shared" ref="M156:M161" si="57">SUM(D156-E156)</f>
        <v>0</v>
      </c>
      <c r="N156" s="39">
        <f t="shared" ref="N156:N161" si="58">SUM(E156,M156)</f>
        <v>0</v>
      </c>
      <c r="O156" s="229"/>
      <c r="P156" s="232"/>
      <c r="Q156" s="70"/>
    </row>
    <row r="157" spans="1:20" ht="15.6" thickTop="1" thickBot="1">
      <c r="A157" s="47"/>
      <c r="B157" s="228"/>
      <c r="C157" s="71"/>
      <c r="D157" s="201"/>
      <c r="E157" s="202"/>
      <c r="F157" s="203"/>
      <c r="G157" s="203"/>
      <c r="H157" s="203"/>
      <c r="I157" s="203"/>
      <c r="J157" s="203"/>
      <c r="K157" s="203"/>
      <c r="L157" s="208"/>
      <c r="M157" s="185">
        <f t="shared" si="57"/>
        <v>0</v>
      </c>
      <c r="N157" s="187">
        <f t="shared" si="58"/>
        <v>0</v>
      </c>
      <c r="O157" s="230"/>
      <c r="P157" s="233"/>
      <c r="Q157" s="76"/>
    </row>
    <row r="158" spans="1:20" s="57" customFormat="1" ht="15.6" thickTop="1" thickBot="1">
      <c r="A158" s="48"/>
      <c r="B158" s="228"/>
      <c r="C158" s="71"/>
      <c r="D158" s="201"/>
      <c r="E158" s="202"/>
      <c r="F158" s="203"/>
      <c r="G158" s="203"/>
      <c r="H158" s="203"/>
      <c r="I158" s="203"/>
      <c r="J158" s="203"/>
      <c r="K158" s="203"/>
      <c r="L158" s="208"/>
      <c r="M158" s="185">
        <f t="shared" si="57"/>
        <v>0</v>
      </c>
      <c r="N158" s="187">
        <f t="shared" si="58"/>
        <v>0</v>
      </c>
      <c r="O158" s="230"/>
      <c r="P158" s="233"/>
      <c r="Q158" s="76"/>
    </row>
    <row r="159" spans="1:20" ht="15.6" thickTop="1" thickBot="1">
      <c r="A159" s="47"/>
      <c r="B159" s="228"/>
      <c r="C159" s="73"/>
      <c r="D159" s="184"/>
      <c r="E159" s="185"/>
      <c r="F159" s="186"/>
      <c r="G159" s="186"/>
      <c r="H159" s="186"/>
      <c r="I159" s="186"/>
      <c r="J159" s="186"/>
      <c r="K159" s="186"/>
      <c r="L159" s="206"/>
      <c r="M159" s="185">
        <f t="shared" si="57"/>
        <v>0</v>
      </c>
      <c r="N159" s="187">
        <f t="shared" si="58"/>
        <v>0</v>
      </c>
      <c r="O159" s="230"/>
      <c r="P159" s="233"/>
      <c r="Q159" s="72"/>
    </row>
    <row r="160" spans="1:20" ht="15.6" thickTop="1" thickBot="1">
      <c r="A160" s="47"/>
      <c r="B160" s="228"/>
      <c r="C160" s="73"/>
      <c r="D160" s="184"/>
      <c r="E160" s="185"/>
      <c r="F160" s="186"/>
      <c r="G160" s="186"/>
      <c r="H160" s="186"/>
      <c r="I160" s="186"/>
      <c r="J160" s="186"/>
      <c r="K160" s="186"/>
      <c r="L160" s="206"/>
      <c r="M160" s="185">
        <f t="shared" si="57"/>
        <v>0</v>
      </c>
      <c r="N160" s="187">
        <f t="shared" si="58"/>
        <v>0</v>
      </c>
      <c r="O160" s="230"/>
      <c r="P160" s="233"/>
      <c r="Q160" s="72"/>
    </row>
    <row r="161" spans="1:20" ht="15.6" thickTop="1" thickBot="1">
      <c r="A161" s="47"/>
      <c r="B161" s="228"/>
      <c r="C161" s="73"/>
      <c r="D161" s="184"/>
      <c r="E161" s="185"/>
      <c r="F161" s="186"/>
      <c r="G161" s="186"/>
      <c r="H161" s="186"/>
      <c r="I161" s="186"/>
      <c r="J161" s="186"/>
      <c r="K161" s="186"/>
      <c r="L161" s="207"/>
      <c r="M161" s="185">
        <f t="shared" si="57"/>
        <v>0</v>
      </c>
      <c r="N161" s="187">
        <f t="shared" si="58"/>
        <v>0</v>
      </c>
      <c r="O161" s="230"/>
      <c r="P161" s="233"/>
      <c r="Q161" s="72"/>
    </row>
    <row r="162" spans="1:20" ht="15.6" thickTop="1" thickBot="1">
      <c r="A162" s="47"/>
      <c r="B162" s="228"/>
      <c r="C162" s="74" t="s">
        <v>65</v>
      </c>
      <c r="D162" s="184">
        <f t="shared" ref="D162:K162" si="59">SUM(D156:D161)</f>
        <v>0</v>
      </c>
      <c r="E162" s="185">
        <f t="shared" si="59"/>
        <v>0</v>
      </c>
      <c r="F162" s="186">
        <f t="shared" si="59"/>
        <v>0</v>
      </c>
      <c r="G162" s="186">
        <f t="shared" si="59"/>
        <v>0</v>
      </c>
      <c r="H162" s="186">
        <f t="shared" si="59"/>
        <v>0</v>
      </c>
      <c r="I162" s="186">
        <f t="shared" si="59"/>
        <v>0</v>
      </c>
      <c r="J162" s="186">
        <f t="shared" si="59"/>
        <v>0</v>
      </c>
      <c r="K162" s="186">
        <f t="shared" si="59"/>
        <v>0</v>
      </c>
      <c r="L162" s="190"/>
      <c r="M162" s="185">
        <f>SUM(M156:M161)</f>
        <v>0</v>
      </c>
      <c r="N162" s="187">
        <f>SUM(N156:N161)</f>
        <v>0</v>
      </c>
      <c r="O162" s="231"/>
      <c r="P162" s="234"/>
      <c r="Q162" s="72"/>
    </row>
    <row r="163" spans="1:20" ht="15.6" thickTop="1" thickBot="1">
      <c r="A163" s="47"/>
      <c r="B163" s="228"/>
      <c r="C163" s="61" t="s">
        <v>44</v>
      </c>
      <c r="D163" s="189">
        <f>SUM(D156:D161)</f>
        <v>0</v>
      </c>
      <c r="E163" s="189">
        <f>SUM(E156:E161)</f>
        <v>0</v>
      </c>
      <c r="F163" s="235">
        <f>SUM(F162:K162)</f>
        <v>0</v>
      </c>
      <c r="G163" s="236"/>
      <c r="H163" s="236"/>
      <c r="I163" s="236"/>
      <c r="J163" s="236"/>
      <c r="K163" s="237"/>
      <c r="L163" s="191">
        <f>L162</f>
        <v>0</v>
      </c>
      <c r="M163" s="189">
        <f>SUM(M156:M161)</f>
        <v>0</v>
      </c>
      <c r="N163" s="189">
        <f>SUM(N156:N161)</f>
        <v>0</v>
      </c>
      <c r="O163" s="189">
        <f>SUM(O156)</f>
        <v>0</v>
      </c>
      <c r="P163" s="192">
        <f>SUM(P156)</f>
        <v>0</v>
      </c>
      <c r="Q163" s="62"/>
      <c r="T163" s="75" t="e">
        <f>$V$3+L11+L19+L27+L35+L43+L51+L59+L67+L75+L83+L91+L99+L107+L115+L123+L131+L139+L147+L155+L163</f>
        <v>#REF!</v>
      </c>
    </row>
    <row r="164" spans="1:20" ht="15.6" thickTop="1" thickBot="1">
      <c r="A164" s="47" t="str">
        <f ca="1">OFFSET('0'!$B$112,($A$1-1)*10,$B164-1)</f>
        <v>--</v>
      </c>
      <c r="B164" s="228">
        <f ca="1">OFFSET('0'!$B$111,($A$1-1)*10,20)</f>
        <v>21</v>
      </c>
      <c r="C164" s="69"/>
      <c r="D164" s="81"/>
      <c r="E164" s="43"/>
      <c r="F164" s="82"/>
      <c r="G164" s="82"/>
      <c r="H164" s="82"/>
      <c r="I164" s="82"/>
      <c r="J164" s="82"/>
      <c r="K164" s="82"/>
      <c r="L164" s="79"/>
      <c r="M164" s="43">
        <f t="shared" ref="M164:M169" si="60">SUM(D164-E164)</f>
        <v>0</v>
      </c>
      <c r="N164" s="39">
        <f t="shared" ref="N164:N169" si="61">SUM(E164,M164)</f>
        <v>0</v>
      </c>
      <c r="O164" s="229"/>
      <c r="P164" s="232"/>
      <c r="Q164" s="70"/>
    </row>
    <row r="165" spans="1:20" ht="15.6" thickTop="1" thickBot="1">
      <c r="A165" s="47"/>
      <c r="B165" s="228"/>
      <c r="C165" s="71"/>
      <c r="D165" s="201"/>
      <c r="E165" s="202"/>
      <c r="F165" s="203"/>
      <c r="G165" s="203"/>
      <c r="H165" s="203"/>
      <c r="I165" s="203"/>
      <c r="J165" s="203"/>
      <c r="K165" s="203"/>
      <c r="L165" s="208"/>
      <c r="M165" s="185">
        <f t="shared" si="60"/>
        <v>0</v>
      </c>
      <c r="N165" s="187">
        <f t="shared" si="61"/>
        <v>0</v>
      </c>
      <c r="O165" s="230"/>
      <c r="P165" s="233"/>
      <c r="Q165" s="76"/>
    </row>
    <row r="166" spans="1:20" s="57" customFormat="1" ht="15.6" thickTop="1" thickBot="1">
      <c r="A166" s="48"/>
      <c r="B166" s="228"/>
      <c r="C166" s="71"/>
      <c r="D166" s="201"/>
      <c r="E166" s="202"/>
      <c r="F166" s="203"/>
      <c r="G166" s="203"/>
      <c r="H166" s="203"/>
      <c r="I166" s="203"/>
      <c r="J166" s="203"/>
      <c r="K166" s="203"/>
      <c r="L166" s="208"/>
      <c r="M166" s="185">
        <f t="shared" si="60"/>
        <v>0</v>
      </c>
      <c r="N166" s="187">
        <f t="shared" si="61"/>
        <v>0</v>
      </c>
      <c r="O166" s="230"/>
      <c r="P166" s="233"/>
      <c r="Q166" s="76"/>
    </row>
    <row r="167" spans="1:20" ht="15.6" thickTop="1" thickBot="1">
      <c r="A167" s="47"/>
      <c r="B167" s="228"/>
      <c r="C167" s="73"/>
      <c r="D167" s="184"/>
      <c r="E167" s="185"/>
      <c r="F167" s="186"/>
      <c r="G167" s="186"/>
      <c r="H167" s="186"/>
      <c r="I167" s="186"/>
      <c r="J167" s="186"/>
      <c r="K167" s="186"/>
      <c r="L167" s="206"/>
      <c r="M167" s="185">
        <f t="shared" si="60"/>
        <v>0</v>
      </c>
      <c r="N167" s="187">
        <f t="shared" si="61"/>
        <v>0</v>
      </c>
      <c r="O167" s="230"/>
      <c r="P167" s="233"/>
      <c r="Q167" s="72"/>
    </row>
    <row r="168" spans="1:20" ht="15.6" thickTop="1" thickBot="1">
      <c r="A168" s="47"/>
      <c r="B168" s="228"/>
      <c r="C168" s="73"/>
      <c r="D168" s="184"/>
      <c r="E168" s="185"/>
      <c r="F168" s="186"/>
      <c r="G168" s="186"/>
      <c r="H168" s="186"/>
      <c r="I168" s="186"/>
      <c r="J168" s="186"/>
      <c r="K168" s="186"/>
      <c r="L168" s="206"/>
      <c r="M168" s="185">
        <f t="shared" si="60"/>
        <v>0</v>
      </c>
      <c r="N168" s="187">
        <f t="shared" si="61"/>
        <v>0</v>
      </c>
      <c r="O168" s="230"/>
      <c r="P168" s="233"/>
      <c r="Q168" s="72"/>
    </row>
    <row r="169" spans="1:20" ht="15.6" thickTop="1" thickBot="1">
      <c r="A169" s="47"/>
      <c r="B169" s="228"/>
      <c r="C169" s="73"/>
      <c r="D169" s="184"/>
      <c r="E169" s="185"/>
      <c r="F169" s="186"/>
      <c r="G169" s="186"/>
      <c r="H169" s="186"/>
      <c r="I169" s="186"/>
      <c r="J169" s="186"/>
      <c r="K169" s="186"/>
      <c r="L169" s="207"/>
      <c r="M169" s="185">
        <f t="shared" si="60"/>
        <v>0</v>
      </c>
      <c r="N169" s="187">
        <f t="shared" si="61"/>
        <v>0</v>
      </c>
      <c r="O169" s="230"/>
      <c r="P169" s="233"/>
      <c r="Q169" s="72"/>
    </row>
    <row r="170" spans="1:20" ht="15.6" thickTop="1" thickBot="1">
      <c r="A170" s="47"/>
      <c r="B170" s="228"/>
      <c r="C170" s="74" t="s">
        <v>65</v>
      </c>
      <c r="D170" s="184">
        <f t="shared" ref="D170:K170" si="62">SUM(D164:D169)</f>
        <v>0</v>
      </c>
      <c r="E170" s="185">
        <f t="shared" si="62"/>
        <v>0</v>
      </c>
      <c r="F170" s="186">
        <f t="shared" si="62"/>
        <v>0</v>
      </c>
      <c r="G170" s="186">
        <f t="shared" si="62"/>
        <v>0</v>
      </c>
      <c r="H170" s="186">
        <f t="shared" si="62"/>
        <v>0</v>
      </c>
      <c r="I170" s="186">
        <f t="shared" si="62"/>
        <v>0</v>
      </c>
      <c r="J170" s="186">
        <f t="shared" si="62"/>
        <v>0</v>
      </c>
      <c r="K170" s="186">
        <f t="shared" si="62"/>
        <v>0</v>
      </c>
      <c r="L170" s="190"/>
      <c r="M170" s="185">
        <f>SUM(M164:M169)</f>
        <v>0</v>
      </c>
      <c r="N170" s="187">
        <f>SUM(N164:N169)</f>
        <v>0</v>
      </c>
      <c r="O170" s="231"/>
      <c r="P170" s="234"/>
      <c r="Q170" s="72"/>
    </row>
    <row r="171" spans="1:20" ht="15.6" thickTop="1" thickBot="1">
      <c r="A171" s="47"/>
      <c r="B171" s="228"/>
      <c r="C171" s="61" t="s">
        <v>44</v>
      </c>
      <c r="D171" s="189">
        <f>SUM(D164:D169)</f>
        <v>0</v>
      </c>
      <c r="E171" s="189">
        <f>SUM(E164:E169)</f>
        <v>0</v>
      </c>
      <c r="F171" s="235">
        <f>SUM(F170:K170)</f>
        <v>0</v>
      </c>
      <c r="G171" s="236"/>
      <c r="H171" s="236"/>
      <c r="I171" s="236"/>
      <c r="J171" s="236"/>
      <c r="K171" s="237"/>
      <c r="L171" s="191">
        <f>L170</f>
        <v>0</v>
      </c>
      <c r="M171" s="189">
        <f>SUM(M164:M169)</f>
        <v>0</v>
      </c>
      <c r="N171" s="189">
        <f>SUM(N164:N169)</f>
        <v>0</v>
      </c>
      <c r="O171" s="189">
        <f>SUM(O164)</f>
        <v>0</v>
      </c>
      <c r="P171" s="192">
        <f>SUM(P164)</f>
        <v>0</v>
      </c>
      <c r="Q171" s="62"/>
      <c r="T171" s="75" t="e">
        <f>$V$3+L11+L19+L27+L35+L43+L51+L59+L67+L75+L83+L91+L99+L107+L115+L123+L131+L139+L147+L155+L163+L171</f>
        <v>#REF!</v>
      </c>
    </row>
    <row r="172" spans="1:20" ht="15.6" thickTop="1" thickBot="1">
      <c r="A172" s="47" t="str">
        <f ca="1">OFFSET('0'!$B$112,($A$1-1)*10,$B172-1)</f>
        <v>--</v>
      </c>
      <c r="B172" s="228">
        <f ca="1">OFFSET('0'!$B$111,($A$1-1)*10,21)</f>
        <v>22</v>
      </c>
      <c r="C172" s="69"/>
      <c r="D172" s="81"/>
      <c r="E172" s="43"/>
      <c r="F172" s="82"/>
      <c r="G172" s="82"/>
      <c r="H172" s="82"/>
      <c r="I172" s="82"/>
      <c r="J172" s="82"/>
      <c r="K172" s="82"/>
      <c r="L172" s="79"/>
      <c r="M172" s="43">
        <f t="shared" ref="M172:M177" si="63">SUM(D172-E172)</f>
        <v>0</v>
      </c>
      <c r="N172" s="39">
        <f t="shared" ref="N172:N177" si="64">SUM(E172,M172)</f>
        <v>0</v>
      </c>
      <c r="O172" s="229"/>
      <c r="P172" s="232"/>
      <c r="Q172" s="70"/>
    </row>
    <row r="173" spans="1:20" ht="15.6" thickTop="1" thickBot="1">
      <c r="A173" s="47"/>
      <c r="B173" s="228"/>
      <c r="C173" s="71"/>
      <c r="D173" s="184"/>
      <c r="E173" s="185"/>
      <c r="F173" s="186"/>
      <c r="G173" s="186"/>
      <c r="H173" s="186"/>
      <c r="I173" s="186"/>
      <c r="J173" s="186"/>
      <c r="K173" s="186"/>
      <c r="L173" s="206"/>
      <c r="M173" s="185">
        <f t="shared" si="63"/>
        <v>0</v>
      </c>
      <c r="N173" s="187">
        <f t="shared" si="64"/>
        <v>0</v>
      </c>
      <c r="O173" s="230"/>
      <c r="P173" s="233"/>
      <c r="Q173" s="72"/>
    </row>
    <row r="174" spans="1:20" s="57" customFormat="1" ht="15.6" thickTop="1" thickBot="1">
      <c r="A174" s="48"/>
      <c r="B174" s="228"/>
      <c r="C174" s="71"/>
      <c r="D174" s="184"/>
      <c r="E174" s="185"/>
      <c r="F174" s="186"/>
      <c r="G174" s="186"/>
      <c r="H174" s="186"/>
      <c r="I174" s="186"/>
      <c r="J174" s="186"/>
      <c r="K174" s="186"/>
      <c r="L174" s="206"/>
      <c r="M174" s="185">
        <f t="shared" si="63"/>
        <v>0</v>
      </c>
      <c r="N174" s="187">
        <f t="shared" si="64"/>
        <v>0</v>
      </c>
      <c r="O174" s="230"/>
      <c r="P174" s="233"/>
      <c r="Q174" s="72"/>
    </row>
    <row r="175" spans="1:20" ht="15.6" thickTop="1" thickBot="1">
      <c r="A175" s="47"/>
      <c r="B175" s="228"/>
      <c r="C175" s="73"/>
      <c r="D175" s="184"/>
      <c r="E175" s="185"/>
      <c r="F175" s="186"/>
      <c r="G175" s="186"/>
      <c r="H175" s="186"/>
      <c r="I175" s="186"/>
      <c r="J175" s="186"/>
      <c r="K175" s="186"/>
      <c r="L175" s="206"/>
      <c r="M175" s="185">
        <f t="shared" si="63"/>
        <v>0</v>
      </c>
      <c r="N175" s="187">
        <f t="shared" si="64"/>
        <v>0</v>
      </c>
      <c r="O175" s="230"/>
      <c r="P175" s="233"/>
      <c r="Q175" s="72"/>
    </row>
    <row r="176" spans="1:20" ht="15.6" thickTop="1" thickBot="1">
      <c r="A176" s="47"/>
      <c r="B176" s="228"/>
      <c r="C176" s="73"/>
      <c r="D176" s="184"/>
      <c r="E176" s="185"/>
      <c r="F176" s="186"/>
      <c r="G176" s="186"/>
      <c r="H176" s="186"/>
      <c r="I176" s="186"/>
      <c r="J176" s="186"/>
      <c r="K176" s="186"/>
      <c r="L176" s="206"/>
      <c r="M176" s="185">
        <f t="shared" si="63"/>
        <v>0</v>
      </c>
      <c r="N176" s="187">
        <f t="shared" si="64"/>
        <v>0</v>
      </c>
      <c r="O176" s="230"/>
      <c r="P176" s="233"/>
      <c r="Q176" s="72"/>
    </row>
    <row r="177" spans="1:20" ht="15.6" thickTop="1" thickBot="1">
      <c r="A177" s="47"/>
      <c r="B177" s="228"/>
      <c r="C177" s="73"/>
      <c r="D177" s="184"/>
      <c r="E177" s="185"/>
      <c r="F177" s="186"/>
      <c r="G177" s="186"/>
      <c r="H177" s="186"/>
      <c r="I177" s="186"/>
      <c r="J177" s="186"/>
      <c r="K177" s="186"/>
      <c r="L177" s="207"/>
      <c r="M177" s="185">
        <f t="shared" si="63"/>
        <v>0</v>
      </c>
      <c r="N177" s="187">
        <f t="shared" si="64"/>
        <v>0</v>
      </c>
      <c r="O177" s="230"/>
      <c r="P177" s="233"/>
      <c r="Q177" s="72"/>
    </row>
    <row r="178" spans="1:20" ht="15.6" thickTop="1" thickBot="1">
      <c r="A178" s="47"/>
      <c r="B178" s="228"/>
      <c r="C178" s="74" t="s">
        <v>65</v>
      </c>
      <c r="D178" s="184">
        <f t="shared" ref="D178:K178" si="65">SUM(D172:D177)</f>
        <v>0</v>
      </c>
      <c r="E178" s="185">
        <f t="shared" si="65"/>
        <v>0</v>
      </c>
      <c r="F178" s="186">
        <f t="shared" si="65"/>
        <v>0</v>
      </c>
      <c r="G178" s="186">
        <f t="shared" si="65"/>
        <v>0</v>
      </c>
      <c r="H178" s="186">
        <f t="shared" si="65"/>
        <v>0</v>
      </c>
      <c r="I178" s="186">
        <f t="shared" si="65"/>
        <v>0</v>
      </c>
      <c r="J178" s="186">
        <f t="shared" si="65"/>
        <v>0</v>
      </c>
      <c r="K178" s="186">
        <f t="shared" si="65"/>
        <v>0</v>
      </c>
      <c r="L178" s="190"/>
      <c r="M178" s="185">
        <f>SUM(M172:M177)</f>
        <v>0</v>
      </c>
      <c r="N178" s="187">
        <f>SUM(N172:N177)</f>
        <v>0</v>
      </c>
      <c r="O178" s="231"/>
      <c r="P178" s="234"/>
      <c r="Q178" s="72"/>
    </row>
    <row r="179" spans="1:20" ht="15.6" thickTop="1" thickBot="1">
      <c r="A179" s="47"/>
      <c r="B179" s="228"/>
      <c r="C179" s="61" t="s">
        <v>44</v>
      </c>
      <c r="D179" s="189">
        <f>SUM(D172:D177)</f>
        <v>0</v>
      </c>
      <c r="E179" s="189">
        <f>SUM(E172:E177)</f>
        <v>0</v>
      </c>
      <c r="F179" s="235">
        <f>SUM(F178:K178)</f>
        <v>0</v>
      </c>
      <c r="G179" s="236"/>
      <c r="H179" s="236"/>
      <c r="I179" s="236"/>
      <c r="J179" s="236"/>
      <c r="K179" s="237"/>
      <c r="L179" s="191">
        <f>L178</f>
        <v>0</v>
      </c>
      <c r="M179" s="189">
        <f>SUM(M172:M177)</f>
        <v>0</v>
      </c>
      <c r="N179" s="189">
        <f>SUM(N172:N177)</f>
        <v>0</v>
      </c>
      <c r="O179" s="189">
        <f>SUM(O172)</f>
        <v>0</v>
      </c>
      <c r="P179" s="192">
        <f>SUM(P172)</f>
        <v>0</v>
      </c>
      <c r="Q179" s="62"/>
      <c r="T179" s="75" t="e">
        <f>$V$3+L11+L19+L27+L35+L43+L51+L59+L67+L75+L83+L91+L99+L107+L115+L123+L131+L139+L147+L155+L163+L171+L179</f>
        <v>#REF!</v>
      </c>
    </row>
    <row r="180" spans="1:20" ht="15.6" thickTop="1" thickBot="1">
      <c r="A180" s="47" t="str">
        <f ca="1">OFFSET('0'!$B$112,($A$1-1)*10,$B180-1)</f>
        <v>--</v>
      </c>
      <c r="B180" s="228">
        <f ca="1">OFFSET('0'!$B$111,($A$1-1)*10,22)</f>
        <v>23</v>
      </c>
      <c r="C180" s="69"/>
      <c r="D180" s="81"/>
      <c r="E180" s="43"/>
      <c r="F180" s="82"/>
      <c r="G180" s="82"/>
      <c r="H180" s="82"/>
      <c r="I180" s="82"/>
      <c r="J180" s="82"/>
      <c r="K180" s="82"/>
      <c r="L180" s="80"/>
      <c r="M180" s="43">
        <f t="shared" ref="M180:M185" si="66">SUM(D180-E180)</f>
        <v>0</v>
      </c>
      <c r="N180" s="39">
        <f t="shared" ref="N180:N185" si="67">SUM(E180,M180)</f>
        <v>0</v>
      </c>
      <c r="O180" s="229"/>
      <c r="P180" s="232"/>
      <c r="Q180" s="70"/>
    </row>
    <row r="181" spans="1:20" s="57" customFormat="1" ht="15.6" thickTop="1" thickBot="1">
      <c r="A181" s="48"/>
      <c r="B181" s="228"/>
      <c r="C181" s="71"/>
      <c r="D181" s="201"/>
      <c r="E181" s="202"/>
      <c r="F181" s="203"/>
      <c r="G181" s="203"/>
      <c r="H181" s="203"/>
      <c r="I181" s="203"/>
      <c r="J181" s="203"/>
      <c r="K181" s="203"/>
      <c r="L181" s="208"/>
      <c r="M181" s="185">
        <f t="shared" si="66"/>
        <v>0</v>
      </c>
      <c r="N181" s="187">
        <f t="shared" si="67"/>
        <v>0</v>
      </c>
      <c r="O181" s="230"/>
      <c r="P181" s="233"/>
      <c r="Q181" s="76"/>
    </row>
    <row r="182" spans="1:20" ht="15.6" thickTop="1" thickBot="1">
      <c r="A182" s="47"/>
      <c r="B182" s="228"/>
      <c r="C182" s="71"/>
      <c r="D182" s="184"/>
      <c r="E182" s="185"/>
      <c r="F182" s="186"/>
      <c r="G182" s="186"/>
      <c r="H182" s="186"/>
      <c r="I182" s="186"/>
      <c r="J182" s="186"/>
      <c r="K182" s="186"/>
      <c r="L182" s="206"/>
      <c r="M182" s="185">
        <f t="shared" si="66"/>
        <v>0</v>
      </c>
      <c r="N182" s="187">
        <f t="shared" si="67"/>
        <v>0</v>
      </c>
      <c r="O182" s="230"/>
      <c r="P182" s="233"/>
      <c r="Q182" s="72"/>
    </row>
    <row r="183" spans="1:20" ht="15.6" thickTop="1" thickBot="1">
      <c r="A183" s="47"/>
      <c r="B183" s="228"/>
      <c r="C183" s="73"/>
      <c r="D183" s="184"/>
      <c r="E183" s="185"/>
      <c r="F183" s="186"/>
      <c r="G183" s="186"/>
      <c r="H183" s="186"/>
      <c r="I183" s="186"/>
      <c r="J183" s="186"/>
      <c r="K183" s="186"/>
      <c r="L183" s="206"/>
      <c r="M183" s="185">
        <f t="shared" si="66"/>
        <v>0</v>
      </c>
      <c r="N183" s="187">
        <f t="shared" si="67"/>
        <v>0</v>
      </c>
      <c r="O183" s="230"/>
      <c r="P183" s="233"/>
      <c r="Q183" s="72"/>
    </row>
    <row r="184" spans="1:20" ht="15.6" thickTop="1" thickBot="1">
      <c r="A184" s="47"/>
      <c r="B184" s="228"/>
      <c r="C184" s="73"/>
      <c r="D184" s="184"/>
      <c r="E184" s="185"/>
      <c r="F184" s="186"/>
      <c r="G184" s="186"/>
      <c r="H184" s="186"/>
      <c r="I184" s="186"/>
      <c r="J184" s="186"/>
      <c r="K184" s="186"/>
      <c r="L184" s="206"/>
      <c r="M184" s="185">
        <f t="shared" si="66"/>
        <v>0</v>
      </c>
      <c r="N184" s="187">
        <f t="shared" si="67"/>
        <v>0</v>
      </c>
      <c r="O184" s="230"/>
      <c r="P184" s="233"/>
      <c r="Q184" s="72"/>
    </row>
    <row r="185" spans="1:20" ht="15.6" thickTop="1" thickBot="1">
      <c r="A185" s="47"/>
      <c r="B185" s="228"/>
      <c r="C185" s="73"/>
      <c r="D185" s="184"/>
      <c r="E185" s="185"/>
      <c r="F185" s="186"/>
      <c r="G185" s="186"/>
      <c r="H185" s="186"/>
      <c r="I185" s="186"/>
      <c r="J185" s="186"/>
      <c r="K185" s="186"/>
      <c r="L185" s="207"/>
      <c r="M185" s="185">
        <f t="shared" si="66"/>
        <v>0</v>
      </c>
      <c r="N185" s="187">
        <f t="shared" si="67"/>
        <v>0</v>
      </c>
      <c r="O185" s="230"/>
      <c r="P185" s="233"/>
      <c r="Q185" s="72"/>
    </row>
    <row r="186" spans="1:20" ht="15.6" thickTop="1" thickBot="1">
      <c r="A186" s="47"/>
      <c r="B186" s="228"/>
      <c r="C186" s="74" t="s">
        <v>65</v>
      </c>
      <c r="D186" s="184">
        <f t="shared" ref="D186:K186" si="68">SUM(D180:D185)</f>
        <v>0</v>
      </c>
      <c r="E186" s="185">
        <f t="shared" si="68"/>
        <v>0</v>
      </c>
      <c r="F186" s="186">
        <f t="shared" si="68"/>
        <v>0</v>
      </c>
      <c r="G186" s="186">
        <f t="shared" si="68"/>
        <v>0</v>
      </c>
      <c r="H186" s="186">
        <f t="shared" si="68"/>
        <v>0</v>
      </c>
      <c r="I186" s="186">
        <f t="shared" si="68"/>
        <v>0</v>
      </c>
      <c r="J186" s="186">
        <f t="shared" si="68"/>
        <v>0</v>
      </c>
      <c r="K186" s="186">
        <f t="shared" si="68"/>
        <v>0</v>
      </c>
      <c r="L186" s="190"/>
      <c r="M186" s="185">
        <f>SUM(M180:M185)</f>
        <v>0</v>
      </c>
      <c r="N186" s="187">
        <f>SUM(N180:N185)</f>
        <v>0</v>
      </c>
      <c r="O186" s="231"/>
      <c r="P186" s="234"/>
      <c r="Q186" s="72"/>
    </row>
    <row r="187" spans="1:20" ht="15.6" thickTop="1" thickBot="1">
      <c r="A187" s="47"/>
      <c r="B187" s="228"/>
      <c r="C187" s="61" t="s">
        <v>44</v>
      </c>
      <c r="D187" s="189">
        <f>SUM(D180:D185)</f>
        <v>0</v>
      </c>
      <c r="E187" s="189">
        <f>SUM(E180:E185)</f>
        <v>0</v>
      </c>
      <c r="F187" s="235">
        <f>SUM(F186:K186)</f>
        <v>0</v>
      </c>
      <c r="G187" s="236"/>
      <c r="H187" s="236"/>
      <c r="I187" s="236"/>
      <c r="J187" s="236"/>
      <c r="K187" s="237"/>
      <c r="L187" s="191">
        <f>L186</f>
        <v>0</v>
      </c>
      <c r="M187" s="189">
        <f>SUM(M180:M185)</f>
        <v>0</v>
      </c>
      <c r="N187" s="189">
        <f>SUM(N180:N185)</f>
        <v>0</v>
      </c>
      <c r="O187" s="189">
        <f>SUM(O180)</f>
        <v>0</v>
      </c>
      <c r="P187" s="192">
        <f>SUM(P180)</f>
        <v>0</v>
      </c>
      <c r="Q187" s="62"/>
      <c r="T187" s="75" t="e">
        <f>$V$3+L11+L19+L27+L35+L43+L51+L59+L67+L75+L83+L91+L99+L107+L115+L123+L131+L139+L147+L155+L163+L171+L179+L187</f>
        <v>#REF!</v>
      </c>
    </row>
    <row r="188" spans="1:20" ht="15.6" thickTop="1" thickBot="1">
      <c r="A188" s="47" t="str">
        <f ca="1">OFFSET('0'!$B$112,($A$1-1)*10,$B188-1)</f>
        <v>--</v>
      </c>
      <c r="B188" s="228">
        <f ca="1">OFFSET('0'!$B$111,($A$1-1)*10,23)</f>
        <v>24</v>
      </c>
      <c r="C188" s="69"/>
      <c r="D188" s="81"/>
      <c r="E188" s="43"/>
      <c r="F188" s="82"/>
      <c r="G188" s="82"/>
      <c r="H188" s="82"/>
      <c r="I188" s="82"/>
      <c r="J188" s="82"/>
      <c r="K188" s="82"/>
      <c r="L188" s="79"/>
      <c r="M188" s="43">
        <f t="shared" ref="M188:M193" si="69">SUM(D188-E188)</f>
        <v>0</v>
      </c>
      <c r="N188" s="39">
        <f t="shared" ref="N188:N193" si="70">SUM(E188,M188)</f>
        <v>0</v>
      </c>
      <c r="O188" s="229"/>
      <c r="P188" s="232"/>
      <c r="Q188" s="70"/>
    </row>
    <row r="189" spans="1:20" ht="15.6" thickTop="1" thickBot="1">
      <c r="A189" s="47"/>
      <c r="B189" s="228"/>
      <c r="C189" s="71"/>
      <c r="D189" s="184"/>
      <c r="E189" s="185"/>
      <c r="F189" s="186"/>
      <c r="G189" s="186"/>
      <c r="H189" s="186"/>
      <c r="I189" s="186"/>
      <c r="J189" s="186"/>
      <c r="K189" s="186"/>
      <c r="L189" s="206"/>
      <c r="M189" s="185">
        <f t="shared" si="69"/>
        <v>0</v>
      </c>
      <c r="N189" s="187">
        <f t="shared" si="70"/>
        <v>0</v>
      </c>
      <c r="O189" s="230"/>
      <c r="P189" s="233"/>
      <c r="Q189" s="72"/>
    </row>
    <row r="190" spans="1:20" s="57" customFormat="1" ht="15.6" thickTop="1" thickBot="1">
      <c r="A190" s="48"/>
      <c r="B190" s="228"/>
      <c r="C190" s="71"/>
      <c r="D190" s="184"/>
      <c r="E190" s="185"/>
      <c r="F190" s="186"/>
      <c r="G190" s="186"/>
      <c r="H190" s="186"/>
      <c r="I190" s="186"/>
      <c r="J190" s="186"/>
      <c r="K190" s="186"/>
      <c r="L190" s="206"/>
      <c r="M190" s="185">
        <f t="shared" si="69"/>
        <v>0</v>
      </c>
      <c r="N190" s="187">
        <f t="shared" si="70"/>
        <v>0</v>
      </c>
      <c r="O190" s="230"/>
      <c r="P190" s="233"/>
      <c r="Q190" s="72"/>
    </row>
    <row r="191" spans="1:20" ht="15.6" thickTop="1" thickBot="1">
      <c r="A191" s="47"/>
      <c r="B191" s="228"/>
      <c r="C191" s="73"/>
      <c r="D191" s="184"/>
      <c r="E191" s="185"/>
      <c r="F191" s="186"/>
      <c r="G191" s="186"/>
      <c r="H191" s="186"/>
      <c r="I191" s="186"/>
      <c r="J191" s="186"/>
      <c r="K191" s="186"/>
      <c r="L191" s="206"/>
      <c r="M191" s="185">
        <f t="shared" si="69"/>
        <v>0</v>
      </c>
      <c r="N191" s="187">
        <f t="shared" si="70"/>
        <v>0</v>
      </c>
      <c r="O191" s="230"/>
      <c r="P191" s="233"/>
      <c r="Q191" s="72"/>
    </row>
    <row r="192" spans="1:20" ht="15.6" thickTop="1" thickBot="1">
      <c r="A192" s="47"/>
      <c r="B192" s="228"/>
      <c r="C192" s="73"/>
      <c r="D192" s="184"/>
      <c r="E192" s="185"/>
      <c r="F192" s="186"/>
      <c r="G192" s="186"/>
      <c r="H192" s="186"/>
      <c r="I192" s="186"/>
      <c r="J192" s="186"/>
      <c r="K192" s="186"/>
      <c r="L192" s="206"/>
      <c r="M192" s="185">
        <f t="shared" si="69"/>
        <v>0</v>
      </c>
      <c r="N192" s="187">
        <f t="shared" si="70"/>
        <v>0</v>
      </c>
      <c r="O192" s="230"/>
      <c r="P192" s="233"/>
      <c r="Q192" s="72"/>
    </row>
    <row r="193" spans="1:20" ht="15.6" thickTop="1" thickBot="1">
      <c r="A193" s="47"/>
      <c r="B193" s="228"/>
      <c r="C193" s="73"/>
      <c r="D193" s="184"/>
      <c r="E193" s="185"/>
      <c r="F193" s="186"/>
      <c r="G193" s="186"/>
      <c r="H193" s="186"/>
      <c r="I193" s="186"/>
      <c r="J193" s="186"/>
      <c r="K193" s="186"/>
      <c r="L193" s="207"/>
      <c r="M193" s="185">
        <f t="shared" si="69"/>
        <v>0</v>
      </c>
      <c r="N193" s="187">
        <f t="shared" si="70"/>
        <v>0</v>
      </c>
      <c r="O193" s="230"/>
      <c r="P193" s="233"/>
      <c r="Q193" s="72"/>
    </row>
    <row r="194" spans="1:20" ht="15.6" thickTop="1" thickBot="1">
      <c r="A194" s="47"/>
      <c r="B194" s="228"/>
      <c r="C194" s="74" t="s">
        <v>65</v>
      </c>
      <c r="D194" s="184">
        <f t="shared" ref="D194:K194" si="71">SUM(D188:D193)</f>
        <v>0</v>
      </c>
      <c r="E194" s="185">
        <f t="shared" si="71"/>
        <v>0</v>
      </c>
      <c r="F194" s="186">
        <f t="shared" si="71"/>
        <v>0</v>
      </c>
      <c r="G194" s="186">
        <f t="shared" si="71"/>
        <v>0</v>
      </c>
      <c r="H194" s="186">
        <f t="shared" si="71"/>
        <v>0</v>
      </c>
      <c r="I194" s="186">
        <f t="shared" si="71"/>
        <v>0</v>
      </c>
      <c r="J194" s="186">
        <f t="shared" si="71"/>
        <v>0</v>
      </c>
      <c r="K194" s="186">
        <f t="shared" si="71"/>
        <v>0</v>
      </c>
      <c r="L194" s="190"/>
      <c r="M194" s="185">
        <f>SUM(M188:M193)</f>
        <v>0</v>
      </c>
      <c r="N194" s="187">
        <f>SUM(N188:N193)</f>
        <v>0</v>
      </c>
      <c r="O194" s="231"/>
      <c r="P194" s="234"/>
      <c r="Q194" s="72"/>
    </row>
    <row r="195" spans="1:20" ht="15.6" thickTop="1" thickBot="1">
      <c r="A195" s="47"/>
      <c r="B195" s="228"/>
      <c r="C195" s="61" t="s">
        <v>44</v>
      </c>
      <c r="D195" s="189">
        <f>SUM(D188:D193)</f>
        <v>0</v>
      </c>
      <c r="E195" s="189">
        <f>SUM(E188:E193)</f>
        <v>0</v>
      </c>
      <c r="F195" s="235">
        <f>SUM(F194:K194)</f>
        <v>0</v>
      </c>
      <c r="G195" s="236"/>
      <c r="H195" s="236"/>
      <c r="I195" s="236"/>
      <c r="J195" s="236"/>
      <c r="K195" s="237"/>
      <c r="L195" s="191">
        <f>L194</f>
        <v>0</v>
      </c>
      <c r="M195" s="189">
        <f>SUM(M188:M193)</f>
        <v>0</v>
      </c>
      <c r="N195" s="189">
        <f>SUM(N188:N193)</f>
        <v>0</v>
      </c>
      <c r="O195" s="189">
        <f>SUM(O188)</f>
        <v>0</v>
      </c>
      <c r="P195" s="192">
        <f>SUM(P188)</f>
        <v>0</v>
      </c>
      <c r="Q195" s="62"/>
      <c r="T195" s="75" t="e">
        <f>$V$3+L11+L19+L27+L35+L43+L51+L59+L67+L75+L83+L91+L99+L107+L115+L123+L131+L139+L147+L155+L163+L171+L179+L187+L195</f>
        <v>#REF!</v>
      </c>
    </row>
    <row r="196" spans="1:20" ht="15.6" thickTop="1" thickBot="1">
      <c r="A196" s="47" t="str">
        <f ca="1">OFFSET('0'!$B$112,($A$1-1)*10,$B196-1)</f>
        <v>SS</v>
      </c>
      <c r="B196" s="228">
        <f ca="1">OFFSET('0'!$B$111,($A$1-1)*10,24)</f>
        <v>25</v>
      </c>
      <c r="C196" s="69"/>
      <c r="D196" s="81"/>
      <c r="E196" s="43"/>
      <c r="F196" s="82"/>
      <c r="G196" s="82"/>
      <c r="H196" s="82"/>
      <c r="I196" s="82"/>
      <c r="J196" s="82"/>
      <c r="K196" s="82"/>
      <c r="L196" s="79"/>
      <c r="M196" s="43">
        <f t="shared" ref="M196:M201" si="72">SUM(D196-E196)</f>
        <v>0</v>
      </c>
      <c r="N196" s="39">
        <f t="shared" ref="N196:N201" si="73">SUM(E196,M196)</f>
        <v>0</v>
      </c>
      <c r="O196" s="229"/>
      <c r="P196" s="232"/>
      <c r="Q196" s="70"/>
    </row>
    <row r="197" spans="1:20" ht="15.6" thickTop="1" thickBot="1">
      <c r="A197" s="47"/>
      <c r="B197" s="228"/>
      <c r="C197" s="71"/>
      <c r="D197" s="184"/>
      <c r="E197" s="185"/>
      <c r="F197" s="186"/>
      <c r="G197" s="186"/>
      <c r="H197" s="186"/>
      <c r="I197" s="186"/>
      <c r="J197" s="186"/>
      <c r="K197" s="186"/>
      <c r="L197" s="206"/>
      <c r="M197" s="185">
        <f t="shared" si="72"/>
        <v>0</v>
      </c>
      <c r="N197" s="187">
        <f t="shared" si="73"/>
        <v>0</v>
      </c>
      <c r="O197" s="230"/>
      <c r="P197" s="233"/>
      <c r="Q197" s="72"/>
    </row>
    <row r="198" spans="1:20" ht="15.6" thickTop="1" thickBot="1">
      <c r="A198" s="47"/>
      <c r="B198" s="228"/>
      <c r="C198" s="71"/>
      <c r="D198" s="184"/>
      <c r="E198" s="185"/>
      <c r="F198" s="186"/>
      <c r="G198" s="186"/>
      <c r="H198" s="186"/>
      <c r="I198" s="186"/>
      <c r="J198" s="186"/>
      <c r="K198" s="186"/>
      <c r="L198" s="206"/>
      <c r="M198" s="185">
        <f t="shared" si="72"/>
        <v>0</v>
      </c>
      <c r="N198" s="187">
        <f t="shared" si="73"/>
        <v>0</v>
      </c>
      <c r="O198" s="230"/>
      <c r="P198" s="233"/>
      <c r="Q198" s="72"/>
    </row>
    <row r="199" spans="1:20" ht="15.6" thickTop="1" thickBot="1">
      <c r="A199" s="47"/>
      <c r="B199" s="228"/>
      <c r="C199" s="73"/>
      <c r="D199" s="184"/>
      <c r="E199" s="185"/>
      <c r="F199" s="186"/>
      <c r="G199" s="186"/>
      <c r="H199" s="186"/>
      <c r="I199" s="186"/>
      <c r="J199" s="186"/>
      <c r="K199" s="188"/>
      <c r="L199" s="206"/>
      <c r="M199" s="185">
        <f t="shared" si="72"/>
        <v>0</v>
      </c>
      <c r="N199" s="187">
        <f t="shared" si="73"/>
        <v>0</v>
      </c>
      <c r="O199" s="230"/>
      <c r="P199" s="233"/>
      <c r="Q199" s="72"/>
    </row>
    <row r="200" spans="1:20" ht="15.6" thickTop="1" thickBot="1">
      <c r="A200" s="47"/>
      <c r="B200" s="228"/>
      <c r="C200" s="73"/>
      <c r="D200" s="184"/>
      <c r="E200" s="185"/>
      <c r="F200" s="186"/>
      <c r="G200" s="186"/>
      <c r="H200" s="186"/>
      <c r="I200" s="186"/>
      <c r="J200" s="186"/>
      <c r="K200" s="188"/>
      <c r="L200" s="206"/>
      <c r="M200" s="185">
        <f t="shared" si="72"/>
        <v>0</v>
      </c>
      <c r="N200" s="187">
        <f t="shared" si="73"/>
        <v>0</v>
      </c>
      <c r="O200" s="230"/>
      <c r="P200" s="233"/>
      <c r="Q200" s="72"/>
    </row>
    <row r="201" spans="1:20" ht="15.6" thickTop="1" thickBot="1">
      <c r="A201" s="47"/>
      <c r="B201" s="228"/>
      <c r="C201" s="73"/>
      <c r="D201" s="184"/>
      <c r="E201" s="185"/>
      <c r="F201" s="186"/>
      <c r="G201" s="186"/>
      <c r="H201" s="186"/>
      <c r="I201" s="186"/>
      <c r="J201" s="186"/>
      <c r="K201" s="188"/>
      <c r="L201" s="207"/>
      <c r="M201" s="185">
        <f t="shared" si="72"/>
        <v>0</v>
      </c>
      <c r="N201" s="196">
        <f t="shared" si="73"/>
        <v>0</v>
      </c>
      <c r="O201" s="230"/>
      <c r="P201" s="233"/>
      <c r="Q201" s="72"/>
    </row>
    <row r="202" spans="1:20" ht="15.6" thickTop="1" thickBot="1">
      <c r="A202" s="47"/>
      <c r="B202" s="228"/>
      <c r="C202" s="68" t="s">
        <v>65</v>
      </c>
      <c r="D202" s="184">
        <f t="shared" ref="D202:K202" si="74">SUM(D196:D201)</f>
        <v>0</v>
      </c>
      <c r="E202" s="185">
        <f t="shared" si="74"/>
        <v>0</v>
      </c>
      <c r="F202" s="186">
        <f t="shared" si="74"/>
        <v>0</v>
      </c>
      <c r="G202" s="186">
        <f t="shared" si="74"/>
        <v>0</v>
      </c>
      <c r="H202" s="186">
        <f t="shared" si="74"/>
        <v>0</v>
      </c>
      <c r="I202" s="186">
        <f t="shared" si="74"/>
        <v>0</v>
      </c>
      <c r="J202" s="186">
        <f t="shared" si="74"/>
        <v>0</v>
      </c>
      <c r="K202" s="186">
        <f t="shared" si="74"/>
        <v>0</v>
      </c>
      <c r="L202" s="190"/>
      <c r="M202" s="185">
        <f>SUM(M196:M201)</f>
        <v>0</v>
      </c>
      <c r="N202" s="187">
        <f>SUM(N196:N201)</f>
        <v>0</v>
      </c>
      <c r="O202" s="231"/>
      <c r="P202" s="234"/>
      <c r="Q202" s="72"/>
    </row>
    <row r="203" spans="1:20" ht="15.6" thickTop="1" thickBot="1">
      <c r="A203" s="47"/>
      <c r="B203" s="228"/>
      <c r="C203" s="61" t="s">
        <v>44</v>
      </c>
      <c r="D203" s="189">
        <f>SUM(D196:D201)</f>
        <v>0</v>
      </c>
      <c r="E203" s="189">
        <f>SUM(E196:E201)</f>
        <v>0</v>
      </c>
      <c r="F203" s="235">
        <f>SUM(F202:K202)</f>
        <v>0</v>
      </c>
      <c r="G203" s="236"/>
      <c r="H203" s="236"/>
      <c r="I203" s="236"/>
      <c r="J203" s="236"/>
      <c r="K203" s="237"/>
      <c r="L203" s="191">
        <f>L202</f>
        <v>0</v>
      </c>
      <c r="M203" s="189">
        <f>SUM(M196:M201)</f>
        <v>0</v>
      </c>
      <c r="N203" s="189">
        <f>SUM(N196:N201)</f>
        <v>0</v>
      </c>
      <c r="O203" s="189">
        <f>SUM(O196)</f>
        <v>0</v>
      </c>
      <c r="P203" s="192">
        <f>SUM(P196)</f>
        <v>0</v>
      </c>
      <c r="Q203" s="62"/>
      <c r="T203" s="75" t="e">
        <f>$V$3+L11+L19+L27+L35+L43+L51+L59+L67+L75+L83+L91+L99+L107+L115+L123+L131+L139+L147+L155+L163+L171+L179+L187+L195+L203</f>
        <v>#REF!</v>
      </c>
    </row>
    <row r="204" spans="1:20" ht="15.6" thickTop="1" thickBot="1">
      <c r="A204" s="47" t="str">
        <f ca="1">OFFSET('0'!$B$112,($A$1-1)*10,$B204-1)</f>
        <v>SK</v>
      </c>
      <c r="B204" s="228">
        <f ca="1">OFFSET('0'!$B$111,($A$1-1)*10,25)</f>
        <v>26</v>
      </c>
      <c r="C204" s="69"/>
      <c r="D204" s="81"/>
      <c r="E204" s="43"/>
      <c r="F204" s="82"/>
      <c r="G204" s="82"/>
      <c r="H204" s="82"/>
      <c r="I204" s="82"/>
      <c r="J204" s="82"/>
      <c r="K204" s="82"/>
      <c r="L204" s="79"/>
      <c r="M204" s="43">
        <f t="shared" ref="M204:M209" si="75">SUM(D204-E204)</f>
        <v>0</v>
      </c>
      <c r="N204" s="60">
        <f t="shared" ref="N204:N209" si="76">SUM(E204,M204)</f>
        <v>0</v>
      </c>
      <c r="O204" s="229"/>
      <c r="P204" s="232"/>
      <c r="Q204" s="70"/>
    </row>
    <row r="205" spans="1:20" s="57" customFormat="1" ht="15.6" thickTop="1" thickBot="1">
      <c r="A205" s="48"/>
      <c r="B205" s="228"/>
      <c r="C205" s="71"/>
      <c r="D205" s="201"/>
      <c r="E205" s="202"/>
      <c r="F205" s="203"/>
      <c r="G205" s="203"/>
      <c r="H205" s="203"/>
      <c r="I205" s="203"/>
      <c r="J205" s="203"/>
      <c r="K205" s="203"/>
      <c r="L205" s="208"/>
      <c r="M205" s="185">
        <f t="shared" si="75"/>
        <v>0</v>
      </c>
      <c r="N205" s="196">
        <f t="shared" si="76"/>
        <v>0</v>
      </c>
      <c r="O205" s="230"/>
      <c r="P205" s="233"/>
      <c r="Q205" s="76"/>
    </row>
    <row r="206" spans="1:20" ht="15.6" thickTop="1" thickBot="1">
      <c r="A206" s="47"/>
      <c r="B206" s="228"/>
      <c r="C206" s="71"/>
      <c r="D206" s="184"/>
      <c r="E206" s="185"/>
      <c r="F206" s="186"/>
      <c r="G206" s="186"/>
      <c r="H206" s="186"/>
      <c r="I206" s="186"/>
      <c r="J206" s="186"/>
      <c r="K206" s="186"/>
      <c r="L206" s="206"/>
      <c r="M206" s="185">
        <f t="shared" si="75"/>
        <v>0</v>
      </c>
      <c r="N206" s="187">
        <f t="shared" si="76"/>
        <v>0</v>
      </c>
      <c r="O206" s="230"/>
      <c r="P206" s="233"/>
      <c r="Q206" s="72"/>
    </row>
    <row r="207" spans="1:20" ht="15.6" thickTop="1" thickBot="1">
      <c r="A207" s="47"/>
      <c r="B207" s="228"/>
      <c r="C207" s="73"/>
      <c r="D207" s="184"/>
      <c r="E207" s="185"/>
      <c r="F207" s="186"/>
      <c r="G207" s="186"/>
      <c r="H207" s="186"/>
      <c r="I207" s="186"/>
      <c r="J207" s="186"/>
      <c r="K207" s="186"/>
      <c r="L207" s="206"/>
      <c r="M207" s="185">
        <f t="shared" si="75"/>
        <v>0</v>
      </c>
      <c r="N207" s="187">
        <f t="shared" si="76"/>
        <v>0</v>
      </c>
      <c r="O207" s="230"/>
      <c r="P207" s="233"/>
      <c r="Q207" s="72"/>
    </row>
    <row r="208" spans="1:20" ht="15.6" thickTop="1" thickBot="1">
      <c r="A208" s="47"/>
      <c r="B208" s="228"/>
      <c r="C208" s="73"/>
      <c r="D208" s="184"/>
      <c r="E208" s="185"/>
      <c r="F208" s="186"/>
      <c r="G208" s="186"/>
      <c r="H208" s="186"/>
      <c r="I208" s="186"/>
      <c r="J208" s="186"/>
      <c r="K208" s="186"/>
      <c r="L208" s="206"/>
      <c r="M208" s="185">
        <f t="shared" si="75"/>
        <v>0</v>
      </c>
      <c r="N208" s="187">
        <f t="shared" si="76"/>
        <v>0</v>
      </c>
      <c r="O208" s="230"/>
      <c r="P208" s="233"/>
      <c r="Q208" s="72"/>
    </row>
    <row r="209" spans="1:20" ht="15.6" thickTop="1" thickBot="1">
      <c r="A209" s="47"/>
      <c r="B209" s="228"/>
      <c r="C209" s="73"/>
      <c r="D209" s="184"/>
      <c r="E209" s="185"/>
      <c r="F209" s="186"/>
      <c r="G209" s="186"/>
      <c r="H209" s="186"/>
      <c r="I209" s="186"/>
      <c r="J209" s="186"/>
      <c r="K209" s="188"/>
      <c r="L209" s="209"/>
      <c r="M209" s="185">
        <f t="shared" si="75"/>
        <v>0</v>
      </c>
      <c r="N209" s="187">
        <f t="shared" si="76"/>
        <v>0</v>
      </c>
      <c r="O209" s="230"/>
      <c r="P209" s="233"/>
      <c r="Q209" s="72"/>
    </row>
    <row r="210" spans="1:20" ht="15.6" thickTop="1" thickBot="1">
      <c r="A210" s="47"/>
      <c r="B210" s="228"/>
      <c r="C210" s="68" t="s">
        <v>65</v>
      </c>
      <c r="D210" s="184">
        <f t="shared" ref="D210:K210" si="77">SUM(D204:D209)</f>
        <v>0</v>
      </c>
      <c r="E210" s="185">
        <f t="shared" si="77"/>
        <v>0</v>
      </c>
      <c r="F210" s="186">
        <f t="shared" si="77"/>
        <v>0</v>
      </c>
      <c r="G210" s="186">
        <f t="shared" si="77"/>
        <v>0</v>
      </c>
      <c r="H210" s="186">
        <f t="shared" si="77"/>
        <v>0</v>
      </c>
      <c r="I210" s="186">
        <f t="shared" si="77"/>
        <v>0</v>
      </c>
      <c r="J210" s="186">
        <f t="shared" si="77"/>
        <v>0</v>
      </c>
      <c r="K210" s="186">
        <f t="shared" si="77"/>
        <v>0</v>
      </c>
      <c r="L210" s="190"/>
      <c r="M210" s="185">
        <f>SUM(M204:M209)</f>
        <v>0</v>
      </c>
      <c r="N210" s="187">
        <f>SUM(N204:N209)</f>
        <v>0</v>
      </c>
      <c r="O210" s="231"/>
      <c r="P210" s="234"/>
      <c r="Q210" s="72"/>
    </row>
    <row r="211" spans="1:20" ht="15.6" thickTop="1" thickBot="1">
      <c r="A211" s="47"/>
      <c r="B211" s="228"/>
      <c r="C211" s="61" t="s">
        <v>44</v>
      </c>
      <c r="D211" s="189">
        <f>SUM(D204:D209)</f>
        <v>0</v>
      </c>
      <c r="E211" s="189">
        <f>SUM(E204:E209)</f>
        <v>0</v>
      </c>
      <c r="F211" s="235">
        <f>SUM(F210:K210)</f>
        <v>0</v>
      </c>
      <c r="G211" s="236"/>
      <c r="H211" s="236"/>
      <c r="I211" s="236"/>
      <c r="J211" s="236"/>
      <c r="K211" s="237"/>
      <c r="L211" s="191">
        <f>L210</f>
        <v>0</v>
      </c>
      <c r="M211" s="189">
        <f>SUM(M204:M209)</f>
        <v>0</v>
      </c>
      <c r="N211" s="189">
        <f>SUM(N204:N209)</f>
        <v>0</v>
      </c>
      <c r="O211" s="189">
        <f>SUM(O204)</f>
        <v>0</v>
      </c>
      <c r="P211" s="192">
        <f>SUM(P204)</f>
        <v>0</v>
      </c>
      <c r="Q211" s="62"/>
      <c r="T211" s="75" t="e">
        <f>$V$3+L11+L19+L27+L35+L43+L51+L59+L67+L75+L83+L91+L99+L107+L115+L123+L131+L139+L147+L155+L163+L171+L179+L187+L195+L203+L211</f>
        <v>#REF!</v>
      </c>
    </row>
    <row r="212" spans="1:20" ht="15.6" thickTop="1" thickBot="1">
      <c r="A212" s="47" t="str">
        <f ca="1">OFFSET('0'!$B$112,($A$1-1)*10,$B212-1)</f>
        <v>--</v>
      </c>
      <c r="B212" s="228">
        <f ca="1">OFFSET('0'!$B$111,($A$1-1)*10,26)</f>
        <v>27</v>
      </c>
      <c r="C212" s="69"/>
      <c r="D212" s="81"/>
      <c r="E212" s="43"/>
      <c r="F212" s="82"/>
      <c r="G212" s="82"/>
      <c r="H212" s="82"/>
      <c r="I212" s="82"/>
      <c r="J212" s="82"/>
      <c r="K212" s="82"/>
      <c r="L212" s="79"/>
      <c r="M212" s="43">
        <f t="shared" ref="M212:M217" si="78">SUM(D212-E212)</f>
        <v>0</v>
      </c>
      <c r="N212" s="60">
        <f t="shared" ref="N212:N217" si="79">SUM(E212,M212)</f>
        <v>0</v>
      </c>
      <c r="O212" s="229"/>
      <c r="P212" s="232"/>
      <c r="Q212" s="70"/>
    </row>
    <row r="213" spans="1:20" ht="15.6" thickTop="1" thickBot="1">
      <c r="A213" s="47"/>
      <c r="B213" s="228"/>
      <c r="C213" s="71"/>
      <c r="D213" s="184"/>
      <c r="E213" s="185"/>
      <c r="F213" s="186"/>
      <c r="G213" s="186"/>
      <c r="H213" s="186"/>
      <c r="I213" s="186"/>
      <c r="J213" s="186"/>
      <c r="K213" s="186"/>
      <c r="L213" s="206"/>
      <c r="M213" s="185">
        <f t="shared" si="78"/>
        <v>0</v>
      </c>
      <c r="N213" s="187">
        <f t="shared" si="79"/>
        <v>0</v>
      </c>
      <c r="O213" s="230"/>
      <c r="P213" s="233"/>
      <c r="Q213" s="72"/>
    </row>
    <row r="214" spans="1:20" s="57" customFormat="1" ht="15.6" thickTop="1" thickBot="1">
      <c r="A214" s="48"/>
      <c r="B214" s="228"/>
      <c r="C214" s="71"/>
      <c r="D214" s="184"/>
      <c r="E214" s="185"/>
      <c r="F214" s="186"/>
      <c r="G214" s="186"/>
      <c r="H214" s="186"/>
      <c r="I214" s="186"/>
      <c r="J214" s="186"/>
      <c r="K214" s="186"/>
      <c r="L214" s="206"/>
      <c r="M214" s="185">
        <f t="shared" si="78"/>
        <v>0</v>
      </c>
      <c r="N214" s="187">
        <f t="shared" si="79"/>
        <v>0</v>
      </c>
      <c r="O214" s="230"/>
      <c r="P214" s="233"/>
      <c r="Q214" s="72"/>
    </row>
    <row r="215" spans="1:20" s="57" customFormat="1" ht="15.6" thickTop="1" thickBot="1">
      <c r="A215" s="48"/>
      <c r="B215" s="228"/>
      <c r="C215" s="73"/>
      <c r="D215" s="184"/>
      <c r="E215" s="185"/>
      <c r="F215" s="186"/>
      <c r="G215" s="186"/>
      <c r="H215" s="186"/>
      <c r="I215" s="186"/>
      <c r="J215" s="186"/>
      <c r="K215" s="186"/>
      <c r="L215" s="206"/>
      <c r="M215" s="185">
        <f t="shared" si="78"/>
        <v>0</v>
      </c>
      <c r="N215" s="187">
        <f t="shared" si="79"/>
        <v>0</v>
      </c>
      <c r="O215" s="230"/>
      <c r="P215" s="233"/>
      <c r="Q215" s="72"/>
    </row>
    <row r="216" spans="1:20" ht="15.6" thickTop="1" thickBot="1">
      <c r="A216" s="47"/>
      <c r="B216" s="228"/>
      <c r="C216" s="73"/>
      <c r="D216" s="184"/>
      <c r="E216" s="185"/>
      <c r="F216" s="186"/>
      <c r="G216" s="186"/>
      <c r="H216" s="186"/>
      <c r="I216" s="186"/>
      <c r="J216" s="186"/>
      <c r="K216" s="186"/>
      <c r="L216" s="206"/>
      <c r="M216" s="185">
        <f t="shared" si="78"/>
        <v>0</v>
      </c>
      <c r="N216" s="187">
        <f t="shared" si="79"/>
        <v>0</v>
      </c>
      <c r="O216" s="230"/>
      <c r="P216" s="233"/>
      <c r="Q216" s="72"/>
    </row>
    <row r="217" spans="1:20" ht="15.6" thickTop="1" thickBot="1">
      <c r="A217" s="47"/>
      <c r="B217" s="228"/>
      <c r="C217" s="73"/>
      <c r="D217" s="184"/>
      <c r="E217" s="185"/>
      <c r="F217" s="186"/>
      <c r="G217" s="186"/>
      <c r="H217" s="186"/>
      <c r="I217" s="186"/>
      <c r="J217" s="186"/>
      <c r="K217" s="186"/>
      <c r="L217" s="207"/>
      <c r="M217" s="185">
        <f t="shared" si="78"/>
        <v>0</v>
      </c>
      <c r="N217" s="187">
        <f t="shared" si="79"/>
        <v>0</v>
      </c>
      <c r="O217" s="230"/>
      <c r="P217" s="233"/>
      <c r="Q217" s="72"/>
    </row>
    <row r="218" spans="1:20" ht="15.6" thickTop="1" thickBot="1">
      <c r="A218" s="47"/>
      <c r="B218" s="228"/>
      <c r="C218" s="68" t="s">
        <v>65</v>
      </c>
      <c r="D218" s="184">
        <f t="shared" ref="D218:K218" si="80">SUM(D212:D217)</f>
        <v>0</v>
      </c>
      <c r="E218" s="185">
        <f t="shared" si="80"/>
        <v>0</v>
      </c>
      <c r="F218" s="186">
        <f t="shared" si="80"/>
        <v>0</v>
      </c>
      <c r="G218" s="186">
        <f t="shared" si="80"/>
        <v>0</v>
      </c>
      <c r="H218" s="186">
        <f t="shared" si="80"/>
        <v>0</v>
      </c>
      <c r="I218" s="186">
        <f t="shared" si="80"/>
        <v>0</v>
      </c>
      <c r="J218" s="186">
        <f t="shared" si="80"/>
        <v>0</v>
      </c>
      <c r="K218" s="186">
        <f t="shared" si="80"/>
        <v>0</v>
      </c>
      <c r="L218" s="190"/>
      <c r="M218" s="185">
        <f>SUM(M212:M217)</f>
        <v>0</v>
      </c>
      <c r="N218" s="187">
        <f>SUM(N212:N217)</f>
        <v>0</v>
      </c>
      <c r="O218" s="231"/>
      <c r="P218" s="234"/>
      <c r="Q218" s="72"/>
    </row>
    <row r="219" spans="1:20" ht="15.6" thickTop="1" thickBot="1">
      <c r="A219" s="47"/>
      <c r="B219" s="228"/>
      <c r="C219" s="61" t="s">
        <v>44</v>
      </c>
      <c r="D219" s="189">
        <f>SUM(D212:D217)</f>
        <v>0</v>
      </c>
      <c r="E219" s="189">
        <f>SUM(E212:E217)</f>
        <v>0</v>
      </c>
      <c r="F219" s="235">
        <f>SUM(F218:K218)</f>
        <v>0</v>
      </c>
      <c r="G219" s="236"/>
      <c r="H219" s="236"/>
      <c r="I219" s="236"/>
      <c r="J219" s="236"/>
      <c r="K219" s="237"/>
      <c r="L219" s="191">
        <f>L218</f>
        <v>0</v>
      </c>
      <c r="M219" s="189">
        <f>SUM(M212:M217)</f>
        <v>0</v>
      </c>
      <c r="N219" s="189">
        <f>SUM(N212:N217)</f>
        <v>0</v>
      </c>
      <c r="O219" s="189">
        <f>SUM(O212)</f>
        <v>0</v>
      </c>
      <c r="P219" s="192">
        <f>SUM(P212)</f>
        <v>0</v>
      </c>
      <c r="Q219" s="62"/>
      <c r="T219" s="75" t="e">
        <f>$V$3+L11+L19+L27+L35+L43+L51+L59+L67+L75+L83+L91+L99+L107+L115+L123+L131+L139+L147+L155+L163+L171+L179+L187+L195+L203+L211+L219</f>
        <v>#REF!</v>
      </c>
    </row>
    <row r="220" spans="1:20" ht="15.6" thickTop="1" thickBot="1">
      <c r="A220" s="47" t="str">
        <f ca="1">OFFSET('0'!$B$112,($A$1-1)*10,$B220-1)</f>
        <v>--</v>
      </c>
      <c r="B220" s="228">
        <f ca="1">OFFSET('0'!$B$111,($A$1-1)*10,27)</f>
        <v>28</v>
      </c>
      <c r="C220" s="69"/>
      <c r="D220" s="81"/>
      <c r="E220" s="43"/>
      <c r="F220" s="82"/>
      <c r="G220" s="82"/>
      <c r="H220" s="82"/>
      <c r="I220" s="82"/>
      <c r="J220" s="82"/>
      <c r="K220" s="82"/>
      <c r="L220" s="79"/>
      <c r="M220" s="43">
        <f t="shared" ref="M220:M225" si="81">SUM(D220-E220)</f>
        <v>0</v>
      </c>
      <c r="N220" s="39">
        <f t="shared" ref="N220:N225" si="82">SUM(E220,M220)</f>
        <v>0</v>
      </c>
      <c r="O220" s="229"/>
      <c r="P220" s="232"/>
      <c r="Q220" s="70"/>
    </row>
    <row r="221" spans="1:20" s="57" customFormat="1" ht="15.6" thickTop="1" thickBot="1">
      <c r="A221" s="48"/>
      <c r="B221" s="228"/>
      <c r="C221" s="71"/>
      <c r="D221" s="201"/>
      <c r="E221" s="202"/>
      <c r="F221" s="203"/>
      <c r="G221" s="203"/>
      <c r="H221" s="203"/>
      <c r="I221" s="203"/>
      <c r="J221" s="203"/>
      <c r="K221" s="203"/>
      <c r="L221" s="208"/>
      <c r="M221" s="185">
        <f t="shared" si="81"/>
        <v>0</v>
      </c>
      <c r="N221" s="187">
        <f t="shared" si="82"/>
        <v>0</v>
      </c>
      <c r="O221" s="230"/>
      <c r="P221" s="233"/>
      <c r="Q221" s="76"/>
    </row>
    <row r="222" spans="1:20" ht="15.6" thickTop="1" thickBot="1">
      <c r="A222" s="47"/>
      <c r="B222" s="228"/>
      <c r="C222" s="71"/>
      <c r="D222" s="184"/>
      <c r="E222" s="185"/>
      <c r="F222" s="186"/>
      <c r="G222" s="186"/>
      <c r="H222" s="186"/>
      <c r="I222" s="186"/>
      <c r="J222" s="186"/>
      <c r="K222" s="186"/>
      <c r="L222" s="206"/>
      <c r="M222" s="185">
        <f t="shared" si="81"/>
        <v>0</v>
      </c>
      <c r="N222" s="187">
        <f t="shared" si="82"/>
        <v>0</v>
      </c>
      <c r="O222" s="230"/>
      <c r="P222" s="233"/>
      <c r="Q222" s="72"/>
    </row>
    <row r="223" spans="1:20" s="57" customFormat="1" ht="15.6" thickTop="1" thickBot="1">
      <c r="A223" s="48"/>
      <c r="B223" s="228"/>
      <c r="C223" s="73"/>
      <c r="D223" s="184"/>
      <c r="E223" s="185"/>
      <c r="F223" s="186"/>
      <c r="G223" s="186"/>
      <c r="H223" s="186"/>
      <c r="I223" s="186"/>
      <c r="J223" s="186"/>
      <c r="K223" s="186"/>
      <c r="L223" s="206"/>
      <c r="M223" s="185">
        <f t="shared" si="81"/>
        <v>0</v>
      </c>
      <c r="N223" s="187">
        <f t="shared" si="82"/>
        <v>0</v>
      </c>
      <c r="O223" s="230"/>
      <c r="P223" s="233"/>
      <c r="Q223" s="72"/>
    </row>
    <row r="224" spans="1:20" ht="15.6" thickTop="1" thickBot="1">
      <c r="A224" s="47"/>
      <c r="B224" s="228"/>
      <c r="C224" s="73"/>
      <c r="D224" s="184"/>
      <c r="E224" s="185"/>
      <c r="F224" s="186"/>
      <c r="G224" s="186"/>
      <c r="H224" s="186"/>
      <c r="I224" s="186"/>
      <c r="J224" s="186"/>
      <c r="K224" s="186"/>
      <c r="L224" s="206"/>
      <c r="M224" s="185">
        <f t="shared" si="81"/>
        <v>0</v>
      </c>
      <c r="N224" s="187">
        <f t="shared" si="82"/>
        <v>0</v>
      </c>
      <c r="O224" s="230"/>
      <c r="P224" s="233"/>
      <c r="Q224" s="72"/>
    </row>
    <row r="225" spans="1:20" ht="15.6" thickTop="1" thickBot="1">
      <c r="A225" s="47"/>
      <c r="B225" s="228"/>
      <c r="C225" s="73"/>
      <c r="D225" s="184"/>
      <c r="E225" s="185"/>
      <c r="F225" s="186"/>
      <c r="G225" s="186"/>
      <c r="H225" s="186"/>
      <c r="I225" s="186"/>
      <c r="J225" s="186"/>
      <c r="K225" s="186"/>
      <c r="L225" s="207"/>
      <c r="M225" s="185">
        <f t="shared" si="81"/>
        <v>0</v>
      </c>
      <c r="N225" s="196">
        <f t="shared" si="82"/>
        <v>0</v>
      </c>
      <c r="O225" s="230"/>
      <c r="P225" s="233"/>
      <c r="Q225" s="72"/>
    </row>
    <row r="226" spans="1:20" ht="15.6" thickTop="1" thickBot="1">
      <c r="A226" s="47"/>
      <c r="B226" s="228"/>
      <c r="C226" s="68" t="s">
        <v>65</v>
      </c>
      <c r="D226" s="184">
        <f t="shared" ref="D226:K226" si="83">SUM(D220:D225)</f>
        <v>0</v>
      </c>
      <c r="E226" s="185">
        <f t="shared" si="83"/>
        <v>0</v>
      </c>
      <c r="F226" s="186">
        <f t="shared" si="83"/>
        <v>0</v>
      </c>
      <c r="G226" s="186">
        <f t="shared" si="83"/>
        <v>0</v>
      </c>
      <c r="H226" s="186">
        <f t="shared" si="83"/>
        <v>0</v>
      </c>
      <c r="I226" s="186">
        <f t="shared" si="83"/>
        <v>0</v>
      </c>
      <c r="J226" s="186">
        <f t="shared" si="83"/>
        <v>0</v>
      </c>
      <c r="K226" s="186">
        <f t="shared" si="83"/>
        <v>0</v>
      </c>
      <c r="L226" s="190"/>
      <c r="M226" s="185">
        <f>SUM(M220:M225)</f>
        <v>0</v>
      </c>
      <c r="N226" s="187">
        <f>SUM(N220:N225)</f>
        <v>0</v>
      </c>
      <c r="O226" s="231"/>
      <c r="P226" s="234"/>
      <c r="Q226" s="72"/>
    </row>
    <row r="227" spans="1:20" ht="15.6" thickTop="1" thickBot="1">
      <c r="A227" s="47"/>
      <c r="B227" s="228"/>
      <c r="C227" s="61" t="s">
        <v>44</v>
      </c>
      <c r="D227" s="189">
        <f>SUM(D220:D225)</f>
        <v>0</v>
      </c>
      <c r="E227" s="189">
        <f>SUM(E220:E225)</f>
        <v>0</v>
      </c>
      <c r="F227" s="235">
        <f>SUM(F226:K226)</f>
        <v>0</v>
      </c>
      <c r="G227" s="236"/>
      <c r="H227" s="236"/>
      <c r="I227" s="236"/>
      <c r="J227" s="236"/>
      <c r="K227" s="237"/>
      <c r="L227" s="191">
        <f>L226</f>
        <v>0</v>
      </c>
      <c r="M227" s="189">
        <f>SUM(M220:M225)</f>
        <v>0</v>
      </c>
      <c r="N227" s="189">
        <f>SUM(N220:N225)</f>
        <v>0</v>
      </c>
      <c r="O227" s="189">
        <f>SUM(O220)</f>
        <v>0</v>
      </c>
      <c r="P227" s="192">
        <f>SUM(P220)</f>
        <v>0</v>
      </c>
      <c r="Q227" s="62"/>
      <c r="T227" s="75" t="e">
        <f>$V$3+L11+L19+L27+L35+L43+L51+L59+L67+L75+L83+L91+L99+L107+L115+L123+L131+L139+L147+L155+L163+L171+L179+L187+L195+L203+L211+L219+L227</f>
        <v>#REF!</v>
      </c>
    </row>
    <row r="228" spans="1:20" ht="15.6" thickTop="1" thickBot="1">
      <c r="A228" s="47" t="str">
        <f ca="1">OFFSET('0'!$B$112,($A$1-1)*10,$B228-1)</f>
        <v>--</v>
      </c>
      <c r="B228" s="228">
        <f ca="1">OFFSET('0'!$B$111,($A$1-1)*10,28)</f>
        <v>29</v>
      </c>
      <c r="C228" s="69"/>
      <c r="D228" s="81"/>
      <c r="E228" s="43"/>
      <c r="F228" s="82"/>
      <c r="G228" s="82"/>
      <c r="H228" s="82"/>
      <c r="I228" s="82"/>
      <c r="J228" s="82"/>
      <c r="K228" s="82"/>
      <c r="L228" s="79"/>
      <c r="M228" s="43">
        <f t="shared" ref="M228:M233" si="84">SUM(D228-E228)</f>
        <v>0</v>
      </c>
      <c r="N228" s="39">
        <f t="shared" ref="N228:N233" si="85">SUM(E228,M228)</f>
        <v>0</v>
      </c>
      <c r="O228" s="229"/>
      <c r="P228" s="232"/>
      <c r="Q228" s="70"/>
    </row>
    <row r="229" spans="1:20" ht="15.6" thickTop="1" thickBot="1">
      <c r="A229" s="47"/>
      <c r="B229" s="228"/>
      <c r="C229" s="71"/>
      <c r="D229" s="201"/>
      <c r="E229" s="202"/>
      <c r="F229" s="203"/>
      <c r="G229" s="203"/>
      <c r="H229" s="203"/>
      <c r="I229" s="203"/>
      <c r="J229" s="203"/>
      <c r="K229" s="203"/>
      <c r="L229" s="208"/>
      <c r="M229" s="185">
        <f t="shared" si="84"/>
        <v>0</v>
      </c>
      <c r="N229" s="187">
        <f t="shared" si="85"/>
        <v>0</v>
      </c>
      <c r="O229" s="230"/>
      <c r="P229" s="233"/>
      <c r="Q229" s="76"/>
    </row>
    <row r="230" spans="1:20" ht="15.6" thickTop="1" thickBot="1">
      <c r="A230" s="47"/>
      <c r="B230" s="228"/>
      <c r="C230" s="71"/>
      <c r="D230" s="184"/>
      <c r="E230" s="185"/>
      <c r="F230" s="186"/>
      <c r="G230" s="186"/>
      <c r="H230" s="186"/>
      <c r="I230" s="186"/>
      <c r="J230" s="186"/>
      <c r="K230" s="186"/>
      <c r="L230" s="206"/>
      <c r="M230" s="185">
        <f t="shared" si="84"/>
        <v>0</v>
      </c>
      <c r="N230" s="187">
        <f t="shared" si="85"/>
        <v>0</v>
      </c>
      <c r="O230" s="230"/>
      <c r="P230" s="233"/>
      <c r="Q230" s="72"/>
    </row>
    <row r="231" spans="1:20" s="57" customFormat="1" ht="15.6" thickTop="1" thickBot="1">
      <c r="A231" s="48"/>
      <c r="B231" s="228"/>
      <c r="C231" s="73"/>
      <c r="D231" s="184"/>
      <c r="E231" s="185"/>
      <c r="F231" s="186"/>
      <c r="G231" s="186"/>
      <c r="H231" s="186"/>
      <c r="I231" s="186"/>
      <c r="J231" s="186"/>
      <c r="K231" s="186"/>
      <c r="L231" s="206"/>
      <c r="M231" s="185">
        <f t="shared" si="84"/>
        <v>0</v>
      </c>
      <c r="N231" s="187">
        <f t="shared" si="85"/>
        <v>0</v>
      </c>
      <c r="O231" s="230"/>
      <c r="P231" s="233"/>
      <c r="Q231" s="72"/>
    </row>
    <row r="232" spans="1:20" s="57" customFormat="1" ht="15.6" thickTop="1" thickBot="1">
      <c r="A232" s="48"/>
      <c r="B232" s="228"/>
      <c r="C232" s="73"/>
      <c r="D232" s="184"/>
      <c r="E232" s="185"/>
      <c r="F232" s="186"/>
      <c r="G232" s="186"/>
      <c r="H232" s="186"/>
      <c r="I232" s="186"/>
      <c r="J232" s="186"/>
      <c r="K232" s="186"/>
      <c r="L232" s="206"/>
      <c r="M232" s="185">
        <f t="shared" si="84"/>
        <v>0</v>
      </c>
      <c r="N232" s="187">
        <f t="shared" si="85"/>
        <v>0</v>
      </c>
      <c r="O232" s="230"/>
      <c r="P232" s="233"/>
      <c r="Q232" s="72"/>
    </row>
    <row r="233" spans="1:20" ht="15.6" thickTop="1" thickBot="1">
      <c r="A233" s="47"/>
      <c r="B233" s="228"/>
      <c r="C233" s="73"/>
      <c r="D233" s="184"/>
      <c r="E233" s="185"/>
      <c r="F233" s="186"/>
      <c r="G233" s="186"/>
      <c r="H233" s="186"/>
      <c r="I233" s="186"/>
      <c r="J233" s="186"/>
      <c r="K233" s="186"/>
      <c r="L233" s="207"/>
      <c r="M233" s="185">
        <f t="shared" si="84"/>
        <v>0</v>
      </c>
      <c r="N233" s="187">
        <f t="shared" si="85"/>
        <v>0</v>
      </c>
      <c r="O233" s="230"/>
      <c r="P233" s="233"/>
      <c r="Q233" s="72"/>
    </row>
    <row r="234" spans="1:20" ht="15.6" thickTop="1" thickBot="1">
      <c r="A234" s="47"/>
      <c r="B234" s="228"/>
      <c r="C234" s="68" t="s">
        <v>65</v>
      </c>
      <c r="D234" s="184">
        <f t="shared" ref="D234:K234" si="86">SUM(D228:D233)</f>
        <v>0</v>
      </c>
      <c r="E234" s="185">
        <f t="shared" si="86"/>
        <v>0</v>
      </c>
      <c r="F234" s="186">
        <f t="shared" si="86"/>
        <v>0</v>
      </c>
      <c r="G234" s="186">
        <f t="shared" si="86"/>
        <v>0</v>
      </c>
      <c r="H234" s="186">
        <f t="shared" si="86"/>
        <v>0</v>
      </c>
      <c r="I234" s="186">
        <f t="shared" si="86"/>
        <v>0</v>
      </c>
      <c r="J234" s="186">
        <f t="shared" si="86"/>
        <v>0</v>
      </c>
      <c r="K234" s="186">
        <f t="shared" si="86"/>
        <v>0</v>
      </c>
      <c r="L234" s="190"/>
      <c r="M234" s="185">
        <f>SUM(M228:M233)</f>
        <v>0</v>
      </c>
      <c r="N234" s="187">
        <f>SUM(N228:N233)</f>
        <v>0</v>
      </c>
      <c r="O234" s="231"/>
      <c r="P234" s="234"/>
      <c r="Q234" s="72"/>
    </row>
    <row r="235" spans="1:20" ht="15.6" thickTop="1" thickBot="1">
      <c r="A235" s="47"/>
      <c r="B235" s="228"/>
      <c r="C235" s="61" t="s">
        <v>44</v>
      </c>
      <c r="D235" s="189">
        <f>SUM(D228:D233)</f>
        <v>0</v>
      </c>
      <c r="E235" s="189">
        <f>SUM(E228:E233)</f>
        <v>0</v>
      </c>
      <c r="F235" s="235">
        <f>SUM(F234:K234)</f>
        <v>0</v>
      </c>
      <c r="G235" s="236"/>
      <c r="H235" s="236"/>
      <c r="I235" s="236"/>
      <c r="J235" s="236"/>
      <c r="K235" s="237"/>
      <c r="L235" s="191">
        <f>L234</f>
        <v>0</v>
      </c>
      <c r="M235" s="189">
        <f>SUM(M228:M233)</f>
        <v>0</v>
      </c>
      <c r="N235" s="189">
        <f>SUM(N228:N233)</f>
        <v>0</v>
      </c>
      <c r="O235" s="189">
        <f>SUM(O228)</f>
        <v>0</v>
      </c>
      <c r="P235" s="192">
        <f>SUM(P228)</f>
        <v>0</v>
      </c>
      <c r="Q235" s="62"/>
      <c r="T235" s="75" t="e">
        <f>$V$3+L11+L19+L27+L35+L43+L51+L59+L67+L75+L83+L91+L99+L107+L115+L123+L131+L139+L147+L155+L163+L171+L179+L187+L195+L203+L211+L219+L227+L235</f>
        <v>#REF!</v>
      </c>
    </row>
    <row r="236" spans="1:20" ht="15.6" thickTop="1" thickBot="1">
      <c r="A236" s="47" t="str">
        <f ca="1">OFFSET('0'!$B$112,($A$1-1)*10,$B236-1)</f>
        <v>--</v>
      </c>
      <c r="B236" s="228">
        <f ca="1">OFFSET('0'!$B$111,($A$1-1)*10,29)</f>
        <v>30</v>
      </c>
      <c r="C236" s="69"/>
      <c r="D236" s="81"/>
      <c r="E236" s="43"/>
      <c r="F236" s="82"/>
      <c r="G236" s="82"/>
      <c r="H236" s="82"/>
      <c r="I236" s="82"/>
      <c r="J236" s="82"/>
      <c r="K236" s="82"/>
      <c r="L236" s="79"/>
      <c r="M236" s="43">
        <f t="shared" ref="M236:M241" si="87">SUM(D236-E236)</f>
        <v>0</v>
      </c>
      <c r="N236" s="39">
        <f t="shared" ref="N236:N241" si="88">SUM(E236,M236)</f>
        <v>0</v>
      </c>
      <c r="O236" s="229"/>
      <c r="P236" s="232"/>
      <c r="Q236" s="70"/>
    </row>
    <row r="237" spans="1:20" ht="15.6" thickTop="1" thickBot="1">
      <c r="A237" s="47"/>
      <c r="B237" s="228"/>
      <c r="C237" s="71"/>
      <c r="D237" s="201"/>
      <c r="E237" s="202"/>
      <c r="F237" s="203"/>
      <c r="G237" s="203"/>
      <c r="H237" s="203"/>
      <c r="I237" s="203"/>
      <c r="J237" s="203"/>
      <c r="K237" s="203"/>
      <c r="L237" s="208"/>
      <c r="M237" s="185">
        <f t="shared" si="87"/>
        <v>0</v>
      </c>
      <c r="N237" s="187">
        <f t="shared" si="88"/>
        <v>0</v>
      </c>
      <c r="O237" s="230"/>
      <c r="P237" s="233"/>
      <c r="Q237" s="76"/>
    </row>
    <row r="238" spans="1:20" s="57" customFormat="1" ht="15.6" thickTop="1" thickBot="1">
      <c r="A238" s="48"/>
      <c r="B238" s="228"/>
      <c r="C238" s="71"/>
      <c r="D238" s="201"/>
      <c r="E238" s="202"/>
      <c r="F238" s="203"/>
      <c r="G238" s="203"/>
      <c r="H238" s="203"/>
      <c r="I238" s="203"/>
      <c r="J238" s="203"/>
      <c r="K238" s="203"/>
      <c r="L238" s="208"/>
      <c r="M238" s="185">
        <f t="shared" si="87"/>
        <v>0</v>
      </c>
      <c r="N238" s="187">
        <f t="shared" si="88"/>
        <v>0</v>
      </c>
      <c r="O238" s="230"/>
      <c r="P238" s="233"/>
      <c r="Q238" s="76"/>
    </row>
    <row r="239" spans="1:20" s="57" customFormat="1" ht="15.6" thickTop="1" thickBot="1">
      <c r="A239" s="48"/>
      <c r="B239" s="228"/>
      <c r="C239" s="73"/>
      <c r="D239" s="201"/>
      <c r="E239" s="202"/>
      <c r="F239" s="203"/>
      <c r="G239" s="203"/>
      <c r="H239" s="203"/>
      <c r="I239" s="203"/>
      <c r="J239" s="203"/>
      <c r="K239" s="203"/>
      <c r="L239" s="208"/>
      <c r="M239" s="185">
        <f t="shared" si="87"/>
        <v>0</v>
      </c>
      <c r="N239" s="187">
        <f t="shared" si="88"/>
        <v>0</v>
      </c>
      <c r="O239" s="230"/>
      <c r="P239" s="233"/>
      <c r="Q239" s="76"/>
    </row>
    <row r="240" spans="1:20" ht="15.6" thickTop="1" thickBot="1">
      <c r="A240" s="47"/>
      <c r="B240" s="228"/>
      <c r="C240" s="73"/>
      <c r="D240" s="184"/>
      <c r="E240" s="185"/>
      <c r="F240" s="186"/>
      <c r="G240" s="186"/>
      <c r="H240" s="186"/>
      <c r="I240" s="186"/>
      <c r="J240" s="186"/>
      <c r="K240" s="186"/>
      <c r="L240" s="206"/>
      <c r="M240" s="185">
        <f t="shared" si="87"/>
        <v>0</v>
      </c>
      <c r="N240" s="187">
        <f t="shared" si="88"/>
        <v>0</v>
      </c>
      <c r="O240" s="230"/>
      <c r="P240" s="233"/>
      <c r="Q240" s="72"/>
    </row>
    <row r="241" spans="1:20" ht="15.6" thickTop="1" thickBot="1">
      <c r="A241" s="47"/>
      <c r="B241" s="228"/>
      <c r="C241" s="73"/>
      <c r="D241" s="184"/>
      <c r="E241" s="185"/>
      <c r="F241" s="186"/>
      <c r="G241" s="186"/>
      <c r="H241" s="186"/>
      <c r="I241" s="186"/>
      <c r="J241" s="186"/>
      <c r="K241" s="186"/>
      <c r="L241" s="207"/>
      <c r="M241" s="185">
        <f t="shared" si="87"/>
        <v>0</v>
      </c>
      <c r="N241" s="187">
        <f t="shared" si="88"/>
        <v>0</v>
      </c>
      <c r="O241" s="230"/>
      <c r="P241" s="233"/>
      <c r="Q241" s="72"/>
    </row>
    <row r="242" spans="1:20" ht="15.6" thickTop="1" thickBot="1">
      <c r="A242" s="47"/>
      <c r="B242" s="228"/>
      <c r="C242" s="68" t="s">
        <v>65</v>
      </c>
      <c r="D242" s="184">
        <f t="shared" ref="D242:K242" si="89">SUM(D236:D241)</f>
        <v>0</v>
      </c>
      <c r="E242" s="185">
        <f t="shared" si="89"/>
        <v>0</v>
      </c>
      <c r="F242" s="186">
        <f t="shared" si="89"/>
        <v>0</v>
      </c>
      <c r="G242" s="186">
        <f t="shared" si="89"/>
        <v>0</v>
      </c>
      <c r="H242" s="186">
        <f t="shared" si="89"/>
        <v>0</v>
      </c>
      <c r="I242" s="186">
        <f t="shared" si="89"/>
        <v>0</v>
      </c>
      <c r="J242" s="186">
        <f t="shared" si="89"/>
        <v>0</v>
      </c>
      <c r="K242" s="186">
        <f t="shared" si="89"/>
        <v>0</v>
      </c>
      <c r="L242" s="190"/>
      <c r="M242" s="185">
        <f>SUM(M236:M241)</f>
        <v>0</v>
      </c>
      <c r="N242" s="187">
        <f>SUM(N236:N241)</f>
        <v>0</v>
      </c>
      <c r="O242" s="231"/>
      <c r="P242" s="234"/>
      <c r="Q242" s="72"/>
    </row>
    <row r="243" spans="1:20" ht="15.6" thickTop="1" thickBot="1">
      <c r="A243" s="47"/>
      <c r="B243" s="228"/>
      <c r="C243" s="61" t="s">
        <v>44</v>
      </c>
      <c r="D243" s="189">
        <f>SUM(D236:D241)</f>
        <v>0</v>
      </c>
      <c r="E243" s="189">
        <f>SUM(E236:E241)</f>
        <v>0</v>
      </c>
      <c r="F243" s="235">
        <f>SUM(F242:K242)</f>
        <v>0</v>
      </c>
      <c r="G243" s="241"/>
      <c r="H243" s="241"/>
      <c r="I243" s="241"/>
      <c r="J243" s="241"/>
      <c r="K243" s="242"/>
      <c r="L243" s="191">
        <f>L242</f>
        <v>0</v>
      </c>
      <c r="M243" s="189">
        <f>SUM(M236:M241)</f>
        <v>0</v>
      </c>
      <c r="N243" s="189">
        <f>SUM(N236:N241)</f>
        <v>0</v>
      </c>
      <c r="O243" s="189">
        <f>SUM(O236)</f>
        <v>0</v>
      </c>
      <c r="P243" s="192">
        <f>SUM(P236)</f>
        <v>0</v>
      </c>
      <c r="Q243" s="62"/>
      <c r="T243" s="75" t="e">
        <f>$V$3+L11+L19+L27+L35+L43+L51+L59+L67+L75+L83+L91+L99+L107+L115+L123+L131+L139+L147+L155+L163+L171+L179+L187+L195+L203+L211+L219+L227+L235+L243</f>
        <v>#REF!</v>
      </c>
    </row>
    <row r="244" spans="1:20" ht="15.6" thickTop="1" thickBot="1">
      <c r="A244" s="47" t="e">
        <f ca="1">OFFSET('0'!$B$112,($A$1-1)*10,$B244-1)</f>
        <v>#REF!</v>
      </c>
      <c r="B244" s="228">
        <f ca="1">OFFSET('0'!$B$111,($A$1-1)*10,30)</f>
        <v>-29</v>
      </c>
      <c r="C244" s="69"/>
      <c r="D244" s="81"/>
      <c r="E244" s="43"/>
      <c r="F244" s="82"/>
      <c r="G244" s="82"/>
      <c r="H244" s="82"/>
      <c r="I244" s="82"/>
      <c r="J244" s="82"/>
      <c r="K244" s="82"/>
      <c r="L244" s="79"/>
      <c r="M244" s="43">
        <f t="shared" ref="M244:M249" si="90">SUM(D244-E244)</f>
        <v>0</v>
      </c>
      <c r="N244" s="39">
        <f t="shared" ref="N244:N249" si="91">SUM(E244,M244)</f>
        <v>0</v>
      </c>
      <c r="O244" s="229"/>
      <c r="P244" s="232"/>
      <c r="Q244" s="70"/>
    </row>
    <row r="245" spans="1:20" s="57" customFormat="1" ht="15.6" thickTop="1" thickBot="1">
      <c r="A245" s="48"/>
      <c r="B245" s="228"/>
      <c r="C245" s="71"/>
      <c r="D245" s="201"/>
      <c r="E245" s="202"/>
      <c r="F245" s="203"/>
      <c r="G245" s="203"/>
      <c r="H245" s="203"/>
      <c r="I245" s="203"/>
      <c r="J245" s="203"/>
      <c r="K245" s="203"/>
      <c r="L245" s="208"/>
      <c r="M245" s="185">
        <f t="shared" si="90"/>
        <v>0</v>
      </c>
      <c r="N245" s="187">
        <f t="shared" si="91"/>
        <v>0</v>
      </c>
      <c r="O245" s="230"/>
      <c r="P245" s="233"/>
      <c r="Q245" s="76"/>
    </row>
    <row r="246" spans="1:20" s="57" customFormat="1" ht="15.6" thickTop="1" thickBot="1">
      <c r="A246" s="48"/>
      <c r="B246" s="228"/>
      <c r="C246" s="71"/>
      <c r="D246" s="201"/>
      <c r="E246" s="202"/>
      <c r="F246" s="203"/>
      <c r="G246" s="203"/>
      <c r="H246" s="203"/>
      <c r="I246" s="203"/>
      <c r="J246" s="203"/>
      <c r="K246" s="203"/>
      <c r="L246" s="208"/>
      <c r="M246" s="185">
        <f t="shared" si="90"/>
        <v>0</v>
      </c>
      <c r="N246" s="187">
        <f t="shared" si="91"/>
        <v>0</v>
      </c>
      <c r="O246" s="230"/>
      <c r="P246" s="233"/>
      <c r="Q246" s="76"/>
    </row>
    <row r="247" spans="1:20" s="57" customFormat="1" ht="15.6" thickTop="1" thickBot="1">
      <c r="A247" s="48"/>
      <c r="B247" s="228"/>
      <c r="C247" s="73"/>
      <c r="D247" s="201"/>
      <c r="E247" s="202"/>
      <c r="F247" s="203"/>
      <c r="G247" s="203"/>
      <c r="H247" s="203"/>
      <c r="I247" s="203"/>
      <c r="J247" s="203"/>
      <c r="K247" s="203"/>
      <c r="L247" s="208"/>
      <c r="M247" s="185">
        <f t="shared" si="90"/>
        <v>0</v>
      </c>
      <c r="N247" s="187">
        <f t="shared" si="91"/>
        <v>0</v>
      </c>
      <c r="O247" s="230"/>
      <c r="P247" s="233"/>
      <c r="Q247" s="76"/>
    </row>
    <row r="248" spans="1:20" ht="15.6" thickTop="1" thickBot="1">
      <c r="A248" s="47"/>
      <c r="B248" s="228"/>
      <c r="C248" s="73"/>
      <c r="D248" s="184"/>
      <c r="E248" s="185"/>
      <c r="F248" s="186"/>
      <c r="G248" s="186"/>
      <c r="H248" s="186"/>
      <c r="I248" s="186"/>
      <c r="J248" s="186"/>
      <c r="K248" s="186"/>
      <c r="L248" s="206"/>
      <c r="M248" s="185">
        <f t="shared" si="90"/>
        <v>0</v>
      </c>
      <c r="N248" s="187">
        <f t="shared" si="91"/>
        <v>0</v>
      </c>
      <c r="O248" s="230"/>
      <c r="P248" s="233"/>
      <c r="Q248" s="72"/>
    </row>
    <row r="249" spans="1:20" ht="15.6" thickTop="1" thickBot="1">
      <c r="A249" s="47"/>
      <c r="B249" s="228"/>
      <c r="C249" s="73"/>
      <c r="D249" s="184"/>
      <c r="E249" s="185"/>
      <c r="F249" s="186"/>
      <c r="G249" s="186"/>
      <c r="H249" s="186"/>
      <c r="I249" s="186"/>
      <c r="J249" s="186"/>
      <c r="K249" s="186"/>
      <c r="L249" s="207"/>
      <c r="M249" s="185">
        <f t="shared" si="90"/>
        <v>0</v>
      </c>
      <c r="N249" s="187">
        <f t="shared" si="91"/>
        <v>0</v>
      </c>
      <c r="O249" s="230"/>
      <c r="P249" s="233"/>
      <c r="Q249" s="72"/>
    </row>
    <row r="250" spans="1:20" ht="15.6" thickTop="1" thickBot="1">
      <c r="A250" s="47"/>
      <c r="B250" s="228"/>
      <c r="C250" s="68" t="s">
        <v>65</v>
      </c>
      <c r="D250" s="184">
        <f t="shared" ref="D250:K250" si="92">SUM(D244:D249)</f>
        <v>0</v>
      </c>
      <c r="E250" s="185">
        <f t="shared" si="92"/>
        <v>0</v>
      </c>
      <c r="F250" s="186">
        <f t="shared" si="92"/>
        <v>0</v>
      </c>
      <c r="G250" s="186">
        <f t="shared" si="92"/>
        <v>0</v>
      </c>
      <c r="H250" s="186">
        <f t="shared" si="92"/>
        <v>0</v>
      </c>
      <c r="I250" s="186">
        <f t="shared" si="92"/>
        <v>0</v>
      </c>
      <c r="J250" s="186">
        <f t="shared" si="92"/>
        <v>0</v>
      </c>
      <c r="K250" s="186">
        <f t="shared" si="92"/>
        <v>0</v>
      </c>
      <c r="L250" s="190"/>
      <c r="M250" s="185">
        <f>SUM(M244:M249)</f>
        <v>0</v>
      </c>
      <c r="N250" s="187">
        <f>SUM(N244:N249)</f>
        <v>0</v>
      </c>
      <c r="O250" s="231"/>
      <c r="P250" s="234"/>
      <c r="Q250" s="72"/>
    </row>
    <row r="251" spans="1:20" ht="15.6" thickTop="1" thickBot="1">
      <c r="A251" s="47"/>
      <c r="B251" s="228"/>
      <c r="C251" s="61" t="s">
        <v>44</v>
      </c>
      <c r="D251" s="189">
        <f>SUM(D244:D249)</f>
        <v>0</v>
      </c>
      <c r="E251" s="189">
        <f>SUM(E244:E249)</f>
        <v>0</v>
      </c>
      <c r="F251" s="235">
        <f>SUM(F250:K250)</f>
        <v>0</v>
      </c>
      <c r="G251" s="236"/>
      <c r="H251" s="236"/>
      <c r="I251" s="236"/>
      <c r="J251" s="236"/>
      <c r="K251" s="237"/>
      <c r="L251" s="191">
        <f>L250</f>
        <v>0</v>
      </c>
      <c r="M251" s="189">
        <f>SUM(M244:M249)</f>
        <v>0</v>
      </c>
      <c r="N251" s="189">
        <f>SUM(N244:N249)</f>
        <v>0</v>
      </c>
      <c r="O251" s="189">
        <f>SUM(O244)</f>
        <v>0</v>
      </c>
      <c r="P251" s="192">
        <f>SUM(P244)</f>
        <v>0</v>
      </c>
      <c r="Q251" s="62"/>
      <c r="T251" s="75" t="e">
        <f>$V$3+L11+L19+L27+L35+L43+L51+L59+L67+L75+L83+L91+L99+L107+L115+L123+L131+L139+L147+L155+L163+L171+L179+L187+L195+L203+L211+L219+L227+L235+L243+L251</f>
        <v>#REF!</v>
      </c>
    </row>
    <row r="252" spans="1:20" ht="15" thickTop="1">
      <c r="A252" s="46"/>
    </row>
    <row r="253" spans="1:20">
      <c r="C253" s="93" t="s">
        <v>30</v>
      </c>
      <c r="D253" s="55">
        <f t="shared" ref="D253:N253" si="93">SUM(D250,D242,D234,D226,D218,D210,D202,D194,D186,D178,D170,D162,D154,D146,D138,D130,D122,D114,D106,D98,D90,D82,D74,D66,D58,D50,D42,D34,D26,D18,D10)</f>
        <v>0</v>
      </c>
      <c r="E253" s="210">
        <f t="shared" si="93"/>
        <v>0</v>
      </c>
      <c r="F253" s="211">
        <f t="shared" si="93"/>
        <v>0</v>
      </c>
      <c r="G253" s="211">
        <f t="shared" si="93"/>
        <v>0</v>
      </c>
      <c r="H253" s="211">
        <f t="shared" si="93"/>
        <v>0</v>
      </c>
      <c r="I253" s="211">
        <f t="shared" si="93"/>
        <v>0</v>
      </c>
      <c r="J253" s="211">
        <f t="shared" si="93"/>
        <v>0</v>
      </c>
      <c r="K253" s="211">
        <f t="shared" si="93"/>
        <v>0</v>
      </c>
      <c r="L253" s="212">
        <f t="shared" si="93"/>
        <v>0</v>
      </c>
      <c r="M253" s="210">
        <f t="shared" si="93"/>
        <v>0</v>
      </c>
      <c r="N253" s="55">
        <f t="shared" si="93"/>
        <v>0</v>
      </c>
      <c r="O253" s="55">
        <f>SUM(O251,O243,O235,O227,O219,O211,O203,O195,O187,O179,O171,O163,O155,O147,O139,O131,O123,O115,O107,O99,O91,O83,O75,O67,O59,O51,O43,O35,O27,O19,O11)</f>
        <v>0</v>
      </c>
      <c r="P253" s="55">
        <f>SUM(P251,P243,P235,P227,P219,P211,P203,P195,P187,P179,P171,P163,P155,P147,P139,P131,P123,P115,P107,P99,P91,P83,P75,P67,P59,P51,P43,P35,P27,P19,P11)</f>
        <v>0</v>
      </c>
    </row>
    <row r="254" spans="1:20">
      <c r="C254" s="63" t="s">
        <v>56</v>
      </c>
      <c r="D254" s="204">
        <f>D253</f>
        <v>0</v>
      </c>
      <c r="E254" s="204">
        <f>E253</f>
        <v>0</v>
      </c>
      <c r="F254" s="238">
        <f>SUM(F251,F243,F235,F227,F219,F211,F203,F195,F187,F179,F171,F163,F155,F147,F139,F131,F123,F115,F107,F99,F91,F83,F75,F67,F59,F51,F43,F35,F27,F19,F11)</f>
        <v>0</v>
      </c>
      <c r="G254" s="239"/>
      <c r="H254" s="239"/>
      <c r="I254" s="239"/>
      <c r="J254" s="239"/>
      <c r="K254" s="240"/>
      <c r="L254" s="205">
        <f>L253</f>
        <v>0</v>
      </c>
    </row>
  </sheetData>
  <mergeCells count="137">
    <mergeCell ref="B244:B251"/>
    <mergeCell ref="F251:K251"/>
    <mergeCell ref="F254:K254"/>
    <mergeCell ref="B220:B227"/>
    <mergeCell ref="F227:K227"/>
    <mergeCell ref="B228:B235"/>
    <mergeCell ref="F235:K235"/>
    <mergeCell ref="B236:B243"/>
    <mergeCell ref="F243:K243"/>
    <mergeCell ref="B180:B187"/>
    <mergeCell ref="F187:K187"/>
    <mergeCell ref="B188:B195"/>
    <mergeCell ref="F195:K195"/>
    <mergeCell ref="B196:B203"/>
    <mergeCell ref="F203:K203"/>
    <mergeCell ref="B204:B211"/>
    <mergeCell ref="F211:K211"/>
    <mergeCell ref="B212:B219"/>
    <mergeCell ref="F219:K219"/>
    <mergeCell ref="B140:B147"/>
    <mergeCell ref="F147:K147"/>
    <mergeCell ref="B148:B155"/>
    <mergeCell ref="F155:K155"/>
    <mergeCell ref="B156:B163"/>
    <mergeCell ref="F163:K163"/>
    <mergeCell ref="B164:B171"/>
    <mergeCell ref="F171:K171"/>
    <mergeCell ref="B172:B179"/>
    <mergeCell ref="F179:K179"/>
    <mergeCell ref="B100:B107"/>
    <mergeCell ref="F107:K107"/>
    <mergeCell ref="B108:B115"/>
    <mergeCell ref="F115:K115"/>
    <mergeCell ref="B116:B123"/>
    <mergeCell ref="F123:K123"/>
    <mergeCell ref="B124:B131"/>
    <mergeCell ref="F131:K131"/>
    <mergeCell ref="B132:B139"/>
    <mergeCell ref="F139:K139"/>
    <mergeCell ref="B60:B67"/>
    <mergeCell ref="F67:K67"/>
    <mergeCell ref="B68:B75"/>
    <mergeCell ref="F75:K75"/>
    <mergeCell ref="B76:B83"/>
    <mergeCell ref="F83:K83"/>
    <mergeCell ref="B84:B91"/>
    <mergeCell ref="F91:K91"/>
    <mergeCell ref="B92:B99"/>
    <mergeCell ref="F99:K99"/>
    <mergeCell ref="F27:K27"/>
    <mergeCell ref="B28:B35"/>
    <mergeCell ref="F35:K35"/>
    <mergeCell ref="B36:B43"/>
    <mergeCell ref="F43:K43"/>
    <mergeCell ref="B44:B51"/>
    <mergeCell ref="F51:K51"/>
    <mergeCell ref="B52:B59"/>
    <mergeCell ref="F59:K59"/>
    <mergeCell ref="O20:O26"/>
    <mergeCell ref="O12:O18"/>
    <mergeCell ref="O28:O34"/>
    <mergeCell ref="O52:O58"/>
    <mergeCell ref="O44:O50"/>
    <mergeCell ref="O36:O42"/>
    <mergeCell ref="T2:T4"/>
    <mergeCell ref="B2:B3"/>
    <mergeCell ref="C2:C3"/>
    <mergeCell ref="D2:D3"/>
    <mergeCell ref="E2:E3"/>
    <mergeCell ref="F2:K2"/>
    <mergeCell ref="L2:L3"/>
    <mergeCell ref="M2:M3"/>
    <mergeCell ref="N2:N3"/>
    <mergeCell ref="O2:O3"/>
    <mergeCell ref="P2:P3"/>
    <mergeCell ref="Q2:Q3"/>
    <mergeCell ref="B4:B11"/>
    <mergeCell ref="F11:K11"/>
    <mergeCell ref="O4:O10"/>
    <mergeCell ref="B12:B19"/>
    <mergeCell ref="F19:K19"/>
    <mergeCell ref="B20:B27"/>
    <mergeCell ref="O76:O82"/>
    <mergeCell ref="O68:O74"/>
    <mergeCell ref="O60:O66"/>
    <mergeCell ref="O140:O146"/>
    <mergeCell ref="O132:O138"/>
    <mergeCell ref="O124:O130"/>
    <mergeCell ref="O116:O122"/>
    <mergeCell ref="O108:O114"/>
    <mergeCell ref="O100:O106"/>
    <mergeCell ref="O92:O98"/>
    <mergeCell ref="O220:O226"/>
    <mergeCell ref="O212:O218"/>
    <mergeCell ref="O204:O210"/>
    <mergeCell ref="O196:O202"/>
    <mergeCell ref="O188:O194"/>
    <mergeCell ref="O180:O186"/>
    <mergeCell ref="O172:O178"/>
    <mergeCell ref="O164:O170"/>
    <mergeCell ref="O84:O90"/>
    <mergeCell ref="P148:P154"/>
    <mergeCell ref="P140:P146"/>
    <mergeCell ref="P132:P138"/>
    <mergeCell ref="P124:P130"/>
    <mergeCell ref="P116:P122"/>
    <mergeCell ref="O244:O250"/>
    <mergeCell ref="O236:O242"/>
    <mergeCell ref="P4:P10"/>
    <mergeCell ref="P20:P26"/>
    <mergeCell ref="P12:P18"/>
    <mergeCell ref="P60:P66"/>
    <mergeCell ref="P52:P58"/>
    <mergeCell ref="P44:P50"/>
    <mergeCell ref="P36:P42"/>
    <mergeCell ref="P28:P34"/>
    <mergeCell ref="P108:P114"/>
    <mergeCell ref="P100:P106"/>
    <mergeCell ref="P92:P98"/>
    <mergeCell ref="P84:P90"/>
    <mergeCell ref="P76:P82"/>
    <mergeCell ref="P68:P74"/>
    <mergeCell ref="O156:O162"/>
    <mergeCell ref="O148:O154"/>
    <mergeCell ref="O228:O234"/>
    <mergeCell ref="P156:P162"/>
    <mergeCell ref="P212:P218"/>
    <mergeCell ref="P204:P210"/>
    <mergeCell ref="P244:P250"/>
    <mergeCell ref="P236:P242"/>
    <mergeCell ref="P228:P234"/>
    <mergeCell ref="P220:P226"/>
    <mergeCell ref="P196:P202"/>
    <mergeCell ref="P188:P194"/>
    <mergeCell ref="P180:P186"/>
    <mergeCell ref="P172:P178"/>
    <mergeCell ref="P164:P170"/>
  </mergeCells>
  <conditionalFormatting sqref="B4:B19">
    <cfRule type="expression" dxfId="32" priority="32">
      <formula>$A4&lt;&gt;"--"</formula>
    </cfRule>
  </conditionalFormatting>
  <conditionalFormatting sqref="B20:B27">
    <cfRule type="expression" dxfId="31" priority="31">
      <formula>$A20&lt;&gt;"--"</formula>
    </cfRule>
  </conditionalFormatting>
  <conditionalFormatting sqref="B28:B35">
    <cfRule type="expression" dxfId="30" priority="30">
      <formula>$A28&lt;&gt;"--"</formula>
    </cfRule>
  </conditionalFormatting>
  <conditionalFormatting sqref="B36:B43">
    <cfRule type="expression" dxfId="29" priority="29">
      <formula>$A36&lt;&gt;"--"</formula>
    </cfRule>
  </conditionalFormatting>
  <conditionalFormatting sqref="B44:B51">
    <cfRule type="expression" dxfId="28" priority="28">
      <formula>$A44&lt;&gt;"--"</formula>
    </cfRule>
  </conditionalFormatting>
  <conditionalFormatting sqref="B52:B59">
    <cfRule type="expression" dxfId="27" priority="27">
      <formula>$A52&lt;&gt;"--"</formula>
    </cfRule>
  </conditionalFormatting>
  <conditionalFormatting sqref="B60:B67">
    <cfRule type="expression" dxfId="26" priority="26">
      <formula>$A60&lt;&gt;"--"</formula>
    </cfRule>
  </conditionalFormatting>
  <conditionalFormatting sqref="B68:B75">
    <cfRule type="expression" dxfId="25" priority="25">
      <formula>$A68&lt;&gt;"--"</formula>
    </cfRule>
  </conditionalFormatting>
  <conditionalFormatting sqref="B76:B83">
    <cfRule type="expression" dxfId="24" priority="24">
      <formula>$A76&lt;&gt;"--"</formula>
    </cfRule>
  </conditionalFormatting>
  <conditionalFormatting sqref="B84:B91">
    <cfRule type="expression" dxfId="23" priority="23">
      <formula>$A84&lt;&gt;"--"</formula>
    </cfRule>
  </conditionalFormatting>
  <conditionalFormatting sqref="B92:B99">
    <cfRule type="expression" dxfId="22" priority="22">
      <formula>$A92&lt;&gt;"--"</formula>
    </cfRule>
  </conditionalFormatting>
  <conditionalFormatting sqref="B100:B107">
    <cfRule type="expression" dxfId="21" priority="21">
      <formula>$A100&lt;&gt;"--"</formula>
    </cfRule>
  </conditionalFormatting>
  <conditionalFormatting sqref="B108:B115">
    <cfRule type="expression" dxfId="20" priority="20">
      <formula>$A108&lt;&gt;"--"</formula>
    </cfRule>
  </conditionalFormatting>
  <conditionalFormatting sqref="B116:B123">
    <cfRule type="expression" dxfId="19" priority="19">
      <formula>$A116&lt;&gt;"--"</formula>
    </cfRule>
  </conditionalFormatting>
  <conditionalFormatting sqref="B124:B131">
    <cfRule type="expression" dxfId="18" priority="18">
      <formula>$A124&lt;&gt;"--"</formula>
    </cfRule>
  </conditionalFormatting>
  <conditionalFormatting sqref="B132:B139">
    <cfRule type="expression" dxfId="17" priority="17">
      <formula>$A132&lt;&gt;"--"</formula>
    </cfRule>
  </conditionalFormatting>
  <conditionalFormatting sqref="B140:B147">
    <cfRule type="expression" dxfId="16" priority="16">
      <formula>$A140&lt;&gt;"--"</formula>
    </cfRule>
  </conditionalFormatting>
  <conditionalFormatting sqref="B148:B155">
    <cfRule type="expression" dxfId="15" priority="15">
      <formula>$A148&lt;&gt;"--"</formula>
    </cfRule>
  </conditionalFormatting>
  <conditionalFormatting sqref="B156:B163">
    <cfRule type="expression" dxfId="14" priority="14">
      <formula>$A156&lt;&gt;"--"</formula>
    </cfRule>
  </conditionalFormatting>
  <conditionalFormatting sqref="B164:B171">
    <cfRule type="expression" dxfId="13" priority="13">
      <formula>$A164&lt;&gt;"--"</formula>
    </cfRule>
  </conditionalFormatting>
  <conditionalFormatting sqref="B172:B179">
    <cfRule type="expression" dxfId="12" priority="12">
      <formula>$A172&lt;&gt;"--"</formula>
    </cfRule>
  </conditionalFormatting>
  <conditionalFormatting sqref="B180:B187">
    <cfRule type="expression" dxfId="11" priority="11">
      <formula>$A180&lt;&gt;"--"</formula>
    </cfRule>
  </conditionalFormatting>
  <conditionalFormatting sqref="B188:B195">
    <cfRule type="expression" dxfId="10" priority="10">
      <formula>$A188&lt;&gt;"--"</formula>
    </cfRule>
  </conditionalFormatting>
  <conditionalFormatting sqref="B196:B203">
    <cfRule type="expression" dxfId="9" priority="9">
      <formula>$A196&lt;&gt;"--"</formula>
    </cfRule>
  </conditionalFormatting>
  <conditionalFormatting sqref="B204:B211">
    <cfRule type="expression" dxfId="8" priority="8">
      <formula>$A204&lt;&gt;"--"</formula>
    </cfRule>
  </conditionalFormatting>
  <conditionalFormatting sqref="B212:B219">
    <cfRule type="expression" dxfId="7" priority="7">
      <formula>$A212&lt;&gt;"--"</formula>
    </cfRule>
  </conditionalFormatting>
  <conditionalFormatting sqref="B220:B227">
    <cfRule type="expression" dxfId="6" priority="6">
      <formula>$A220&lt;&gt;"--"</formula>
    </cfRule>
  </conditionalFormatting>
  <conditionalFormatting sqref="B228:B251">
    <cfRule type="expression" dxfId="5" priority="5">
      <formula>$A228&lt;&gt;"--"</formula>
    </cfRule>
  </conditionalFormatting>
  <conditionalFormatting sqref="B236:B243">
    <cfRule type="expression" dxfId="4" priority="4">
      <formula>$A236&lt;&gt;"--"</formula>
    </cfRule>
  </conditionalFormatting>
  <conditionalFormatting sqref="B244:B251">
    <cfRule type="expression" dxfId="3" priority="3">
      <formula>$A244&lt;&gt;"--"</formula>
    </cfRule>
  </conditionalFormatting>
  <conditionalFormatting sqref="B228:B251">
    <cfRule type="cellIs" dxfId="2" priority="1" operator="lessThan">
      <formula>0</formula>
    </cfRule>
  </conditionalFormatting>
  <dataValidations count="1">
    <dataValidation type="list" allowBlank="1" showInputMessage="1" showErrorMessage="1" sqref="C12:C17 C244:C249 C236:C241 C228:C233 C220:C225 C212:C217 C204:C209 C196:C201 C188:C193 C180:C185 C172:C177 C164:C169 C156:C161 C148:C153 C140:C145 C132:C137 C124:C129 C116:C121 C108:C113 C100:C105 C92:C97 C84:C89 C76:C81 C68:C73 C60:C65 C52:C57 C44:C49 C36:C41 C28:C33 C20:C25 C4:C9">
      <formula1>'0'!$AI$1:$AI$30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AG157"/>
  <sheetViews>
    <sheetView topLeftCell="A19" workbookViewId="0">
      <selection activeCell="B1" sqref="B1"/>
    </sheetView>
  </sheetViews>
  <sheetFormatPr defaultColWidth="15.109375" defaultRowHeight="14.4"/>
  <cols>
    <col min="1" max="1" width="8.5546875" style="1" customWidth="1"/>
    <col min="2" max="2" width="11.6640625" style="1" customWidth="1"/>
    <col min="3" max="4" width="11.5546875" style="1" customWidth="1"/>
    <col min="5" max="5" width="7.88671875" style="1" customWidth="1"/>
    <col min="6" max="6" width="8.5546875" style="1" customWidth="1"/>
    <col min="7" max="7" width="7.88671875" style="1" customWidth="1"/>
    <col min="8" max="8" width="10.33203125" style="1" customWidth="1"/>
    <col min="9" max="9" width="9.109375" style="1" customWidth="1"/>
    <col min="10" max="10" width="9" style="1" customWidth="1"/>
    <col min="11" max="11" width="7.88671875" style="1" customWidth="1"/>
    <col min="12" max="12" width="8.44140625" style="1" customWidth="1"/>
    <col min="13" max="14" width="7.88671875" style="1" customWidth="1"/>
    <col min="15" max="15" width="8.5546875" style="1" customWidth="1"/>
    <col min="16" max="16" width="9.109375" style="1" customWidth="1"/>
    <col min="17" max="17" width="11.5546875" style="1" customWidth="1"/>
    <col min="18" max="18" width="8.88671875" style="1" customWidth="1"/>
    <col min="19" max="19" width="7.88671875" style="1" customWidth="1"/>
    <col min="20" max="21" width="9" style="1" customWidth="1"/>
    <col min="22" max="22" width="11.5546875" style="1" customWidth="1"/>
    <col min="23" max="25" width="8.6640625" style="1" customWidth="1"/>
    <col min="26" max="26" width="8.5546875" style="1" customWidth="1"/>
    <col min="27" max="27" width="8.44140625" style="1" customWidth="1"/>
    <col min="28" max="29" width="11.5546875" style="1" customWidth="1"/>
    <col min="30" max="30" width="8.44140625" style="1" customWidth="1"/>
    <col min="31" max="31" width="9" style="1" customWidth="1"/>
    <col min="32" max="32" width="11.5546875" style="1" customWidth="1"/>
    <col min="33" max="33" width="10.33203125" style="1" customWidth="1"/>
  </cols>
  <sheetData>
    <row r="1" spans="1:33">
      <c r="A1" s="1" t="s">
        <v>126</v>
      </c>
      <c r="B1" s="1">
        <v>2025</v>
      </c>
    </row>
    <row r="2" spans="1:33">
      <c r="A2" s="17"/>
      <c r="B2" s="18" t="s">
        <v>66</v>
      </c>
      <c r="C2" s="18" t="s">
        <v>67</v>
      </c>
      <c r="D2" s="18" t="s">
        <v>68</v>
      </c>
      <c r="E2" s="19" t="s">
        <v>69</v>
      </c>
      <c r="F2" s="19" t="s">
        <v>70</v>
      </c>
      <c r="G2" s="18" t="s">
        <v>71</v>
      </c>
      <c r="H2" s="18" t="s">
        <v>72</v>
      </c>
      <c r="I2" s="18" t="s">
        <v>73</v>
      </c>
      <c r="J2" s="18" t="s">
        <v>74</v>
      </c>
      <c r="K2" s="18" t="s">
        <v>75</v>
      </c>
      <c r="L2" s="19" t="s">
        <v>76</v>
      </c>
      <c r="M2" s="19" t="s">
        <v>77</v>
      </c>
      <c r="N2" s="18" t="s">
        <v>78</v>
      </c>
      <c r="O2" s="18" t="s">
        <v>79</v>
      </c>
      <c r="P2" s="18" t="s">
        <v>80</v>
      </c>
      <c r="Q2" s="18" t="s">
        <v>81</v>
      </c>
      <c r="R2" s="18" t="s">
        <v>82</v>
      </c>
      <c r="S2" s="19" t="s">
        <v>83</v>
      </c>
      <c r="T2" s="19" t="s">
        <v>84</v>
      </c>
      <c r="U2" s="18" t="s">
        <v>85</v>
      </c>
      <c r="V2" s="18" t="s">
        <v>86</v>
      </c>
      <c r="W2" s="18" t="s">
        <v>87</v>
      </c>
      <c r="X2" s="18" t="s">
        <v>88</v>
      </c>
      <c r="Y2" s="18" t="s">
        <v>89</v>
      </c>
      <c r="Z2" s="19" t="s">
        <v>90</v>
      </c>
      <c r="AA2" s="19" t="s">
        <v>91</v>
      </c>
      <c r="AB2" s="18" t="s">
        <v>92</v>
      </c>
      <c r="AC2" s="18" t="s">
        <v>93</v>
      </c>
      <c r="AD2" s="18" t="s">
        <v>94</v>
      </c>
      <c r="AE2" s="18" t="s">
        <v>95</v>
      </c>
      <c r="AF2" s="18" t="s">
        <v>96</v>
      </c>
      <c r="AG2" s="20" t="s">
        <v>97</v>
      </c>
    </row>
    <row r="3" spans="1:33">
      <c r="A3" s="21" t="s">
        <v>18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 t="e">
        <f>#REF!</f>
        <v>#REF!</v>
      </c>
      <c r="AC3" s="22" t="e">
        <f>#REF!</f>
        <v>#REF!</v>
      </c>
      <c r="AD3" s="22" t="e">
        <f>#REF!</f>
        <v>#REF!</v>
      </c>
      <c r="AE3" s="22" t="e">
        <f>#REF!</f>
        <v>#REF!</v>
      </c>
      <c r="AF3" s="22" t="e">
        <f>#REF!</f>
        <v>#REF!</v>
      </c>
      <c r="AG3" s="23" t="e">
        <f>SUM(B3:AF3)</f>
        <v>#REF!</v>
      </c>
    </row>
    <row r="4" spans="1:33">
      <c r="A4" s="21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4" t="e">
        <f>#REF!</f>
        <v>#REF!</v>
      </c>
      <c r="AC4" s="24" t="e">
        <f>#REF!</f>
        <v>#REF!</v>
      </c>
      <c r="AD4" s="24" t="e">
        <f>#REF!</f>
        <v>#REF!</v>
      </c>
      <c r="AE4" s="24" t="e">
        <f>#REF!</f>
        <v>#REF!</v>
      </c>
      <c r="AF4" s="24" t="e">
        <f>#REF!</f>
        <v>#REF!</v>
      </c>
      <c r="AG4" s="25" t="e">
        <f>SUM(B4:AF4)</f>
        <v>#REF!</v>
      </c>
    </row>
    <row r="28" spans="1:33">
      <c r="A28" s="17"/>
      <c r="B28" s="19" t="s">
        <v>66</v>
      </c>
      <c r="C28" s="19" t="s">
        <v>67</v>
      </c>
      <c r="D28" s="18" t="s">
        <v>68</v>
      </c>
      <c r="E28" s="18" t="s">
        <v>69</v>
      </c>
      <c r="F28" s="18" t="s">
        <v>70</v>
      </c>
      <c r="G28" s="18" t="s">
        <v>71</v>
      </c>
      <c r="H28" s="18" t="s">
        <v>72</v>
      </c>
      <c r="I28" s="19" t="s">
        <v>73</v>
      </c>
      <c r="J28" s="19" t="s">
        <v>74</v>
      </c>
      <c r="K28" s="18" t="s">
        <v>75</v>
      </c>
      <c r="L28" s="18" t="s">
        <v>76</v>
      </c>
      <c r="M28" s="18" t="s">
        <v>77</v>
      </c>
      <c r="N28" s="18" t="s">
        <v>78</v>
      </c>
      <c r="O28" s="18" t="s">
        <v>79</v>
      </c>
      <c r="P28" s="19" t="s">
        <v>80</v>
      </c>
      <c r="Q28" s="19" t="s">
        <v>81</v>
      </c>
      <c r="R28" s="18" t="s">
        <v>82</v>
      </c>
      <c r="S28" s="18" t="s">
        <v>83</v>
      </c>
      <c r="T28" s="18" t="s">
        <v>84</v>
      </c>
      <c r="U28" s="18" t="s">
        <v>85</v>
      </c>
      <c r="V28" s="18" t="s">
        <v>86</v>
      </c>
      <c r="W28" s="19" t="s">
        <v>87</v>
      </c>
      <c r="X28" s="19" t="s">
        <v>88</v>
      </c>
      <c r="Y28" s="18" t="s">
        <v>89</v>
      </c>
      <c r="Z28" s="18" t="s">
        <v>90</v>
      </c>
      <c r="AA28" s="18" t="s">
        <v>91</v>
      </c>
      <c r="AB28" s="18" t="s">
        <v>92</v>
      </c>
      <c r="AC28" s="18" t="s">
        <v>93</v>
      </c>
      <c r="AD28" s="18"/>
      <c r="AE28" s="18"/>
      <c r="AF28" s="18"/>
      <c r="AG28" s="20" t="s">
        <v>97</v>
      </c>
    </row>
    <row r="29" spans="1:33">
      <c r="A29" s="21" t="s">
        <v>19</v>
      </c>
      <c r="B29" s="22">
        <v>0</v>
      </c>
      <c r="C29" s="22" t="e">
        <f>#REF!</f>
        <v>#REF!</v>
      </c>
      <c r="D29" s="22" t="e">
        <f>#REF!</f>
        <v>#REF!</v>
      </c>
      <c r="E29" s="22" t="e">
        <f>#REF!</f>
        <v>#REF!</v>
      </c>
      <c r="F29" s="22" t="e">
        <f>#REF!</f>
        <v>#REF!</v>
      </c>
      <c r="G29" s="22" t="e">
        <f>#REF!</f>
        <v>#REF!</v>
      </c>
      <c r="H29" s="22" t="e">
        <f>#REF!</f>
        <v>#REF!</v>
      </c>
      <c r="I29" s="22" t="e">
        <f>#REF!</f>
        <v>#REF!</v>
      </c>
      <c r="J29" s="22" t="e">
        <f>#REF!</f>
        <v>#REF!</v>
      </c>
      <c r="K29" s="22" t="e">
        <f>#REF!</f>
        <v>#REF!</v>
      </c>
      <c r="L29" s="22" t="e">
        <f>#REF!</f>
        <v>#REF!</v>
      </c>
      <c r="M29" s="22" t="e">
        <f>#REF!</f>
        <v>#REF!</v>
      </c>
      <c r="N29" s="22" t="e">
        <f>#REF!</f>
        <v>#REF!</v>
      </c>
      <c r="O29" s="22" t="e">
        <f>#REF!</f>
        <v>#REF!</v>
      </c>
      <c r="P29" s="22" t="e">
        <f>#REF!</f>
        <v>#REF!</v>
      </c>
      <c r="Q29" s="22" t="e">
        <f>#REF!</f>
        <v>#REF!</v>
      </c>
      <c r="R29" s="22" t="e">
        <f>#REF!</f>
        <v>#REF!</v>
      </c>
      <c r="S29" s="22" t="e">
        <f>#REF!</f>
        <v>#REF!</v>
      </c>
      <c r="T29" s="22" t="e">
        <f>#REF!</f>
        <v>#REF!</v>
      </c>
      <c r="U29" s="26" t="e">
        <f>#REF!</f>
        <v>#REF!</v>
      </c>
      <c r="V29" s="22" t="e">
        <f>#REF!</f>
        <v>#REF!</v>
      </c>
      <c r="W29" s="22" t="e">
        <f>#REF!</f>
        <v>#REF!</v>
      </c>
      <c r="X29" s="26" t="e">
        <f>#REF!</f>
        <v>#REF!</v>
      </c>
      <c r="Y29" s="22" t="e">
        <f>#REF!</f>
        <v>#REF!</v>
      </c>
      <c r="Z29" s="22" t="e">
        <f>#REF!</f>
        <v>#REF!</v>
      </c>
      <c r="AA29" s="22" t="e">
        <f>#REF!</f>
        <v>#REF!</v>
      </c>
      <c r="AB29" s="22" t="e">
        <f>#REF!</f>
        <v>#REF!</v>
      </c>
      <c r="AC29" s="22" t="e">
        <f>#REF!</f>
        <v>#REF!</v>
      </c>
      <c r="AD29" s="22" t="e">
        <f>#REF!</f>
        <v>#REF!</v>
      </c>
      <c r="AE29" s="22" t="e">
        <f>#REF!</f>
        <v>#REF!</v>
      </c>
      <c r="AF29" s="22" t="e">
        <f>#REF!</f>
        <v>#REF!</v>
      </c>
      <c r="AG29" s="23" t="e">
        <f>SUM(B29:AF29)</f>
        <v>#REF!</v>
      </c>
    </row>
    <row r="30" spans="1:33">
      <c r="A30" s="27" t="s">
        <v>19</v>
      </c>
      <c r="B30" s="24" t="e">
        <f>#REF!</f>
        <v>#REF!</v>
      </c>
      <c r="C30" s="24" t="e">
        <f>#REF!</f>
        <v>#REF!</v>
      </c>
      <c r="D30" s="24" t="e">
        <f>#REF!</f>
        <v>#REF!</v>
      </c>
      <c r="E30" s="24" t="e">
        <f>#REF!</f>
        <v>#REF!</v>
      </c>
      <c r="F30" s="24" t="e">
        <f>#REF!</f>
        <v>#REF!</v>
      </c>
      <c r="G30" s="24" t="e">
        <f>#REF!</f>
        <v>#REF!</v>
      </c>
      <c r="H30" s="24" t="e">
        <f>#REF!</f>
        <v>#REF!</v>
      </c>
      <c r="I30" s="24" t="e">
        <f>#REF!</f>
        <v>#REF!</v>
      </c>
      <c r="J30" s="24" t="e">
        <f>#REF!</f>
        <v>#REF!</v>
      </c>
      <c r="K30" s="24" t="e">
        <f>#REF!</f>
        <v>#REF!</v>
      </c>
      <c r="L30" s="24" t="e">
        <f>#REF!</f>
        <v>#REF!</v>
      </c>
      <c r="M30" s="24" t="e">
        <f>#REF!</f>
        <v>#REF!</v>
      </c>
      <c r="N30" s="24" t="e">
        <f>#REF!</f>
        <v>#REF!</v>
      </c>
      <c r="O30" s="24" t="e">
        <f>#REF!</f>
        <v>#REF!</v>
      </c>
      <c r="P30" s="24" t="e">
        <f>#REF!</f>
        <v>#REF!</v>
      </c>
      <c r="Q30" s="24" t="e">
        <f>#REF!</f>
        <v>#REF!</v>
      </c>
      <c r="R30" s="24" t="e">
        <f>#REF!</f>
        <v>#REF!</v>
      </c>
      <c r="S30" s="24" t="e">
        <f>#REF!</f>
        <v>#REF!</v>
      </c>
      <c r="T30" s="24" t="e">
        <f>#REF!</f>
        <v>#REF!</v>
      </c>
      <c r="U30" s="24" t="e">
        <f>#REF!</f>
        <v>#REF!</v>
      </c>
      <c r="V30" s="24" t="e">
        <f>#REF!</f>
        <v>#REF!</v>
      </c>
      <c r="W30" s="24" t="e">
        <f>#REF!</f>
        <v>#REF!</v>
      </c>
      <c r="X30" s="24" t="e">
        <f>#REF!</f>
        <v>#REF!</v>
      </c>
      <c r="Y30" s="24" t="e">
        <f>#REF!</f>
        <v>#REF!</v>
      </c>
      <c r="Z30" s="24" t="e">
        <f>#REF!</f>
        <v>#REF!</v>
      </c>
      <c r="AA30" s="24" t="e">
        <f>#REF!</f>
        <v>#REF!</v>
      </c>
      <c r="AB30" s="24" t="e">
        <f>#REF!</f>
        <v>#REF!</v>
      </c>
      <c r="AC30" s="24" t="e">
        <f>#REF!</f>
        <v>#REF!</v>
      </c>
      <c r="AD30" s="24" t="e">
        <f>#REF!</f>
        <v>#REF!</v>
      </c>
      <c r="AE30" s="24" t="e">
        <f>#REF!</f>
        <v>#REF!</v>
      </c>
      <c r="AF30" s="24" t="e">
        <f>#REF!</f>
        <v>#REF!</v>
      </c>
      <c r="AG30" s="25" t="e">
        <f>SUM(B30:AF30)</f>
        <v>#REF!</v>
      </c>
    </row>
    <row r="38" spans="1:1">
      <c r="A38" s="1">
        <v>15</v>
      </c>
    </row>
    <row r="58" spans="1:33">
      <c r="A58" s="17"/>
      <c r="B58" s="19" t="s">
        <v>66</v>
      </c>
      <c r="C58" s="19" t="s">
        <v>67</v>
      </c>
      <c r="D58" s="18" t="s">
        <v>68</v>
      </c>
      <c r="E58" s="18" t="s">
        <v>69</v>
      </c>
      <c r="F58" s="18" t="s">
        <v>70</v>
      </c>
      <c r="G58" s="18" t="s">
        <v>71</v>
      </c>
      <c r="H58" s="18" t="s">
        <v>72</v>
      </c>
      <c r="I58" s="19" t="s">
        <v>73</v>
      </c>
      <c r="J58" s="19" t="s">
        <v>74</v>
      </c>
      <c r="K58" s="18" t="s">
        <v>75</v>
      </c>
      <c r="L58" s="19" t="s">
        <v>76</v>
      </c>
      <c r="M58" s="18" t="s">
        <v>77</v>
      </c>
      <c r="N58" s="18" t="s">
        <v>78</v>
      </c>
      <c r="O58" s="18" t="s">
        <v>79</v>
      </c>
      <c r="P58" s="19" t="s">
        <v>80</v>
      </c>
      <c r="Q58" s="19" t="s">
        <v>81</v>
      </c>
      <c r="R58" s="18" t="s">
        <v>82</v>
      </c>
      <c r="S58" s="18" t="s">
        <v>83</v>
      </c>
      <c r="T58" s="18" t="s">
        <v>84</v>
      </c>
      <c r="U58" s="18" t="s">
        <v>85</v>
      </c>
      <c r="V58" s="18" t="s">
        <v>86</v>
      </c>
      <c r="W58" s="19" t="s">
        <v>87</v>
      </c>
      <c r="X58" s="19" t="s">
        <v>88</v>
      </c>
      <c r="Y58" s="18" t="s">
        <v>89</v>
      </c>
      <c r="Z58" s="18" t="s">
        <v>90</v>
      </c>
      <c r="AA58" s="18" t="s">
        <v>91</v>
      </c>
      <c r="AB58" s="18" t="s">
        <v>92</v>
      </c>
      <c r="AC58" s="18" t="s">
        <v>93</v>
      </c>
      <c r="AD58" s="19" t="s">
        <v>94</v>
      </c>
      <c r="AE58" s="19" t="s">
        <v>95</v>
      </c>
      <c r="AF58" s="18" t="s">
        <v>96</v>
      </c>
      <c r="AG58" s="20" t="s">
        <v>97</v>
      </c>
    </row>
    <row r="59" spans="1:33">
      <c r="A59" s="21" t="s">
        <v>20</v>
      </c>
      <c r="B59" s="22" t="e">
        <f>#REF!</f>
        <v>#REF!</v>
      </c>
      <c r="C59" s="22" t="e">
        <f>#REF!</f>
        <v>#REF!</v>
      </c>
      <c r="D59" s="22" t="e">
        <f>#REF!</f>
        <v>#REF!</v>
      </c>
      <c r="E59" s="22" t="e">
        <f>#REF!</f>
        <v>#REF!</v>
      </c>
      <c r="F59" s="22" t="e">
        <f>#REF!</f>
        <v>#REF!</v>
      </c>
      <c r="G59" s="22" t="e">
        <f>#REF!</f>
        <v>#REF!</v>
      </c>
      <c r="H59" s="22" t="e">
        <f>#REF!</f>
        <v>#REF!</v>
      </c>
      <c r="I59" s="22" t="e">
        <f>#REF!</f>
        <v>#REF!</v>
      </c>
      <c r="J59" s="22" t="e">
        <f>#REF!</f>
        <v>#REF!</v>
      </c>
      <c r="K59" s="26" t="e">
        <f>#REF!</f>
        <v>#REF!</v>
      </c>
      <c r="L59" s="22" t="e">
        <f>#REF!</f>
        <v>#REF!</v>
      </c>
      <c r="M59" s="22" t="e">
        <f>#REF!</f>
        <v>#REF!</v>
      </c>
      <c r="N59" s="22" t="e">
        <f>#REF!</f>
        <v>#REF!</v>
      </c>
      <c r="O59" s="22" t="e">
        <f>#REF!</f>
        <v>#REF!</v>
      </c>
      <c r="P59" s="22" t="e">
        <f>#REF!</f>
        <v>#REF!</v>
      </c>
      <c r="Q59" s="22" t="e">
        <f>#REF!</f>
        <v>#REF!</v>
      </c>
      <c r="R59" s="22" t="e">
        <f>#REF!</f>
        <v>#REF!</v>
      </c>
      <c r="S59" s="22" t="e">
        <f>#REF!</f>
        <v>#REF!</v>
      </c>
      <c r="T59" s="22" t="e">
        <f>#REF!</f>
        <v>#REF!</v>
      </c>
      <c r="U59" s="22" t="e">
        <f>#REF!</f>
        <v>#REF!</v>
      </c>
      <c r="V59" s="22" t="e">
        <f>#REF!</f>
        <v>#REF!</v>
      </c>
      <c r="W59" s="22" t="e">
        <f>#REF!</f>
        <v>#REF!</v>
      </c>
      <c r="X59" s="22" t="e">
        <f>#REF!</f>
        <v>#REF!</v>
      </c>
      <c r="Y59" s="22" t="e">
        <f>#REF!</f>
        <v>#REF!</v>
      </c>
      <c r="Z59" s="22" t="e">
        <f>#REF!</f>
        <v>#REF!</v>
      </c>
      <c r="AA59" s="22" t="e">
        <f>#REF!</f>
        <v>#REF!</v>
      </c>
      <c r="AB59" s="22" t="e">
        <f>#REF!</f>
        <v>#REF!</v>
      </c>
      <c r="AC59" s="22" t="e">
        <f>#REF!</f>
        <v>#REF!</v>
      </c>
      <c r="AD59" s="22" t="e">
        <f>#REF!</f>
        <v>#REF!</v>
      </c>
      <c r="AE59" s="22" t="e">
        <f>#REF!</f>
        <v>#REF!</v>
      </c>
      <c r="AF59" s="22" t="e">
        <f>#REF!</f>
        <v>#REF!</v>
      </c>
      <c r="AG59" s="23" t="e">
        <f>SUM(B59:AF59)</f>
        <v>#REF!</v>
      </c>
    </row>
    <row r="60" spans="1:33">
      <c r="A60" s="21" t="s">
        <v>20</v>
      </c>
      <c r="B60" s="24" t="e">
        <f>#REF!</f>
        <v>#REF!</v>
      </c>
      <c r="C60" s="24" t="e">
        <f>#REF!</f>
        <v>#REF!</v>
      </c>
      <c r="D60" s="24" t="e">
        <f>#REF!</f>
        <v>#REF!</v>
      </c>
      <c r="E60" s="24" t="e">
        <f>#REF!</f>
        <v>#REF!</v>
      </c>
      <c r="F60" s="24" t="e">
        <f>#REF!</f>
        <v>#REF!</v>
      </c>
      <c r="G60" s="24" t="e">
        <f>#REF!</f>
        <v>#REF!</v>
      </c>
      <c r="H60" s="24" t="e">
        <f>#REF!</f>
        <v>#REF!</v>
      </c>
      <c r="I60" s="24" t="e">
        <f>#REF!</f>
        <v>#REF!</v>
      </c>
      <c r="J60" s="24" t="e">
        <f>#REF!</f>
        <v>#REF!</v>
      </c>
      <c r="K60" s="24" t="e">
        <f>#REF!</f>
        <v>#REF!</v>
      </c>
      <c r="L60" s="24" t="e">
        <f>#REF!</f>
        <v>#REF!</v>
      </c>
      <c r="M60" s="24" t="e">
        <f>#REF!</f>
        <v>#REF!</v>
      </c>
      <c r="N60" s="24" t="e">
        <f>#REF!</f>
        <v>#REF!</v>
      </c>
      <c r="O60" s="24" t="e">
        <f>#REF!</f>
        <v>#REF!</v>
      </c>
      <c r="P60" s="24" t="e">
        <f>#REF!</f>
        <v>#REF!</v>
      </c>
      <c r="Q60" s="24" t="e">
        <f>#REF!</f>
        <v>#REF!</v>
      </c>
      <c r="R60" s="24" t="e">
        <f>#REF!</f>
        <v>#REF!</v>
      </c>
      <c r="S60" s="24" t="e">
        <f>#REF!</f>
        <v>#REF!</v>
      </c>
      <c r="T60" s="24" t="e">
        <f>#REF!</f>
        <v>#REF!</v>
      </c>
      <c r="U60" s="24" t="e">
        <f>#REF!</f>
        <v>#REF!</v>
      </c>
      <c r="V60" s="24" t="e">
        <f>#REF!</f>
        <v>#REF!</v>
      </c>
      <c r="W60" s="24" t="e">
        <f>#REF!</f>
        <v>#REF!</v>
      </c>
      <c r="X60" s="24" t="e">
        <f>#REF!</f>
        <v>#REF!</v>
      </c>
      <c r="Y60" s="24" t="e">
        <f>#REF!</f>
        <v>#REF!</v>
      </c>
      <c r="Z60" s="24" t="e">
        <f>#REF!</f>
        <v>#REF!</v>
      </c>
      <c r="AA60" s="24" t="e">
        <f>#REF!</f>
        <v>#REF!</v>
      </c>
      <c r="AB60" s="24" t="e">
        <f>#REF!</f>
        <v>#REF!</v>
      </c>
      <c r="AC60" s="24" t="e">
        <f>#REF!</f>
        <v>#REF!</v>
      </c>
      <c r="AD60" s="24" t="e">
        <f>#REF!</f>
        <v>#REF!</v>
      </c>
      <c r="AE60" s="24" t="e">
        <f>#REF!</f>
        <v>#REF!</v>
      </c>
      <c r="AF60" s="24" t="e">
        <f>#REF!</f>
        <v>#REF!</v>
      </c>
      <c r="AG60" s="25" t="e">
        <f>SUM(B60:AF60)</f>
        <v>#REF!</v>
      </c>
    </row>
    <row r="90" spans="1:33">
      <c r="A90" s="17"/>
      <c r="B90" s="18" t="s">
        <v>66</v>
      </c>
      <c r="C90" s="121" t="s">
        <v>67</v>
      </c>
      <c r="D90" s="18" t="s">
        <v>68</v>
      </c>
      <c r="E90" s="18" t="s">
        <v>69</v>
      </c>
      <c r="F90" s="19" t="s">
        <v>70</v>
      </c>
      <c r="G90" s="19" t="s">
        <v>71</v>
      </c>
      <c r="H90" s="18" t="s">
        <v>72</v>
      </c>
      <c r="I90" s="18" t="s">
        <v>73</v>
      </c>
      <c r="J90" s="18" t="s">
        <v>74</v>
      </c>
      <c r="K90" s="18" t="s">
        <v>75</v>
      </c>
      <c r="L90" s="18" t="s">
        <v>76</v>
      </c>
      <c r="M90" s="19" t="s">
        <v>77</v>
      </c>
      <c r="N90" s="19" t="s">
        <v>78</v>
      </c>
      <c r="O90" s="18" t="s">
        <v>79</v>
      </c>
      <c r="P90" s="18" t="s">
        <v>80</v>
      </c>
      <c r="Q90" s="18" t="s">
        <v>81</v>
      </c>
      <c r="R90" s="18" t="s">
        <v>82</v>
      </c>
      <c r="S90" s="18" t="s">
        <v>83</v>
      </c>
      <c r="T90" s="19" t="s">
        <v>84</v>
      </c>
      <c r="U90" s="19" t="s">
        <v>85</v>
      </c>
      <c r="V90" s="19" t="s">
        <v>86</v>
      </c>
      <c r="W90" s="18" t="s">
        <v>87</v>
      </c>
      <c r="X90" s="18" t="s">
        <v>88</v>
      </c>
      <c r="Y90" s="18" t="s">
        <v>89</v>
      </c>
      <c r="Z90" s="18" t="s">
        <v>90</v>
      </c>
      <c r="AA90" s="19" t="s">
        <v>91</v>
      </c>
      <c r="AB90" s="19" t="s">
        <v>92</v>
      </c>
      <c r="AC90" s="18" t="s">
        <v>93</v>
      </c>
      <c r="AD90" s="18" t="s">
        <v>94</v>
      </c>
      <c r="AE90" s="18" t="s">
        <v>95</v>
      </c>
      <c r="AF90" s="18"/>
      <c r="AG90" s="20" t="s">
        <v>97</v>
      </c>
    </row>
    <row r="91" spans="1:33">
      <c r="A91" s="21" t="s">
        <v>21</v>
      </c>
      <c r="B91" s="26" t="e">
        <f>#REF!</f>
        <v>#REF!</v>
      </c>
      <c r="C91" s="26" t="e">
        <f>#REF!</f>
        <v>#REF!</v>
      </c>
      <c r="D91" s="26" t="e">
        <f>#REF!</f>
        <v>#REF!</v>
      </c>
      <c r="E91" s="26" t="e">
        <f>#REF!</f>
        <v>#REF!</v>
      </c>
      <c r="F91" s="26" t="e">
        <f>#REF!</f>
        <v>#REF!</v>
      </c>
      <c r="G91" s="26" t="e">
        <f>#REF!</f>
        <v>#REF!</v>
      </c>
      <c r="H91" s="26" t="e">
        <f>#REF!</f>
        <v>#REF!</v>
      </c>
      <c r="I91" s="26" t="e">
        <f>#REF!</f>
        <v>#REF!</v>
      </c>
      <c r="J91" s="26" t="e">
        <f>#REF!</f>
        <v>#REF!</v>
      </c>
      <c r="K91" s="26" t="e">
        <f>#REF!</f>
        <v>#REF!</v>
      </c>
      <c r="L91" s="26" t="e">
        <f>#REF!</f>
        <v>#REF!</v>
      </c>
      <c r="M91" s="26" t="e">
        <f>#REF!</f>
        <v>#REF!</v>
      </c>
      <c r="N91" s="26" t="e">
        <f>#REF!</f>
        <v>#REF!</v>
      </c>
      <c r="O91" s="26" t="e">
        <f>#REF!</f>
        <v>#REF!</v>
      </c>
      <c r="P91" s="26" t="e">
        <f>#REF!</f>
        <v>#REF!</v>
      </c>
      <c r="Q91" s="26" t="e">
        <f>#REF!</f>
        <v>#REF!</v>
      </c>
      <c r="R91" s="26" t="e">
        <f>#REF!</f>
        <v>#REF!</v>
      </c>
      <c r="S91" s="26" t="e">
        <f>#REF!</f>
        <v>#REF!</v>
      </c>
      <c r="T91" s="26" t="e">
        <f>#REF!</f>
        <v>#REF!</v>
      </c>
      <c r="U91" s="26" t="e">
        <f>#REF!</f>
        <v>#REF!</v>
      </c>
      <c r="V91" s="26" t="e">
        <f>#REF!</f>
        <v>#REF!</v>
      </c>
      <c r="W91" s="26" t="e">
        <f>#REF!</f>
        <v>#REF!</v>
      </c>
      <c r="X91" s="26" t="e">
        <f>#REF!</f>
        <v>#REF!</v>
      </c>
      <c r="Y91" s="26" t="e">
        <f>#REF!</f>
        <v>#REF!</v>
      </c>
      <c r="Z91" s="26" t="e">
        <f>#REF!</f>
        <v>#REF!</v>
      </c>
      <c r="AA91" s="26" t="e">
        <f>#REF!</f>
        <v>#REF!</v>
      </c>
      <c r="AB91" s="26" t="e">
        <f>#REF!</f>
        <v>#REF!</v>
      </c>
      <c r="AC91" s="26" t="e">
        <f>#REF!</f>
        <v>#REF!</v>
      </c>
      <c r="AD91" s="26" t="e">
        <f>#REF!</f>
        <v>#REF!</v>
      </c>
      <c r="AE91" s="26" t="e">
        <f>#REF!</f>
        <v>#REF!</v>
      </c>
      <c r="AF91" s="26" t="e">
        <f>#REF!</f>
        <v>#REF!</v>
      </c>
      <c r="AG91" s="23" t="e">
        <f>SUM(B91:AF91)</f>
        <v>#REF!</v>
      </c>
    </row>
    <row r="92" spans="1:33">
      <c r="A92" s="21" t="s">
        <v>21</v>
      </c>
      <c r="B92" s="24" t="e">
        <f>#REF!</f>
        <v>#REF!</v>
      </c>
      <c r="C92" s="24" t="e">
        <f>#REF!</f>
        <v>#REF!</v>
      </c>
      <c r="D92" s="24" t="e">
        <f>#REF!</f>
        <v>#REF!</v>
      </c>
      <c r="E92" s="24" t="e">
        <f>#REF!</f>
        <v>#REF!</v>
      </c>
      <c r="F92" s="24" t="e">
        <f>#REF!</f>
        <v>#REF!</v>
      </c>
      <c r="G92" s="24" t="e">
        <f>#REF!</f>
        <v>#REF!</v>
      </c>
      <c r="H92" s="24" t="e">
        <f>#REF!</f>
        <v>#REF!</v>
      </c>
      <c r="I92" s="24" t="e">
        <f>#REF!</f>
        <v>#REF!</v>
      </c>
      <c r="J92" s="24" t="e">
        <f>#REF!</f>
        <v>#REF!</v>
      </c>
      <c r="K92" s="24" t="e">
        <f>#REF!</f>
        <v>#REF!</v>
      </c>
      <c r="L92" s="24" t="e">
        <f>#REF!</f>
        <v>#REF!</v>
      </c>
      <c r="M92" s="24" t="e">
        <f>#REF!</f>
        <v>#REF!</v>
      </c>
      <c r="N92" s="24" t="e">
        <f>#REF!</f>
        <v>#REF!</v>
      </c>
      <c r="O92" s="24" t="e">
        <f>#REF!</f>
        <v>#REF!</v>
      </c>
      <c r="P92" s="24" t="e">
        <f>#REF!</f>
        <v>#REF!</v>
      </c>
      <c r="Q92" s="24" t="e">
        <f>#REF!</f>
        <v>#REF!</v>
      </c>
      <c r="R92" s="24" t="e">
        <f>#REF!</f>
        <v>#REF!</v>
      </c>
      <c r="S92" s="24" t="e">
        <f>#REF!</f>
        <v>#REF!</v>
      </c>
      <c r="T92" s="24" t="e">
        <f>#REF!</f>
        <v>#REF!</v>
      </c>
      <c r="U92" s="24" t="e">
        <f>#REF!</f>
        <v>#REF!</v>
      </c>
      <c r="V92" s="24" t="e">
        <f>#REF!</f>
        <v>#REF!</v>
      </c>
      <c r="W92" s="24" t="e">
        <f>#REF!</f>
        <v>#REF!</v>
      </c>
      <c r="X92" s="24" t="e">
        <f>#REF!</f>
        <v>#REF!</v>
      </c>
      <c r="Y92" s="24" t="e">
        <f>#REF!</f>
        <v>#REF!</v>
      </c>
      <c r="Z92" s="24" t="e">
        <f>#REF!</f>
        <v>#REF!</v>
      </c>
      <c r="AA92" s="24" t="e">
        <f>#REF!</f>
        <v>#REF!</v>
      </c>
      <c r="AB92" s="24" t="e">
        <f>#REF!</f>
        <v>#REF!</v>
      </c>
      <c r="AC92" s="24" t="e">
        <f>#REF!</f>
        <v>#REF!</v>
      </c>
      <c r="AD92" s="24" t="e">
        <f>#REF!</f>
        <v>#REF!</v>
      </c>
      <c r="AE92" s="24" t="e">
        <f>#REF!</f>
        <v>#REF!</v>
      </c>
      <c r="AF92" s="24" t="e">
        <f>#REF!</f>
        <v>#REF!</v>
      </c>
      <c r="AG92" s="25" t="e">
        <f>SUM(B92:AF92)</f>
        <v>#REF!</v>
      </c>
    </row>
    <row r="122" spans="1:33">
      <c r="A122" s="17"/>
      <c r="B122" s="18" t="s">
        <v>66</v>
      </c>
      <c r="C122" s="18" t="s">
        <v>67</v>
      </c>
      <c r="D122" s="19" t="s">
        <v>68</v>
      </c>
      <c r="E122" s="19" t="s">
        <v>69</v>
      </c>
      <c r="F122" s="18" t="s">
        <v>70</v>
      </c>
      <c r="G122" s="18" t="s">
        <v>71</v>
      </c>
      <c r="H122" s="18" t="s">
        <v>72</v>
      </c>
      <c r="I122" s="18" t="s">
        <v>73</v>
      </c>
      <c r="J122" s="18" t="s">
        <v>74</v>
      </c>
      <c r="K122" s="19" t="s">
        <v>75</v>
      </c>
      <c r="L122" s="19" t="s">
        <v>76</v>
      </c>
      <c r="M122" s="18" t="s">
        <v>77</v>
      </c>
      <c r="N122" s="18" t="s">
        <v>78</v>
      </c>
      <c r="O122" s="18" t="s">
        <v>79</v>
      </c>
      <c r="P122" s="18" t="s">
        <v>80</v>
      </c>
      <c r="Q122" s="18" t="s">
        <v>81</v>
      </c>
      <c r="R122" s="19" t="s">
        <v>82</v>
      </c>
      <c r="S122" s="19" t="s">
        <v>83</v>
      </c>
      <c r="T122" s="18" t="s">
        <v>84</v>
      </c>
      <c r="U122" s="18" t="s">
        <v>85</v>
      </c>
      <c r="V122" s="18" t="s">
        <v>86</v>
      </c>
      <c r="W122" s="18" t="s">
        <v>87</v>
      </c>
      <c r="X122" s="18" t="s">
        <v>88</v>
      </c>
      <c r="Y122" s="19" t="s">
        <v>89</v>
      </c>
      <c r="Z122" s="19" t="s">
        <v>90</v>
      </c>
      <c r="AA122" s="18" t="s">
        <v>91</v>
      </c>
      <c r="AB122" s="18" t="s">
        <v>92</v>
      </c>
      <c r="AC122" s="18" t="s">
        <v>93</v>
      </c>
      <c r="AD122" s="18" t="s">
        <v>94</v>
      </c>
      <c r="AE122" s="18" t="s">
        <v>95</v>
      </c>
      <c r="AF122" s="19" t="s">
        <v>96</v>
      </c>
      <c r="AG122" s="20" t="s">
        <v>97</v>
      </c>
    </row>
    <row r="123" spans="1:33">
      <c r="A123" s="21" t="s">
        <v>22</v>
      </c>
      <c r="B123" s="26">
        <v>1</v>
      </c>
      <c r="C123" s="26" t="e">
        <f>#REF!</f>
        <v>#REF!</v>
      </c>
      <c r="D123" s="26" t="e">
        <f>#REF!</f>
        <v>#REF!</v>
      </c>
      <c r="E123" s="26" t="e">
        <f>#REF!</f>
        <v>#REF!</v>
      </c>
      <c r="F123" s="26" t="e">
        <f>#REF!</f>
        <v>#REF!</v>
      </c>
      <c r="G123" s="26" t="e">
        <f>#REF!</f>
        <v>#REF!</v>
      </c>
      <c r="H123" s="26" t="e">
        <f>#REF!</f>
        <v>#REF!</v>
      </c>
      <c r="I123" s="26" t="e">
        <f>#REF!</f>
        <v>#REF!</v>
      </c>
      <c r="J123" s="26" t="e">
        <f>#REF!</f>
        <v>#REF!</v>
      </c>
      <c r="K123" s="26" t="e">
        <f>#REF!</f>
        <v>#REF!</v>
      </c>
      <c r="L123" s="26" t="e">
        <f>#REF!</f>
        <v>#REF!</v>
      </c>
      <c r="M123" s="26" t="e">
        <f>#REF!</f>
        <v>#REF!</v>
      </c>
      <c r="N123" s="26" t="e">
        <f>#REF!</f>
        <v>#REF!</v>
      </c>
      <c r="O123" s="26" t="e">
        <f>#REF!</f>
        <v>#REF!</v>
      </c>
      <c r="P123" s="26" t="e">
        <f>#REF!</f>
        <v>#REF!</v>
      </c>
      <c r="Q123" s="26" t="e">
        <f>#REF!</f>
        <v>#REF!</v>
      </c>
      <c r="R123" s="26" t="e">
        <f>#REF!</f>
        <v>#REF!</v>
      </c>
      <c r="S123" s="26" t="e">
        <f>#REF!</f>
        <v>#REF!</v>
      </c>
      <c r="T123" s="26" t="e">
        <f>#REF!</f>
        <v>#REF!</v>
      </c>
      <c r="U123" s="26" t="e">
        <f>#REF!</f>
        <v>#REF!</v>
      </c>
      <c r="V123" s="26" t="e">
        <f>#REF!</f>
        <v>#REF!</v>
      </c>
      <c r="W123" s="26" t="e">
        <f>#REF!</f>
        <v>#REF!</v>
      </c>
      <c r="X123" s="26" t="e">
        <f>#REF!</f>
        <v>#REF!</v>
      </c>
      <c r="Y123" s="26" t="e">
        <f>#REF!</f>
        <v>#REF!</v>
      </c>
      <c r="Z123" s="26" t="e">
        <f>#REF!</f>
        <v>#REF!</v>
      </c>
      <c r="AA123" s="26" t="e">
        <f>#REF!</f>
        <v>#REF!</v>
      </c>
      <c r="AB123" s="26" t="e">
        <f>#REF!</f>
        <v>#REF!</v>
      </c>
      <c r="AC123" s="26" t="e">
        <f>#REF!</f>
        <v>#REF!</v>
      </c>
      <c r="AD123" s="26" t="e">
        <f>#REF!</f>
        <v>#REF!</v>
      </c>
      <c r="AE123" s="26" t="e">
        <f>#REF!</f>
        <v>#REF!</v>
      </c>
      <c r="AF123" s="26" t="e">
        <f>#REF!</f>
        <v>#REF!</v>
      </c>
      <c r="AG123" s="23" t="e">
        <f>SUM(B123:AF123)</f>
        <v>#REF!</v>
      </c>
    </row>
    <row r="124" spans="1:33">
      <c r="A124" s="21" t="s">
        <v>22</v>
      </c>
      <c r="B124" s="24" t="e">
        <f>#REF!</f>
        <v>#REF!</v>
      </c>
      <c r="C124" s="24" t="e">
        <f>#REF!</f>
        <v>#REF!</v>
      </c>
      <c r="D124" s="24" t="e">
        <f>#REF!</f>
        <v>#REF!</v>
      </c>
      <c r="E124" s="24" t="e">
        <f>#REF!</f>
        <v>#REF!</v>
      </c>
      <c r="F124" s="28" t="e">
        <f>#REF!</f>
        <v>#REF!</v>
      </c>
      <c r="G124" s="24" t="e">
        <f>#REF!</f>
        <v>#REF!</v>
      </c>
      <c r="H124" s="24" t="e">
        <f>#REF!</f>
        <v>#REF!</v>
      </c>
      <c r="I124" s="24" t="e">
        <f>#REF!</f>
        <v>#REF!</v>
      </c>
      <c r="J124" s="24" t="e">
        <f>#REF!</f>
        <v>#REF!</v>
      </c>
      <c r="K124" s="24" t="e">
        <f>#REF!</f>
        <v>#REF!</v>
      </c>
      <c r="L124" s="24" t="e">
        <f>#REF!</f>
        <v>#REF!</v>
      </c>
      <c r="M124" s="24" t="e">
        <f>#REF!</f>
        <v>#REF!</v>
      </c>
      <c r="N124" s="24" t="e">
        <f>#REF!</f>
        <v>#REF!</v>
      </c>
      <c r="O124" s="24" t="e">
        <f>#REF!</f>
        <v>#REF!</v>
      </c>
      <c r="P124" s="24" t="e">
        <f>#REF!</f>
        <v>#REF!</v>
      </c>
      <c r="Q124" s="24" t="e">
        <f>#REF!</f>
        <v>#REF!</v>
      </c>
      <c r="R124" s="24" t="e">
        <f>#REF!</f>
        <v>#REF!</v>
      </c>
      <c r="S124" s="24" t="e">
        <f>#REF!</f>
        <v>#REF!</v>
      </c>
      <c r="T124" s="24" t="e">
        <f>#REF!</f>
        <v>#REF!</v>
      </c>
      <c r="U124" s="24" t="e">
        <f>#REF!</f>
        <v>#REF!</v>
      </c>
      <c r="V124" s="24" t="e">
        <f>#REF!</f>
        <v>#REF!</v>
      </c>
      <c r="W124" s="24" t="e">
        <f>#REF!</f>
        <v>#REF!</v>
      </c>
      <c r="X124" s="24" t="e">
        <f>#REF!</f>
        <v>#REF!</v>
      </c>
      <c r="Y124" s="24" t="e">
        <f>#REF!</f>
        <v>#REF!</v>
      </c>
      <c r="Z124" s="24" t="e">
        <f>#REF!</f>
        <v>#REF!</v>
      </c>
      <c r="AA124" s="24" t="e">
        <f>#REF!</f>
        <v>#REF!</v>
      </c>
      <c r="AB124" s="24" t="e">
        <f>#REF!</f>
        <v>#REF!</v>
      </c>
      <c r="AC124" s="24" t="e">
        <f>#REF!</f>
        <v>#REF!</v>
      </c>
      <c r="AD124" s="24" t="e">
        <f>#REF!</f>
        <v>#REF!</v>
      </c>
      <c r="AE124" s="24" t="e">
        <f>#REF!</f>
        <v>#REF!</v>
      </c>
      <c r="AF124" s="24" t="e">
        <f>#REF!</f>
        <v>#REF!</v>
      </c>
      <c r="AG124" s="29" t="e">
        <f>SUM(B124:AF124)</f>
        <v>#REF!</v>
      </c>
    </row>
    <row r="155" spans="1:33">
      <c r="A155" s="17"/>
      <c r="B155" s="19" t="s">
        <v>66</v>
      </c>
      <c r="C155" s="18" t="s">
        <v>67</v>
      </c>
      <c r="D155" s="18" t="s">
        <v>68</v>
      </c>
      <c r="E155" s="18" t="s">
        <v>69</v>
      </c>
      <c r="F155" s="18" t="s">
        <v>70</v>
      </c>
      <c r="G155" s="18" t="s">
        <v>71</v>
      </c>
      <c r="H155" s="19" t="s">
        <v>72</v>
      </c>
      <c r="I155" s="19" t="s">
        <v>73</v>
      </c>
      <c r="J155" s="18" t="s">
        <v>74</v>
      </c>
      <c r="K155" s="18" t="s">
        <v>75</v>
      </c>
      <c r="L155" s="18" t="s">
        <v>76</v>
      </c>
      <c r="M155" s="18" t="s">
        <v>77</v>
      </c>
      <c r="N155" s="18" t="s">
        <v>78</v>
      </c>
      <c r="O155" s="19" t="s">
        <v>79</v>
      </c>
      <c r="P155" s="19" t="s">
        <v>80</v>
      </c>
      <c r="Q155" s="18" t="s">
        <v>81</v>
      </c>
      <c r="R155" s="18" t="s">
        <v>82</v>
      </c>
      <c r="S155" s="18" t="s">
        <v>83</v>
      </c>
      <c r="T155" s="18" t="s">
        <v>84</v>
      </c>
      <c r="U155" s="18" t="s">
        <v>85</v>
      </c>
      <c r="V155" s="19" t="s">
        <v>86</v>
      </c>
      <c r="W155" s="19" t="s">
        <v>87</v>
      </c>
      <c r="X155" s="18" t="s">
        <v>88</v>
      </c>
      <c r="Y155" s="18" t="s">
        <v>89</v>
      </c>
      <c r="Z155" s="18" t="s">
        <v>90</v>
      </c>
      <c r="AA155" s="18" t="s">
        <v>91</v>
      </c>
      <c r="AB155" s="18" t="s">
        <v>92</v>
      </c>
      <c r="AC155" s="19" t="s">
        <v>93</v>
      </c>
      <c r="AD155" s="19" t="s">
        <v>94</v>
      </c>
      <c r="AE155" s="18" t="s">
        <v>95</v>
      </c>
      <c r="AF155" s="19" t="s">
        <v>96</v>
      </c>
      <c r="AG155" s="20" t="s">
        <v>97</v>
      </c>
    </row>
    <row r="156" spans="1:33">
      <c r="A156" s="21" t="s">
        <v>23</v>
      </c>
      <c r="B156" s="26" t="e">
        <f>#REF!</f>
        <v>#REF!</v>
      </c>
      <c r="C156" s="26" t="e">
        <f>#REF!</f>
        <v>#REF!</v>
      </c>
      <c r="D156" s="26" t="e">
        <f>#REF!</f>
        <v>#REF!</v>
      </c>
      <c r="E156" s="26" t="e">
        <f>#REF!</f>
        <v>#REF!</v>
      </c>
      <c r="F156" s="26" t="e">
        <f>#REF!</f>
        <v>#REF!</v>
      </c>
      <c r="G156" s="26" t="e">
        <f>#REF!</f>
        <v>#REF!</v>
      </c>
      <c r="H156" s="26" t="e">
        <f>#REF!</f>
        <v>#REF!</v>
      </c>
      <c r="I156" s="26" t="e">
        <f>#REF!</f>
        <v>#REF!</v>
      </c>
      <c r="J156" s="26" t="e">
        <f>#REF!</f>
        <v>#REF!</v>
      </c>
      <c r="K156" s="26" t="e">
        <f>#REF!</f>
        <v>#REF!</v>
      </c>
      <c r="L156" s="26" t="e">
        <f>#REF!</f>
        <v>#REF!</v>
      </c>
      <c r="M156" s="26" t="e">
        <f>#REF!</f>
        <v>#REF!</v>
      </c>
      <c r="N156" s="26" t="e">
        <f>#REF!</f>
        <v>#REF!</v>
      </c>
      <c r="O156" s="26" t="e">
        <f>#REF!</f>
        <v>#REF!</v>
      </c>
      <c r="P156" s="26" t="e">
        <f>#REF!</f>
        <v>#REF!</v>
      </c>
      <c r="Q156" s="26" t="e">
        <f>#REF!</f>
        <v>#REF!</v>
      </c>
      <c r="R156" s="26" t="e">
        <f>#REF!</f>
        <v>#REF!</v>
      </c>
      <c r="S156" s="26" t="e">
        <f>#REF!</f>
        <v>#REF!</v>
      </c>
      <c r="T156" s="26" t="e">
        <f>#REF!</f>
        <v>#REF!</v>
      </c>
      <c r="U156" s="26" t="e">
        <f>#REF!</f>
        <v>#REF!</v>
      </c>
      <c r="V156" s="26" t="e">
        <f>#REF!</f>
        <v>#REF!</v>
      </c>
      <c r="W156" s="26" t="e">
        <f>#REF!</f>
        <v>#REF!</v>
      </c>
      <c r="X156" s="26" t="e">
        <f>#REF!</f>
        <v>#REF!</v>
      </c>
      <c r="Y156" s="26" t="e">
        <f>#REF!</f>
        <v>#REF!</v>
      </c>
      <c r="Z156" s="26" t="e">
        <f>#REF!</f>
        <v>#REF!</v>
      </c>
      <c r="AA156" s="26" t="e">
        <f>#REF!</f>
        <v>#REF!</v>
      </c>
      <c r="AB156" s="26" t="e">
        <f>#REF!</f>
        <v>#REF!</v>
      </c>
      <c r="AC156" s="26" t="e">
        <f>#REF!</f>
        <v>#REF!</v>
      </c>
      <c r="AD156" s="26" t="e">
        <f>#REF!</f>
        <v>#REF!</v>
      </c>
      <c r="AE156" s="26" t="e">
        <f>#REF!</f>
        <v>#REF!</v>
      </c>
      <c r="AF156" s="26" t="e">
        <f>#REF!</f>
        <v>#REF!</v>
      </c>
      <c r="AG156" s="23" t="e">
        <f>SUM(B156:AF156)</f>
        <v>#REF!</v>
      </c>
    </row>
    <row r="157" spans="1:33">
      <c r="A157" s="21" t="s">
        <v>23</v>
      </c>
      <c r="B157" s="24" t="e">
        <f>#REF!</f>
        <v>#REF!</v>
      </c>
      <c r="C157" s="24" t="e">
        <f>#REF!</f>
        <v>#REF!</v>
      </c>
      <c r="D157" s="24" t="e">
        <f>#REF!</f>
        <v>#REF!</v>
      </c>
      <c r="E157" s="24" t="e">
        <f>#REF!</f>
        <v>#REF!</v>
      </c>
      <c r="F157" s="24" t="e">
        <f>#REF!</f>
        <v>#REF!</v>
      </c>
      <c r="G157" s="24" t="e">
        <f>#REF!</f>
        <v>#REF!</v>
      </c>
      <c r="H157" s="24" t="e">
        <f>#REF!</f>
        <v>#REF!</v>
      </c>
      <c r="I157" s="24" t="e">
        <f>#REF!</f>
        <v>#REF!</v>
      </c>
      <c r="J157" s="24" t="e">
        <f>#REF!</f>
        <v>#REF!</v>
      </c>
      <c r="K157" s="24" t="e">
        <f>#REF!</f>
        <v>#REF!</v>
      </c>
      <c r="L157" s="24" t="e">
        <f>#REF!</f>
        <v>#REF!</v>
      </c>
      <c r="M157" s="24" t="e">
        <f>#REF!</f>
        <v>#REF!</v>
      </c>
      <c r="N157" s="24" t="e">
        <f>#REF!</f>
        <v>#REF!</v>
      </c>
      <c r="O157" s="24" t="e">
        <f>#REF!</f>
        <v>#REF!</v>
      </c>
      <c r="P157" s="24" t="e">
        <f>#REF!</f>
        <v>#REF!</v>
      </c>
      <c r="Q157" s="24" t="e">
        <f>#REF!</f>
        <v>#REF!</v>
      </c>
      <c r="R157" s="24" t="e">
        <f>#REF!</f>
        <v>#REF!</v>
      </c>
      <c r="S157" s="24" t="e">
        <f>#REF!</f>
        <v>#REF!</v>
      </c>
      <c r="T157" s="24" t="e">
        <f>#REF!</f>
        <v>#REF!</v>
      </c>
      <c r="U157" s="24" t="e">
        <f>#REF!</f>
        <v>#REF!</v>
      </c>
      <c r="V157" s="24" t="e">
        <f>#REF!</f>
        <v>#REF!</v>
      </c>
      <c r="W157" s="24" t="e">
        <f>#REF!</f>
        <v>#REF!</v>
      </c>
      <c r="X157" s="24" t="e">
        <f>#REF!</f>
        <v>#REF!</v>
      </c>
      <c r="Y157" s="24" t="e">
        <f>#REF!</f>
        <v>#REF!</v>
      </c>
      <c r="Z157" s="24" t="e">
        <f>#REF!</f>
        <v>#REF!</v>
      </c>
      <c r="AA157" s="24" t="e">
        <f>#REF!</f>
        <v>#REF!</v>
      </c>
      <c r="AB157" s="24" t="e">
        <f>#REF!</f>
        <v>#REF!</v>
      </c>
      <c r="AC157" s="24" t="e">
        <f>#REF!</f>
        <v>#REF!</v>
      </c>
      <c r="AD157" s="24" t="e">
        <f>#REF!</f>
        <v>#REF!</v>
      </c>
      <c r="AE157" s="24" t="e">
        <f>#REF!</f>
        <v>#REF!</v>
      </c>
      <c r="AF157" s="24" t="e">
        <f>#REF!</f>
        <v>#REF!</v>
      </c>
      <c r="AG157" s="25" t="e">
        <f>SUM(B157:AF157)</f>
        <v>#REF!</v>
      </c>
    </row>
  </sheetData>
  <dataValidations count="1">
    <dataValidation type="list" allowBlank="1" showInputMessage="1" showErrorMessage="1" sqref="B1">
      <formula1>'0'!$D$1:$D$16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I23"/>
  <sheetViews>
    <sheetView workbookViewId="0">
      <selection activeCell="G21" sqref="G21"/>
    </sheetView>
  </sheetViews>
  <sheetFormatPr defaultRowHeight="14.4"/>
  <cols>
    <col min="9" max="9" width="67.88671875" customWidth="1"/>
  </cols>
  <sheetData>
    <row r="1" spans="1:9">
      <c r="B1">
        <v>5</v>
      </c>
      <c r="C1">
        <v>28</v>
      </c>
      <c r="E1">
        <v>1</v>
      </c>
    </row>
    <row r="3" spans="1:9" ht="17.399999999999999">
      <c r="I3" s="129" t="s">
        <v>166</v>
      </c>
    </row>
    <row r="4" spans="1:9" ht="17.399999999999999">
      <c r="I4" s="129" t="s">
        <v>167</v>
      </c>
    </row>
    <row r="5" spans="1:9" s="85" customFormat="1">
      <c r="B5" s="85" t="e">
        <f ca="1">INDIRECT(ADDRESS(OFFSET('0'!B113,(B1-1)*10,C1-1)+1,E1+4,4,TRUE,OFFSET('0'!B1,B1-1,0)))</f>
        <v>#REF!</v>
      </c>
      <c r="D5" s="85" t="e">
        <f ca="1">INDIRECT(ADDRESS(OFFSET('0'!$B$113,($B$1-1)*10,$C$1-1)+1,$E$1+4,4,TRUE,OFFSET('0'!$B$1,$B$1-1,0)))</f>
        <v>#REF!</v>
      </c>
      <c r="I5" s="130" t="e">
        <f ca="1">CONCATENATE(I3,TEXT(Dinamika!AI13,"### ##0,0"),I4)</f>
        <v>#REF!</v>
      </c>
    </row>
    <row r="7" spans="1:9" ht="28.2" customHeight="1">
      <c r="B7" t="str">
        <f ca="1">OFFSET('0'!B1,B1-1,0)</f>
        <v>Gegužė</v>
      </c>
      <c r="D7" t="str">
        <f ca="1">ADDRESS(112,4,4,TRUE,OFFSET('0'!B1,B1-1,0))</f>
        <v>Gegužė!D112</v>
      </c>
      <c r="F7" t="str">
        <f ca="1">OFFSET('0'!B112,0,1)</f>
        <v>--</v>
      </c>
    </row>
    <row r="8" spans="1:9" ht="17.399999999999999">
      <c r="A8" s="85">
        <f>ROW(A8)</f>
        <v>8</v>
      </c>
      <c r="I8" s="156" t="s">
        <v>172</v>
      </c>
    </row>
    <row r="9" spans="1:9" ht="17.399999999999999">
      <c r="I9" s="156" t="s">
        <v>173</v>
      </c>
    </row>
    <row r="10" spans="1:9">
      <c r="B10" t="e">
        <f ca="1">OFFSET('0'!B113,(B1-1)*10,C1)</f>
        <v>#REF!</v>
      </c>
      <c r="D10" t="str">
        <f ca="1">OFFSET('0'!B1,B1-1,0)</f>
        <v>Gegužė</v>
      </c>
    </row>
    <row r="11" spans="1:9">
      <c r="C11">
        <v>1</v>
      </c>
      <c r="I11" t="s">
        <v>174</v>
      </c>
    </row>
    <row r="12" spans="1:9">
      <c r="B12" s="109"/>
      <c r="C12" s="109"/>
      <c r="D12" s="109" t="e">
        <f ca="1" xml:space="preserve">
                               OFFSET('0'!$B$112,
                                          1,
                                           -1)</f>
        <v>#REF!</v>
      </c>
      <c r="F12" t="e">
        <f ca="1" xml:space="preserve">
                ADDRESS(
                               OFFSET('0'!$B$112,
                                           COLUMN($D11)-3,
                                           -1),
                              4,4,TRUE,
                              OFFSET('0'!$B$1,COLUMN($D11)-4,0))</f>
        <v>#REF!</v>
      </c>
      <c r="I12" s="85" t="s">
        <v>175</v>
      </c>
    </row>
    <row r="14" spans="1:9">
      <c r="D14" t="e">
        <f ca="1">OFFSET('0'!$B$112,
                                            (COLUMN(D11)-4)*10+1,
                                           -1)</f>
        <v>#REF!</v>
      </c>
    </row>
    <row r="16" spans="1:9">
      <c r="I16" s="85" t="e">
        <f ca="1">CONCATENATE(I11,Dinamika!$B$1," m. ",
                          OFFSET('0'!A1,Dinamika!$C$11-1,0)," ",
                          DAY(DATE(Dinamika!B1,Dinamika!$C$11+1,1)-1),I12,B10,")")</f>
        <v>#REF!</v>
      </c>
    </row>
    <row r="17" spans="4:9">
      <c r="D17" s="109" t="e">
        <f ca="1">ADDRESS(OFFSET('0'!B$113,($C$11-1)*10,COLUMN(D17)-4),2,4,TRUE,OFFSET('0'!$B$1,$C$11-1,0))</f>
        <v>#REF!</v>
      </c>
      <c r="E17" t="e">
        <f ca="1">ADDRESS(OFFSET('0'!$B$113,($C$11-1)*10,COLUMN(E$1)-4)+1,4,4,TRUE,OFFSET('0'!$B$1,$C$11-1,0))</f>
        <v>#REF!</v>
      </c>
    </row>
    <row r="19" spans="4:9">
      <c r="E19" s="165"/>
      <c r="F19" s="165"/>
    </row>
    <row r="20" spans="4:9">
      <c r="E20" s="170"/>
      <c r="F20" s="165"/>
    </row>
    <row r="22" spans="4:9">
      <c r="D22" s="85"/>
      <c r="G22" s="85"/>
    </row>
    <row r="23" spans="4:9">
      <c r="I23" s="34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AI209"/>
  <sheetViews>
    <sheetView zoomScale="110" zoomScaleNormal="110" workbookViewId="0">
      <pane ySplit="1" topLeftCell="A3" activePane="bottomLeft" state="frozen"/>
      <selection pane="bottomLeft" activeCell="C17" sqref="C17"/>
    </sheetView>
  </sheetViews>
  <sheetFormatPr defaultColWidth="15.109375" defaultRowHeight="14.4"/>
  <cols>
    <col min="1" max="1" width="7.44140625" style="86" customWidth="1"/>
    <col min="2" max="2" width="8.5546875" style="86" customWidth="1"/>
    <col min="3" max="4" width="11.5546875" style="86" customWidth="1"/>
    <col min="5" max="5" width="7.88671875" style="86" customWidth="1"/>
    <col min="6" max="6" width="8.5546875" style="86" customWidth="1"/>
    <col min="7" max="7" width="7.88671875" style="86" customWidth="1"/>
    <col min="8" max="8" width="10.33203125" style="86" customWidth="1"/>
    <col min="9" max="9" width="9.109375" style="86" customWidth="1"/>
    <col min="10" max="10" width="9" style="86" customWidth="1"/>
    <col min="11" max="11" width="7.88671875" style="86" customWidth="1"/>
    <col min="12" max="12" width="8.44140625" style="86" customWidth="1"/>
    <col min="13" max="14" width="7.88671875" style="86" customWidth="1"/>
    <col min="15" max="15" width="8.5546875" style="86" customWidth="1"/>
    <col min="16" max="16" width="9.109375" style="86" customWidth="1"/>
    <col min="17" max="17" width="11.5546875" style="86" customWidth="1"/>
    <col min="18" max="18" width="8.88671875" style="86" customWidth="1"/>
    <col min="19" max="19" width="7.88671875" style="86" customWidth="1"/>
    <col min="20" max="21" width="9" style="86" customWidth="1"/>
    <col min="22" max="22" width="11.5546875" style="86" customWidth="1"/>
    <col min="23" max="25" width="8.6640625" style="86" customWidth="1"/>
    <col min="26" max="26" width="8.5546875" style="86" customWidth="1"/>
    <col min="27" max="27" width="8.44140625" style="86" customWidth="1"/>
    <col min="28" max="29" width="11.5546875" style="86" customWidth="1"/>
    <col min="30" max="30" width="8.44140625" style="86" customWidth="1"/>
    <col min="31" max="31" width="9" style="86" customWidth="1"/>
    <col min="32" max="32" width="11.5546875" style="86" customWidth="1"/>
    <col min="33" max="33" width="10.33203125" style="86" customWidth="1"/>
    <col min="34" max="16384" width="15.109375" style="85"/>
  </cols>
  <sheetData>
    <row r="1" spans="1:35" ht="40.200000000000003" customHeight="1">
      <c r="A1" s="86" t="s">
        <v>126</v>
      </c>
      <c r="B1" s="134">
        <v>2026</v>
      </c>
      <c r="C1" s="86" t="s">
        <v>170</v>
      </c>
      <c r="D1" s="169" t="s">
        <v>18</v>
      </c>
      <c r="F1" s="132" t="s">
        <v>169</v>
      </c>
      <c r="G1" s="48"/>
      <c r="H1" s="48"/>
      <c r="I1" s="133" t="str">
        <f ca="1">CONCATENATE(ADDRESS(12,4,,,MID(CELL("filename",A1),FIND("]",CELL("filename",A1))+1,255)),":",ADDRESS(12,DAY(EOMONTH(DATE($B$1,$C$11,1),0))+3))</f>
        <v>Dinamika!$D$12:$AH$12</v>
      </c>
    </row>
    <row r="2" spans="1:35" ht="38.4" customHeight="1">
      <c r="F2" s="48" t="s">
        <v>168</v>
      </c>
      <c r="G2" s="48"/>
      <c r="H2" s="48"/>
      <c r="I2" s="133" t="str">
        <f ca="1">CONCATENATE(ADDRESS(14,4,,,MID(CELL("filename",A2),FIND("]",CELL("filename",A2))+1,255)),":",ADDRESS(14,DAY(EOMONTH(DATE($B$1,$C$11,1),0))+3))</f>
        <v>Dinamika!$D$14:$AH$14</v>
      </c>
    </row>
    <row r="3" spans="1:35" ht="3" customHeight="1"/>
    <row r="4" spans="1:35" hidden="1"/>
    <row r="5" spans="1:35" hidden="1"/>
    <row r="6" spans="1:35" hidden="1"/>
    <row r="7" spans="1:35" hidden="1"/>
    <row r="8" spans="1:35" hidden="1"/>
    <row r="9" spans="1:35" hidden="1"/>
    <row r="10" spans="1:35">
      <c r="D10" s="48" t="str">
        <f ca="1">OFFSET('0'!$B$112,($C11-1)*10,COLUMN(D10)-4)</f>
        <v>SV</v>
      </c>
      <c r="E10" s="48" t="str">
        <f ca="1">OFFSET('0'!$B$112,($C11-1)*10,COLUMN(E10)-4)</f>
        <v>--</v>
      </c>
      <c r="F10" s="48" t="str">
        <f ca="1">OFFSET('0'!$B$112,($C11-1)*10,COLUMN(F10)-4)</f>
        <v>SS</v>
      </c>
      <c r="G10" s="48" t="str">
        <f ca="1">OFFSET('0'!$B$112,($C11-1)*10,COLUMN(G10)-4)</f>
        <v>SK</v>
      </c>
      <c r="H10" s="48" t="str">
        <f ca="1">OFFSET('0'!$B$112,($C11-1)*10,COLUMN(H10)-4)</f>
        <v>--</v>
      </c>
      <c r="I10" s="48" t="str">
        <f ca="1">OFFSET('0'!$B$112,($C11-1)*10,COLUMN(I10)-4)</f>
        <v>--</v>
      </c>
      <c r="J10" s="48" t="str">
        <f ca="1">OFFSET('0'!$B$112,($C11-1)*10,COLUMN(J10)-4)</f>
        <v>--</v>
      </c>
      <c r="K10" s="48" t="str">
        <f ca="1">OFFSET('0'!$B$112,($C11-1)*10,COLUMN(K10)-4)</f>
        <v>--</v>
      </c>
      <c r="L10" s="48" t="str">
        <f ca="1">OFFSET('0'!$B$112,($C11-1)*10,COLUMN(L10)-4)</f>
        <v>--</v>
      </c>
      <c r="M10" s="48" t="str">
        <f ca="1">OFFSET('0'!$B$112,($C11-1)*10,COLUMN(M10)-4)</f>
        <v>SS</v>
      </c>
      <c r="N10" s="48" t="str">
        <f ca="1">OFFSET('0'!$B$112,($C11-1)*10,COLUMN(N10)-4)</f>
        <v>SK</v>
      </c>
      <c r="O10" s="48" t="str">
        <f ca="1">OFFSET('0'!$B$112,($C11-1)*10,COLUMN(O10)-4)</f>
        <v>--</v>
      </c>
      <c r="P10" s="48" t="str">
        <f ca="1">OFFSET('0'!$B$112,($C11-1)*10,COLUMN(P10)-4)</f>
        <v>--</v>
      </c>
      <c r="Q10" s="48" t="str">
        <f ca="1">OFFSET('0'!$B$112,($C11-1)*10,COLUMN(Q10)-4)</f>
        <v>--</v>
      </c>
      <c r="R10" s="48" t="str">
        <f ca="1">OFFSET('0'!$B$112,($C11-1)*10,COLUMN(R10)-4)</f>
        <v>--</v>
      </c>
      <c r="S10" s="48" t="str">
        <f ca="1">OFFSET('0'!$B$112,($C11-1)*10,COLUMN(S10)-4)</f>
        <v>--</v>
      </c>
      <c r="T10" s="48" t="str">
        <f ca="1">OFFSET('0'!$B$112,($C11-1)*10,COLUMN(T10)-4)</f>
        <v>SS</v>
      </c>
      <c r="U10" s="48" t="str">
        <f ca="1">OFFSET('0'!$B$112,($C11-1)*10,COLUMN(U10)-4)</f>
        <v>SK</v>
      </c>
      <c r="V10" s="48" t="str">
        <f ca="1">OFFSET('0'!$B$112,($C11-1)*10,COLUMN(V10)-4)</f>
        <v>--</v>
      </c>
      <c r="W10" s="48" t="str">
        <f ca="1">OFFSET('0'!$B$112,($C11-1)*10,COLUMN(W10)-4)</f>
        <v>--</v>
      </c>
      <c r="X10" s="48" t="str">
        <f ca="1">OFFSET('0'!$B$112,($C11-1)*10,COLUMN(X10)-4)</f>
        <v>--</v>
      </c>
      <c r="Y10" s="48" t="str">
        <f ca="1">OFFSET('0'!$B$112,($C11-1)*10,COLUMN(Y10)-4)</f>
        <v>--</v>
      </c>
      <c r="Z10" s="48" t="str">
        <f ca="1">OFFSET('0'!$B$112,($C11-1)*10,COLUMN(Z10)-4)</f>
        <v>--</v>
      </c>
      <c r="AA10" s="48" t="str">
        <f ca="1">OFFSET('0'!$B$112,($C11-1)*10,COLUMN(AA10)-4)</f>
        <v>SS</v>
      </c>
      <c r="AB10" s="48" t="str">
        <f ca="1">OFFSET('0'!$B$112,($C11-1)*10,COLUMN(AB10)-4)</f>
        <v>SK</v>
      </c>
      <c r="AC10" s="48" t="str">
        <f ca="1">OFFSET('0'!$B$112,($C11-1)*10,COLUMN(AC10)-4)</f>
        <v>--</v>
      </c>
      <c r="AD10" s="48" t="str">
        <f ca="1">OFFSET('0'!$B$112,($C11-1)*10,COLUMN(AD10)-4)</f>
        <v>--</v>
      </c>
      <c r="AE10" s="48" t="str">
        <f ca="1">OFFSET('0'!$B$112,($C11-1)*10,COLUMN(AE10)-4)</f>
        <v>--</v>
      </c>
      <c r="AF10" s="48" t="str">
        <f ca="1">OFFSET('0'!$B$112,($C11-1)*10,COLUMN(AF10)-4)</f>
        <v>--</v>
      </c>
      <c r="AG10" s="48" t="str">
        <f ca="1">OFFSET('0'!$B$112,($C11-1)*10,COLUMN(AG10)-4)</f>
        <v>--</v>
      </c>
      <c r="AH10" s="48" t="str">
        <f ca="1">OFFSET('0'!$B$112,($C11-1)*10,COLUMN(AH10)-4)</f>
        <v>SS</v>
      </c>
    </row>
    <row r="11" spans="1:35">
      <c r="A11" s="115"/>
      <c r="B11" s="116"/>
      <c r="C11" s="143">
        <f>MATCH($D$1,'0'!$B$1:$B$12,0)</f>
        <v>1</v>
      </c>
      <c r="D11" s="41" t="str">
        <f>CONCATENATE(COLUMN(D11)-3," d.")</f>
        <v>1 d.</v>
      </c>
      <c r="E11" s="168" t="str">
        <f t="shared" ref="E11:AE11" si="0">CONCATENATE(COLUMN(E11)-3," d.")</f>
        <v>2 d.</v>
      </c>
      <c r="F11" s="41" t="str">
        <f t="shared" si="0"/>
        <v>3 d.</v>
      </c>
      <c r="G11" s="41" t="str">
        <f t="shared" si="0"/>
        <v>4 d.</v>
      </c>
      <c r="H11" s="41" t="str">
        <f t="shared" si="0"/>
        <v>5 d.</v>
      </c>
      <c r="I11" s="41" t="str">
        <f t="shared" si="0"/>
        <v>6 d.</v>
      </c>
      <c r="J11" s="41" t="str">
        <f t="shared" si="0"/>
        <v>7 d.</v>
      </c>
      <c r="K11" s="41" t="str">
        <f t="shared" si="0"/>
        <v>8 d.</v>
      </c>
      <c r="L11" s="41" t="str">
        <f t="shared" si="0"/>
        <v>9 d.</v>
      </c>
      <c r="M11" s="41" t="str">
        <f t="shared" si="0"/>
        <v>10 d.</v>
      </c>
      <c r="N11" s="41" t="str">
        <f t="shared" si="0"/>
        <v>11 d.</v>
      </c>
      <c r="O11" s="41" t="str">
        <f t="shared" si="0"/>
        <v>12 d.</v>
      </c>
      <c r="P11" s="41" t="str">
        <f t="shared" si="0"/>
        <v>13 d.</v>
      </c>
      <c r="Q11" s="41" t="str">
        <f t="shared" si="0"/>
        <v>14 d.</v>
      </c>
      <c r="R11" s="41" t="str">
        <f t="shared" si="0"/>
        <v>15 d.</v>
      </c>
      <c r="S11" s="41" t="str">
        <f t="shared" si="0"/>
        <v>16 d.</v>
      </c>
      <c r="T11" s="41" t="str">
        <f t="shared" si="0"/>
        <v>17 d.</v>
      </c>
      <c r="U11" s="41" t="str">
        <f t="shared" si="0"/>
        <v>18 d.</v>
      </c>
      <c r="V11" s="41" t="str">
        <f t="shared" si="0"/>
        <v>19 d.</v>
      </c>
      <c r="W11" s="41" t="str">
        <f t="shared" si="0"/>
        <v>20 d.</v>
      </c>
      <c r="X11" s="41" t="str">
        <f t="shared" si="0"/>
        <v>21 d.</v>
      </c>
      <c r="Y11" s="41" t="str">
        <f t="shared" si="0"/>
        <v>22 d.</v>
      </c>
      <c r="Z11" s="41" t="str">
        <f t="shared" si="0"/>
        <v>23 d.</v>
      </c>
      <c r="AA11" s="41" t="str">
        <f t="shared" si="0"/>
        <v>24 d.</v>
      </c>
      <c r="AB11" s="41" t="str">
        <f t="shared" si="0"/>
        <v>25 d.</v>
      </c>
      <c r="AC11" s="41" t="str">
        <f t="shared" si="0"/>
        <v>26 d.</v>
      </c>
      <c r="AD11" s="41" t="str">
        <f t="shared" si="0"/>
        <v>27 d.</v>
      </c>
      <c r="AE11" s="41" t="str">
        <f t="shared" si="0"/>
        <v>28 d.</v>
      </c>
      <c r="AF11" s="41" t="str">
        <f ca="1">IF(AF10&lt;&gt;"XX",CONCATENATE(COLUMN(AF11)-3," d."),"")</f>
        <v>29 d.</v>
      </c>
      <c r="AG11" s="41" t="str">
        <f ca="1">IF(AG10&lt;&gt;"XX",CONCATENATE(COLUMN(AG11)-3," d."),"")</f>
        <v>30 d.</v>
      </c>
      <c r="AH11" s="41" t="str">
        <f ca="1">IF(AH10&lt;&gt;"XX",CONCATENATE(COLUMN(AH11)-3," d."),"")</f>
        <v>31 d.</v>
      </c>
      <c r="AI11" s="20" t="s">
        <v>97</v>
      </c>
    </row>
    <row r="12" spans="1:35">
      <c r="A12" s="115" t="s">
        <v>160</v>
      </c>
      <c r="B12" s="117"/>
      <c r="C12" s="21" t="str">
        <f ca="1">OFFSET('0'!$B$1,$C11-1,0)</f>
        <v>Sausis</v>
      </c>
      <c r="D12" s="122" t="e">
        <f ca="1">INDIRECT(ADDRESS(OFFSET('0'!$B$113,($C$11-1)*10,COLUMN(D11)-4)+1,4,4,TRUE,OFFSET('0'!$B$1,$C$11-1,0)))</f>
        <v>#REF!</v>
      </c>
      <c r="E12" s="122" t="e">
        <f ca="1">INDIRECT(ADDRESS(OFFSET('0'!$B$113,($C$11-1)*10,COLUMN(E11)-4)+1,4,4,TRUE,OFFSET('0'!$B$1,$C$11-1,0)))</f>
        <v>#REF!</v>
      </c>
      <c r="F12" s="122" t="e">
        <f ca="1">INDIRECT(ADDRESS(OFFSET('0'!$B$113,($C$11-1)*10,COLUMN(F11)-4)+1,4,4,TRUE,OFFSET('0'!$B$1,$C$11-1,0)))</f>
        <v>#REF!</v>
      </c>
      <c r="G12" s="122" t="e">
        <f ca="1">INDIRECT(ADDRESS(OFFSET('0'!$B$113,($C$11-1)*10,COLUMN(G11)-4)+1,4,4,TRUE,OFFSET('0'!$B$1,$C$11-1,0)))</f>
        <v>#REF!</v>
      </c>
      <c r="H12" s="122" t="e">
        <f ca="1">INDIRECT(ADDRESS(OFFSET('0'!$B$113,($C$11-1)*10,COLUMN(H11)-4)+1,4,4,TRUE,OFFSET('0'!$B$1,$C$11-1,0)))</f>
        <v>#REF!</v>
      </c>
      <c r="I12" s="122" t="e">
        <f ca="1">INDIRECT(ADDRESS(OFFSET('0'!$B$113,($C$11-1)*10,COLUMN(I11)-4)+1,4,4,TRUE,OFFSET('0'!$B$1,$C$11-1,0)))</f>
        <v>#REF!</v>
      </c>
      <c r="J12" s="122" t="e">
        <f ca="1">INDIRECT(ADDRESS(OFFSET('0'!$B$113,($C$11-1)*10,COLUMN(J11)-4)+1,4,4,TRUE,OFFSET('0'!$B$1,$C$11-1,0)))</f>
        <v>#REF!</v>
      </c>
      <c r="K12" s="122" t="e">
        <f ca="1">INDIRECT(ADDRESS(OFFSET('0'!$B$113,($C$11-1)*10,COLUMN(K11)-4)+1,4,4,TRUE,OFFSET('0'!$B$1,$C$11-1,0)))</f>
        <v>#REF!</v>
      </c>
      <c r="L12" s="122" t="e">
        <f ca="1">INDIRECT(ADDRESS(OFFSET('0'!$B$113,($C$11-1)*10,COLUMN(L11)-4)+1,4,4,TRUE,OFFSET('0'!$B$1,$C$11-1,0)))</f>
        <v>#REF!</v>
      </c>
      <c r="M12" s="122" t="e">
        <f ca="1">INDIRECT(ADDRESS(OFFSET('0'!$B$113,($C$11-1)*10,COLUMN(M11)-4)+1,4,4,TRUE,OFFSET('0'!$B$1,$C$11-1,0)))</f>
        <v>#REF!</v>
      </c>
      <c r="N12" s="122" t="e">
        <f ca="1">INDIRECT(ADDRESS(OFFSET('0'!$B$113,($C$11-1)*10,COLUMN(N11)-4)+1,4,4,TRUE,OFFSET('0'!$B$1,$C$11-1,0)))</f>
        <v>#REF!</v>
      </c>
      <c r="O12" s="122" t="e">
        <f ca="1">INDIRECT(ADDRESS(OFFSET('0'!$B$113,($C$11-1)*10,COLUMN(O11)-4)+1,4,4,TRUE,OFFSET('0'!$B$1,$C$11-1,0)))</f>
        <v>#REF!</v>
      </c>
      <c r="P12" s="122" t="e">
        <f ca="1">INDIRECT(ADDRESS(OFFSET('0'!$B$113,($C$11-1)*10,COLUMN(P11)-4)+1,4,4,TRUE,OFFSET('0'!$B$1,$C$11-1,0)))</f>
        <v>#REF!</v>
      </c>
      <c r="Q12" s="122" t="e">
        <f ca="1">INDIRECT(ADDRESS(OFFSET('0'!$B$113,($C$11-1)*10,COLUMN(Q11)-4)+1,4,4,TRUE,OFFSET('0'!$B$1,$C$11-1,0)))</f>
        <v>#REF!</v>
      </c>
      <c r="R12" s="122" t="e">
        <f ca="1">INDIRECT(ADDRESS(OFFSET('0'!$B$113,($C$11-1)*10,COLUMN(R11)-4)+1,4,4,TRUE,OFFSET('0'!$B$1,$C$11-1,0)))</f>
        <v>#REF!</v>
      </c>
      <c r="S12" s="122" t="e">
        <f ca="1">INDIRECT(ADDRESS(OFFSET('0'!$B$113,($C$11-1)*10,COLUMN(S11)-4)+1,4,4,TRUE,OFFSET('0'!$B$1,$C$11-1,0)))</f>
        <v>#REF!</v>
      </c>
      <c r="T12" s="122" t="e">
        <f ca="1">INDIRECT(ADDRESS(OFFSET('0'!$B$113,($C$11-1)*10,COLUMN(T11)-4)+1,4,4,TRUE,OFFSET('0'!$B$1,$C$11-1,0)))</f>
        <v>#REF!</v>
      </c>
      <c r="U12" s="122" t="e">
        <f ca="1">INDIRECT(ADDRESS(OFFSET('0'!$B$113,($C$11-1)*10,COLUMN(U11)-4)+1,4,4,TRUE,OFFSET('0'!$B$1,$C$11-1,0)))</f>
        <v>#REF!</v>
      </c>
      <c r="V12" s="122" t="e">
        <f ca="1">INDIRECT(ADDRESS(OFFSET('0'!$B$113,($C$11-1)*10,COLUMN(V11)-4)+1,4,4,TRUE,OFFSET('0'!$B$1,$C$11-1,0)))</f>
        <v>#REF!</v>
      </c>
      <c r="W12" s="122" t="e">
        <f ca="1">INDIRECT(ADDRESS(OFFSET('0'!$B$113,($C$11-1)*10,COLUMN(W11)-4)+1,4,4,TRUE,OFFSET('0'!$B$1,$C$11-1,0)))</f>
        <v>#REF!</v>
      </c>
      <c r="X12" s="122" t="e">
        <f ca="1">INDIRECT(ADDRESS(OFFSET('0'!$B$113,($C$11-1)*10,COLUMN(X11)-4)+1,4,4,TRUE,OFFSET('0'!$B$1,$C$11-1,0)))</f>
        <v>#REF!</v>
      </c>
      <c r="Y12" s="122" t="e">
        <f ca="1">INDIRECT(ADDRESS(OFFSET('0'!$B$113,($C$11-1)*10,COLUMN(Y11)-4)+1,4,4,TRUE,OFFSET('0'!$B$1,$C$11-1,0)))</f>
        <v>#REF!</v>
      </c>
      <c r="Z12" s="122" t="e">
        <f ca="1">INDIRECT(ADDRESS(OFFSET('0'!$B$113,($C$11-1)*10,COLUMN(Z11)-4)+1,4,4,TRUE,OFFSET('0'!$B$1,$C$11-1,0)))</f>
        <v>#REF!</v>
      </c>
      <c r="AA12" s="122" t="e">
        <f ca="1">INDIRECT(ADDRESS(OFFSET('0'!$B$113,($C$11-1)*10,COLUMN(AA11)-4)+1,4,4,TRUE,OFFSET('0'!$B$1,$C$11-1,0)))</f>
        <v>#REF!</v>
      </c>
      <c r="AB12" s="122" t="e">
        <f ca="1">INDIRECT(ADDRESS(OFFSET('0'!$B$113,($C$11-1)*10,COLUMN(AB11)-4)+1,4,4,TRUE,OFFSET('0'!$B$1,$C$11-1,0)))</f>
        <v>#REF!</v>
      </c>
      <c r="AC12" s="122" t="e">
        <f ca="1">INDIRECT(ADDRESS(OFFSET('0'!$B$113,($C$11-1)*10,COLUMN(AC11)-4)+1,4,4,TRUE,OFFSET('0'!$B$1,$C$11-1,0)))</f>
        <v>#REF!</v>
      </c>
      <c r="AD12" s="122" t="e">
        <f ca="1">INDIRECT(ADDRESS(OFFSET('0'!$B$113,($C$11-1)*10,COLUMN(AD11)-4)+1,4,4,TRUE,OFFSET('0'!$B$1,$C$11-1,0)))</f>
        <v>#REF!</v>
      </c>
      <c r="AE12" s="122" t="e">
        <f ca="1">INDIRECT(ADDRESS(OFFSET('0'!$B$113,($C$11-1)*10,COLUMN(AE11)-4)+1,4,4,TRUE,OFFSET('0'!$B$1,$C$11-1,0)))</f>
        <v>#REF!</v>
      </c>
      <c r="AF12" s="122" t="e">
        <f ca="1">INDIRECT(ADDRESS(OFFSET('0'!$B$113,($C$11-1)*10,COLUMN(AF11)-4)+1,4,4,TRUE,OFFSET('0'!$B$1,$C$11-1,0)))</f>
        <v>#REF!</v>
      </c>
      <c r="AG12" s="122" t="e">
        <f ca="1">INDIRECT(ADDRESS(OFFSET('0'!$B$113,($C$11-1)*10,COLUMN(AG11)-4)+1,4,4,TRUE,OFFSET('0'!$B$1,$C$11-1,0)))</f>
        <v>#REF!</v>
      </c>
      <c r="AH12" s="122" t="e">
        <f ca="1">INDIRECT(ADDRESS(OFFSET('0'!$B$113,($C$11-1)*10,COLUMN(AH11)-4)+1,4,4,TRUE,OFFSET('0'!$B$1,$C$11-1,0)))</f>
        <v>#REF!</v>
      </c>
      <c r="AI12" s="25" t="e">
        <f ca="1">SUM(D12:AH12)</f>
        <v>#REF!</v>
      </c>
    </row>
    <row r="13" spans="1:35">
      <c r="A13" s="115" t="s">
        <v>161</v>
      </c>
      <c r="B13" s="117"/>
      <c r="C13" s="21" t="str">
        <f ca="1">OFFSET('0'!$B$1,$C11-1,0)</f>
        <v>Sausis</v>
      </c>
      <c r="D13" s="118" t="e">
        <f ca="1">INDIRECT(ADDRESS(OFFSET('0'!$B$113,($C$11-1)*10,COLUMN(D11)-4)+1,12,4,TRUE,OFFSET('0'!$B$1,$C$11-1,0)))</f>
        <v>#REF!</v>
      </c>
      <c r="E13" s="118" t="e">
        <f ca="1">INDIRECT(ADDRESS(OFFSET('0'!$B$113,($C$11-1)*10,COLUMN(E11)-4)+1,12,4,TRUE,OFFSET('0'!$B$1,$C$11-1,0)))</f>
        <v>#REF!</v>
      </c>
      <c r="F13" s="118" t="e">
        <f ca="1">INDIRECT(ADDRESS(OFFSET('0'!$B$113,($C$11-1)*10,COLUMN(F11)-4)+1,12,4,TRUE,OFFSET('0'!$B$1,$C$11-1,0)))</f>
        <v>#REF!</v>
      </c>
      <c r="G13" s="118" t="e">
        <f ca="1">INDIRECT(ADDRESS(OFFSET('0'!$B$113,($C$11-1)*10,COLUMN(G11)-4)+1,12,4,TRUE,OFFSET('0'!$B$1,$C$11-1,0)))</f>
        <v>#REF!</v>
      </c>
      <c r="H13" s="118" t="e">
        <f ca="1">INDIRECT(ADDRESS(OFFSET('0'!$B$113,($C$11-1)*10,COLUMN(H11)-4)+1,12,4,TRUE,OFFSET('0'!$B$1,$C$11-1,0)))</f>
        <v>#REF!</v>
      </c>
      <c r="I13" s="118" t="e">
        <f ca="1">INDIRECT(ADDRESS(OFFSET('0'!$B$113,($C$11-1)*10,COLUMN(I11)-4)+1,12,4,TRUE,OFFSET('0'!$B$1,$C$11-1,0)))</f>
        <v>#REF!</v>
      </c>
      <c r="J13" s="118" t="e">
        <f ca="1">INDIRECT(ADDRESS(OFFSET('0'!$B$113,($C$11-1)*10,COLUMN(J11)-4)+1,12,4,TRUE,OFFSET('0'!$B$1,$C$11-1,0)))</f>
        <v>#REF!</v>
      </c>
      <c r="K13" s="118" t="e">
        <f ca="1">INDIRECT(ADDRESS(OFFSET('0'!$B$113,($C$11-1)*10,COLUMN(K11)-4)+1,12,4,TRUE,OFFSET('0'!$B$1,$C$11-1,0)))</f>
        <v>#REF!</v>
      </c>
      <c r="L13" s="118" t="e">
        <f ca="1">INDIRECT(ADDRESS(OFFSET('0'!$B$113,($C$11-1)*10,COLUMN(L11)-4)+1,12,4,TRUE,OFFSET('0'!$B$1,$C$11-1,0)))</f>
        <v>#REF!</v>
      </c>
      <c r="M13" s="118" t="e">
        <f ca="1">INDIRECT(ADDRESS(OFFSET('0'!$B$113,($C$11-1)*10,COLUMN(M11)-4)+1,12,4,TRUE,OFFSET('0'!$B$1,$C$11-1,0)))</f>
        <v>#REF!</v>
      </c>
      <c r="N13" s="118" t="e">
        <f ca="1">INDIRECT(ADDRESS(OFFSET('0'!$B$113,($C$11-1)*10,COLUMN(N11)-4)+1,12,4,TRUE,OFFSET('0'!$B$1,$C$11-1,0)))</f>
        <v>#REF!</v>
      </c>
      <c r="O13" s="118" t="e">
        <f ca="1">INDIRECT(ADDRESS(OFFSET('0'!$B$113,($C$11-1)*10,COLUMN(O11)-4)+1,12,4,TRUE,OFFSET('0'!$B$1,$C$11-1,0)))</f>
        <v>#REF!</v>
      </c>
      <c r="P13" s="118" t="e">
        <f ca="1">INDIRECT(ADDRESS(OFFSET('0'!$B$113,($C$11-1)*10,COLUMN(P11)-4)+1,12,4,TRUE,OFFSET('0'!$B$1,$C$11-1,0)))</f>
        <v>#REF!</v>
      </c>
      <c r="Q13" s="118" t="e">
        <f ca="1">INDIRECT(ADDRESS(OFFSET('0'!$B$113,($C$11-1)*10,COLUMN(Q11)-4)+1,12,4,TRUE,OFFSET('0'!$B$1,$C$11-1,0)))</f>
        <v>#REF!</v>
      </c>
      <c r="R13" s="118" t="e">
        <f ca="1">INDIRECT(ADDRESS(OFFSET('0'!$B$113,($C$11-1)*10,COLUMN(R11)-4)+1,12,4,TRUE,OFFSET('0'!$B$1,$C$11-1,0)))</f>
        <v>#REF!</v>
      </c>
      <c r="S13" s="118" t="e">
        <f ca="1">INDIRECT(ADDRESS(OFFSET('0'!$B$113,($C$11-1)*10,COLUMN(S11)-4)+1,12,4,TRUE,OFFSET('0'!$B$1,$C$11-1,0)))</f>
        <v>#REF!</v>
      </c>
      <c r="T13" s="118" t="e">
        <f ca="1">INDIRECT(ADDRESS(OFFSET('0'!$B$113,($C$11-1)*10,COLUMN(T11)-4)+1,12,4,TRUE,OFFSET('0'!$B$1,$C$11-1,0)))</f>
        <v>#REF!</v>
      </c>
      <c r="U13" s="118" t="e">
        <f ca="1">INDIRECT(ADDRESS(OFFSET('0'!$B$113,($C$11-1)*10,COLUMN(U11)-4)+1,12,4,TRUE,OFFSET('0'!$B$1,$C$11-1,0)))</f>
        <v>#REF!</v>
      </c>
      <c r="V13" s="118" t="e">
        <f ca="1">INDIRECT(ADDRESS(OFFSET('0'!$B$113,($C$11-1)*10,COLUMN(V11)-4)+1,12,4,TRUE,OFFSET('0'!$B$1,$C$11-1,0)))</f>
        <v>#REF!</v>
      </c>
      <c r="W13" s="118" t="e">
        <f ca="1">INDIRECT(ADDRESS(OFFSET('0'!$B$113,($C$11-1)*10,COLUMN(W11)-4)+1,12,4,TRUE,OFFSET('0'!$B$1,$C$11-1,0)))</f>
        <v>#REF!</v>
      </c>
      <c r="X13" s="118" t="e">
        <f ca="1">INDIRECT(ADDRESS(OFFSET('0'!$B$113,($C$11-1)*10,COLUMN(X11)-4)+1,12,4,TRUE,OFFSET('0'!$B$1,$C$11-1,0)))</f>
        <v>#REF!</v>
      </c>
      <c r="Y13" s="118" t="e">
        <f ca="1">INDIRECT(ADDRESS(OFFSET('0'!$B$113,($C$11-1)*10,COLUMN(Y11)-4)+1,12,4,TRUE,OFFSET('0'!$B$1,$C$11-1,0)))</f>
        <v>#REF!</v>
      </c>
      <c r="Z13" s="118" t="e">
        <f ca="1">INDIRECT(ADDRESS(OFFSET('0'!$B$113,($C$11-1)*10,COLUMN(Z11)-4)+1,12,4,TRUE,OFFSET('0'!$B$1,$C$11-1,0)))</f>
        <v>#REF!</v>
      </c>
      <c r="AA13" s="118" t="e">
        <f ca="1">INDIRECT(ADDRESS(OFFSET('0'!$B$113,($C$11-1)*10,COLUMN(AA11)-4)+1,12,4,TRUE,OFFSET('0'!$B$1,$C$11-1,0)))</f>
        <v>#REF!</v>
      </c>
      <c r="AB13" s="118" t="e">
        <f ca="1">INDIRECT(ADDRESS(OFFSET('0'!$B$113,($C$11-1)*10,COLUMN(AB11)-4)+1,12,4,TRUE,OFFSET('0'!$B$1,$C$11-1,0)))</f>
        <v>#REF!</v>
      </c>
      <c r="AC13" s="118" t="e">
        <f ca="1">INDIRECT(ADDRESS(OFFSET('0'!$B$113,($C$11-1)*10,COLUMN(AC11)-4)+1,12,4,TRUE,OFFSET('0'!$B$1,$C$11-1,0)))</f>
        <v>#REF!</v>
      </c>
      <c r="AD13" s="118" t="e">
        <f ca="1">INDIRECT(ADDRESS(OFFSET('0'!$B$113,($C$11-1)*10,COLUMN(AD11)-4)+1,12,4,TRUE,OFFSET('0'!$B$1,$C$11-1,0)))</f>
        <v>#REF!</v>
      </c>
      <c r="AE13" s="118" t="e">
        <f ca="1">INDIRECT(ADDRESS(OFFSET('0'!$B$113,($C$11-1)*10,COLUMN(AE11)-4)+1,12,4,TRUE,OFFSET('0'!$B$1,$C$11-1,0)))</f>
        <v>#REF!</v>
      </c>
      <c r="AF13" s="118" t="e">
        <f ca="1">INDIRECT(ADDRESS(OFFSET('0'!$B$113,($C$11-1)*10,COLUMN(AF11)-4)+1,12,4,TRUE,OFFSET('0'!$B$1,$C$11-1,0)))</f>
        <v>#REF!</v>
      </c>
      <c r="AG13" s="118" t="e">
        <f ca="1">INDIRECT(ADDRESS(OFFSET('0'!$B$113,($C$11-1)*10,COLUMN(AG11)-4)+1,12,4,TRUE,OFFSET('0'!$B$1,$C$11-1,0)))</f>
        <v>#REF!</v>
      </c>
      <c r="AH13" s="118" t="e">
        <f ca="1">INDIRECT(ADDRESS(OFFSET('0'!$B$113,($C$11-1)*10,COLUMN(AH11)-4)+1,12,4,TRUE,OFFSET('0'!$B$1,$C$11-1,0)))</f>
        <v>#REF!</v>
      </c>
      <c r="AI13" s="23" t="e">
        <f ca="1">SUM(D13:AH13)</f>
        <v>#REF!</v>
      </c>
    </row>
    <row r="14" spans="1:35">
      <c r="A14" s="115" t="s">
        <v>162</v>
      </c>
      <c r="B14" s="115"/>
      <c r="C14" s="21" t="str">
        <f ca="1">OFFSET('0'!$B$1,$C11-1,0)</f>
        <v>Sausis</v>
      </c>
      <c r="D14" s="119" t="e">
        <f ca="1">D13/1000</f>
        <v>#REF!</v>
      </c>
      <c r="E14" s="119" t="e">
        <f t="shared" ref="E14:AH14" ca="1" si="1">E13/1000</f>
        <v>#REF!</v>
      </c>
      <c r="F14" s="119" t="e">
        <f t="shared" ca="1" si="1"/>
        <v>#REF!</v>
      </c>
      <c r="G14" s="119" t="e">
        <f t="shared" ca="1" si="1"/>
        <v>#REF!</v>
      </c>
      <c r="H14" s="119" t="e">
        <f t="shared" ca="1" si="1"/>
        <v>#REF!</v>
      </c>
      <c r="I14" s="119" t="e">
        <f t="shared" ca="1" si="1"/>
        <v>#REF!</v>
      </c>
      <c r="J14" s="119" t="e">
        <f t="shared" ca="1" si="1"/>
        <v>#REF!</v>
      </c>
      <c r="K14" s="119" t="e">
        <f t="shared" ca="1" si="1"/>
        <v>#REF!</v>
      </c>
      <c r="L14" s="119" t="e">
        <f t="shared" ca="1" si="1"/>
        <v>#REF!</v>
      </c>
      <c r="M14" s="119" t="e">
        <f t="shared" ca="1" si="1"/>
        <v>#REF!</v>
      </c>
      <c r="N14" s="119" t="e">
        <f t="shared" ca="1" si="1"/>
        <v>#REF!</v>
      </c>
      <c r="O14" s="119" t="e">
        <f t="shared" ca="1" si="1"/>
        <v>#REF!</v>
      </c>
      <c r="P14" s="119" t="e">
        <f t="shared" ca="1" si="1"/>
        <v>#REF!</v>
      </c>
      <c r="Q14" s="119" t="e">
        <f t="shared" ca="1" si="1"/>
        <v>#REF!</v>
      </c>
      <c r="R14" s="119" t="e">
        <f t="shared" ca="1" si="1"/>
        <v>#REF!</v>
      </c>
      <c r="S14" s="119" t="e">
        <f t="shared" ca="1" si="1"/>
        <v>#REF!</v>
      </c>
      <c r="T14" s="119" t="e">
        <f t="shared" ca="1" si="1"/>
        <v>#REF!</v>
      </c>
      <c r="U14" s="119" t="e">
        <f t="shared" ca="1" si="1"/>
        <v>#REF!</v>
      </c>
      <c r="V14" s="119" t="e">
        <f t="shared" ca="1" si="1"/>
        <v>#REF!</v>
      </c>
      <c r="W14" s="119" t="e">
        <f t="shared" ca="1" si="1"/>
        <v>#REF!</v>
      </c>
      <c r="X14" s="119" t="e">
        <f t="shared" ca="1" si="1"/>
        <v>#REF!</v>
      </c>
      <c r="Y14" s="119" t="e">
        <f t="shared" ca="1" si="1"/>
        <v>#REF!</v>
      </c>
      <c r="Z14" s="119" t="e">
        <f t="shared" ca="1" si="1"/>
        <v>#REF!</v>
      </c>
      <c r="AA14" s="119" t="e">
        <f t="shared" ca="1" si="1"/>
        <v>#REF!</v>
      </c>
      <c r="AB14" s="119" t="e">
        <f t="shared" ca="1" si="1"/>
        <v>#REF!</v>
      </c>
      <c r="AC14" s="119" t="e">
        <f t="shared" ca="1" si="1"/>
        <v>#REF!</v>
      </c>
      <c r="AD14" s="119" t="e">
        <f t="shared" ca="1" si="1"/>
        <v>#REF!</v>
      </c>
      <c r="AE14" s="119" t="e">
        <f t="shared" ca="1" si="1"/>
        <v>#REF!</v>
      </c>
      <c r="AF14" s="119" t="e">
        <f t="shared" ca="1" si="1"/>
        <v>#REF!</v>
      </c>
      <c r="AG14" s="119" t="e">
        <f t="shared" ca="1" si="1"/>
        <v>#REF!</v>
      </c>
      <c r="AH14" s="119" t="e">
        <f t="shared" ca="1" si="1"/>
        <v>#REF!</v>
      </c>
      <c r="AI14" s="120" t="e">
        <f ca="1">SUM(D14:AH14)</f>
        <v>#REF!</v>
      </c>
    </row>
    <row r="15" spans="1:35">
      <c r="AH15" s="86"/>
      <c r="AI15" s="86"/>
    </row>
    <row r="17" spans="1:20" ht="17.399999999999999">
      <c r="A17" s="135" t="s">
        <v>165</v>
      </c>
      <c r="C17" s="17" t="str">
        <f>$D$1</f>
        <v>Sausis</v>
      </c>
      <c r="F17" s="38" t="s">
        <v>169</v>
      </c>
      <c r="I17" s="131" t="str">
        <f ca="1">CONCATENATE(ADDRESS(12,4,,,MID(CELL("filename",A17),FIND("]",CELL("filename",A17))+1,255)),":",ADDRESS(12,DAY(EOMONTH(DATE($B$1,$C$11,1),0))+3))</f>
        <v>Dinamika!$D$12:$AH$12</v>
      </c>
    </row>
    <row r="18" spans="1:20">
      <c r="A18" s="136" t="e">
        <f ca="1">CONCATENATE(A17,TEXT(AI12,"### ##0"),")")</f>
        <v>#REF!</v>
      </c>
    </row>
    <row r="20" spans="1:20" ht="18" customHeight="1"/>
    <row r="21" spans="1:20" ht="18" customHeight="1">
      <c r="Q21" s="174">
        <f ca="1">IFERROR(SMALL(IF($T$21:$T$51&lt;&gt;"",$T$21:$T$51),ROW($T21)-20),"")</f>
        <v>1</v>
      </c>
      <c r="T21" s="48">
        <f ca="1">IF(OFFSET($D$10,0,ROW(S21)-21)&lt;&gt;"--",ROW(T21)-20)</f>
        <v>1</v>
      </c>
    </row>
    <row r="22" spans="1:20" ht="18" customHeight="1">
      <c r="Q22" s="174">
        <f t="shared" ref="Q22:Q51" ca="1" si="2">IFERROR(SMALL(IF($T$21:$T$51&lt;&gt;"",$T$21:$T$51),ROW(T22)-20),"")</f>
        <v>3</v>
      </c>
      <c r="T22" s="48" t="b">
        <f t="shared" ref="T22:T51" ca="1" si="3">IF(OFFSET($D$10,0,ROW(S22)-21)&lt;&gt;"--",ROW(T22)-20)</f>
        <v>0</v>
      </c>
    </row>
    <row r="23" spans="1:20" ht="18" customHeight="1">
      <c r="Q23" s="174">
        <f t="shared" ca="1" si="2"/>
        <v>4</v>
      </c>
      <c r="T23" s="48">
        <f t="shared" ca="1" si="3"/>
        <v>3</v>
      </c>
    </row>
    <row r="24" spans="1:20" ht="18" customHeight="1">
      <c r="Q24" s="174">
        <f t="shared" ca="1" si="2"/>
        <v>10</v>
      </c>
      <c r="T24" s="48">
        <f t="shared" ca="1" si="3"/>
        <v>4</v>
      </c>
    </row>
    <row r="25" spans="1:20" ht="18" customHeight="1">
      <c r="Q25" s="174">
        <f t="shared" ca="1" si="2"/>
        <v>11</v>
      </c>
      <c r="T25" s="48" t="b">
        <f t="shared" ca="1" si="3"/>
        <v>0</v>
      </c>
    </row>
    <row r="26" spans="1:20" ht="18" customHeight="1">
      <c r="Q26" s="174">
        <f t="shared" ca="1" si="2"/>
        <v>17</v>
      </c>
      <c r="T26" s="48" t="b">
        <f t="shared" ca="1" si="3"/>
        <v>0</v>
      </c>
    </row>
    <row r="27" spans="1:20" ht="18" customHeight="1">
      <c r="Q27" s="174">
        <f t="shared" ca="1" si="2"/>
        <v>18</v>
      </c>
      <c r="T27" s="48" t="b">
        <f t="shared" ca="1" si="3"/>
        <v>0</v>
      </c>
    </row>
    <row r="28" spans="1:20" ht="18" customHeight="1">
      <c r="Q28" s="174">
        <f t="shared" ca="1" si="2"/>
        <v>24</v>
      </c>
      <c r="T28" s="48" t="b">
        <f t="shared" ca="1" si="3"/>
        <v>0</v>
      </c>
    </row>
    <row r="29" spans="1:20" ht="18" customHeight="1">
      <c r="Q29" s="174">
        <f t="shared" ca="1" si="2"/>
        <v>25</v>
      </c>
      <c r="T29" s="48" t="b">
        <f t="shared" ca="1" si="3"/>
        <v>0</v>
      </c>
    </row>
    <row r="30" spans="1:20" ht="18" customHeight="1">
      <c r="Q30" s="174">
        <f t="shared" ca="1" si="2"/>
        <v>31</v>
      </c>
      <c r="T30" s="48">
        <f t="shared" ca="1" si="3"/>
        <v>10</v>
      </c>
    </row>
    <row r="31" spans="1:20" ht="18" customHeight="1">
      <c r="C31" s="17" t="str">
        <f>$D$1</f>
        <v>Sausis</v>
      </c>
      <c r="Q31" s="174" t="str">
        <f t="shared" ca="1" si="2"/>
        <v/>
      </c>
      <c r="T31" s="48">
        <f t="shared" ca="1" si="3"/>
        <v>11</v>
      </c>
    </row>
    <row r="32" spans="1:20" ht="18" customHeight="1">
      <c r="Q32" s="174" t="str">
        <f t="shared" ca="1" si="2"/>
        <v/>
      </c>
      <c r="T32" s="48" t="b">
        <f t="shared" ca="1" si="3"/>
        <v>0</v>
      </c>
    </row>
    <row r="33" spans="1:33" ht="18" customHeight="1">
      <c r="Q33" s="174" t="str">
        <f t="shared" ca="1" si="2"/>
        <v/>
      </c>
      <c r="T33" s="48" t="b">
        <f t="shared" ca="1" si="3"/>
        <v>0</v>
      </c>
    </row>
    <row r="34" spans="1:33" ht="13.2" customHeight="1">
      <c r="Q34" s="174" t="str">
        <f t="shared" ca="1" si="2"/>
        <v/>
      </c>
      <c r="T34" s="48" t="b">
        <f t="shared" ca="1" si="3"/>
        <v>0</v>
      </c>
    </row>
    <row r="35" spans="1:33" ht="13.2" customHeight="1">
      <c r="I35" s="131"/>
      <c r="Q35" s="174" t="str">
        <f t="shared" ca="1" si="2"/>
        <v/>
      </c>
      <c r="T35" s="48" t="b">
        <f t="shared" ca="1" si="3"/>
        <v>0</v>
      </c>
    </row>
    <row r="36" spans="1:33" ht="21.6" customHeight="1">
      <c r="Q36" s="17" t="str">
        <f t="shared" ca="1" si="2"/>
        <v/>
      </c>
      <c r="T36" s="48" t="b">
        <f t="shared" ca="1" si="3"/>
        <v>0</v>
      </c>
    </row>
    <row r="37" spans="1:33" s="124" customFormat="1" ht="21.6" customHeight="1">
      <c r="A37" s="115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71" t="str">
        <f t="shared" ca="1" si="2"/>
        <v/>
      </c>
      <c r="R37" s="116"/>
      <c r="S37" s="116"/>
      <c r="T37" s="175">
        <f t="shared" ca="1" si="3"/>
        <v>17</v>
      </c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</row>
    <row r="38" spans="1:33" s="124" customFormat="1" ht="21.6" customHeight="1">
      <c r="A38" s="123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22" t="str">
        <f t="shared" ca="1" si="2"/>
        <v/>
      </c>
      <c r="R38" s="117"/>
      <c r="S38" s="117"/>
      <c r="T38" s="176">
        <f t="shared" ca="1" si="3"/>
        <v>18</v>
      </c>
      <c r="U38" s="125"/>
      <c r="V38" s="117"/>
      <c r="W38" s="117"/>
      <c r="X38" s="125"/>
      <c r="Y38" s="117"/>
      <c r="Z38" s="117"/>
      <c r="AA38" s="117"/>
      <c r="AB38" s="117"/>
      <c r="AC38" s="117"/>
      <c r="AD38" s="117"/>
      <c r="AE38" s="117"/>
      <c r="AF38" s="117"/>
      <c r="AG38" s="125"/>
    </row>
    <row r="39" spans="1:33" s="124" customFormat="1" ht="21.6" customHeight="1">
      <c r="A39" s="123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72" t="str">
        <f t="shared" ca="1" si="2"/>
        <v/>
      </c>
      <c r="R39" s="126"/>
      <c r="S39" s="126"/>
      <c r="T39" s="177" t="b">
        <f t="shared" ca="1" si="3"/>
        <v>0</v>
      </c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7"/>
    </row>
    <row r="40" spans="1:33" s="124" customFormat="1" ht="21.6" customHeight="1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73" t="str">
        <f t="shared" ca="1" si="2"/>
        <v/>
      </c>
      <c r="R40" s="115"/>
      <c r="S40" s="115"/>
      <c r="T40" s="137" t="b">
        <f t="shared" ca="1" si="3"/>
        <v>0</v>
      </c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</row>
    <row r="41" spans="1:33" s="124" customFormat="1" ht="21.6" customHeight="1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73" t="str">
        <f t="shared" ca="1" si="2"/>
        <v/>
      </c>
      <c r="R41" s="115"/>
      <c r="S41" s="115"/>
      <c r="T41" s="137" t="b">
        <f t="shared" ca="1" si="3"/>
        <v>0</v>
      </c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</row>
    <row r="42" spans="1:33" s="124" customFormat="1" ht="15" customHeight="1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73" t="str">
        <f t="shared" ca="1" si="2"/>
        <v/>
      </c>
      <c r="R42" s="115"/>
      <c r="S42" s="115"/>
      <c r="T42" s="137" t="b">
        <f t="shared" ca="1" si="3"/>
        <v>0</v>
      </c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</row>
    <row r="43" spans="1:33" s="124" customFormat="1" ht="21.6" hidden="1" customHeight="1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73" t="str">
        <f t="shared" ca="1" si="2"/>
        <v/>
      </c>
      <c r="R43" s="115"/>
      <c r="S43" s="115"/>
      <c r="T43" s="115" t="b">
        <f t="shared" ca="1" si="3"/>
        <v>0</v>
      </c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</row>
    <row r="44" spans="1:33" s="124" customFormat="1" ht="21.6" hidden="1" customHeight="1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73" t="str">
        <f t="shared" ca="1" si="2"/>
        <v/>
      </c>
      <c r="R44" s="115"/>
      <c r="S44" s="115"/>
      <c r="T44" s="115">
        <f t="shared" ca="1" si="3"/>
        <v>24</v>
      </c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</row>
    <row r="45" spans="1:33" s="124" customFormat="1" ht="21.6" hidden="1" customHeight="1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73" t="str">
        <f t="shared" ca="1" si="2"/>
        <v/>
      </c>
      <c r="R45" s="115"/>
      <c r="S45" s="115"/>
      <c r="T45" s="115">
        <f t="shared" ca="1" si="3"/>
        <v>25</v>
      </c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</row>
    <row r="46" spans="1:33" s="124" customFormat="1" ht="21.6" hidden="1" customHeight="1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73" t="str">
        <f t="shared" ca="1" si="2"/>
        <v/>
      </c>
      <c r="R46" s="115"/>
      <c r="S46" s="115"/>
      <c r="T46" s="115" t="b">
        <f t="shared" ca="1" si="3"/>
        <v>0</v>
      </c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</row>
    <row r="47" spans="1:33" s="124" customFormat="1" ht="21.6" hidden="1" customHeight="1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 t="str">
        <f t="shared" ca="1" si="2"/>
        <v/>
      </c>
      <c r="R47" s="115"/>
      <c r="S47" s="115"/>
      <c r="T47" s="115" t="b">
        <f t="shared" ca="1" si="3"/>
        <v>0</v>
      </c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</row>
    <row r="48" spans="1:33" s="124" customFormat="1" hidden="1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 t="str">
        <f t="shared" ca="1" si="2"/>
        <v/>
      </c>
      <c r="R48" s="115"/>
      <c r="S48" s="115"/>
      <c r="T48" s="115" t="b">
        <f t="shared" ca="1" si="3"/>
        <v>0</v>
      </c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</row>
    <row r="49" spans="1:33" s="124" customFormat="1" ht="17.399999999999999" hidden="1">
      <c r="A49" s="135" t="s">
        <v>166</v>
      </c>
      <c r="B49" s="137"/>
      <c r="C49" s="137"/>
      <c r="D49" s="137"/>
      <c r="E49" s="137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 t="str">
        <f t="shared" ca="1" si="2"/>
        <v/>
      </c>
      <c r="R49" s="115"/>
      <c r="S49" s="115"/>
      <c r="T49" s="115" t="b">
        <f t="shared" ca="1" si="3"/>
        <v>0</v>
      </c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</row>
    <row r="50" spans="1:33" s="124" customFormat="1" ht="17.399999999999999" hidden="1">
      <c r="A50" s="135" t="s">
        <v>167</v>
      </c>
      <c r="B50" s="137"/>
      <c r="C50" s="137"/>
      <c r="D50" s="137"/>
      <c r="E50" s="137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 t="str">
        <f t="shared" ca="1" si="2"/>
        <v/>
      </c>
      <c r="R50" s="115"/>
      <c r="S50" s="115"/>
      <c r="T50" s="115" t="b">
        <f t="shared" ca="1" si="3"/>
        <v>0</v>
      </c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</row>
    <row r="51" spans="1:33" s="124" customFormat="1" ht="17.399999999999999" hidden="1">
      <c r="A51" s="135" t="s">
        <v>167</v>
      </c>
      <c r="B51" s="137"/>
      <c r="C51" s="137"/>
      <c r="D51" s="137"/>
      <c r="E51" s="137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 t="str">
        <f t="shared" ca="1" si="2"/>
        <v/>
      </c>
      <c r="R51" s="115"/>
      <c r="S51" s="115"/>
      <c r="T51" s="115">
        <f t="shared" ca="1" si="3"/>
        <v>31</v>
      </c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</row>
    <row r="52" spans="1:33" s="124" customFormat="1" ht="27.6" hidden="1" customHeight="1">
      <c r="A52" s="253" t="e">
        <f ca="1">CONCATENATE(A49,TEXT(AI13,"### ##0,0"),A50,CHAR(13),"** Skaičiuojama tūkst. € 
")</f>
        <v>#REF!</v>
      </c>
      <c r="B52" s="253"/>
      <c r="C52" s="253"/>
      <c r="D52" s="253"/>
      <c r="E52" s="253"/>
      <c r="F52" s="86" t="s">
        <v>168</v>
      </c>
      <c r="G52" s="86"/>
      <c r="H52" s="86"/>
      <c r="I52" s="131" t="str">
        <f ca="1">CONCATENATE(ADDRESS(14,4,,,MID(CELL("filename",A52),FIND("]",CELL("filename",A52))+1,255)),":",ADDRESS(14,DAY(EOMONTH(DATE($B$1,$C$11,1),0))+3))</f>
        <v>Dinamika!$D$14:$AH$14</v>
      </c>
      <c r="J52" s="86"/>
      <c r="K52" s="86"/>
      <c r="L52" s="86"/>
      <c r="M52" s="86"/>
      <c r="N52" s="86"/>
      <c r="O52" s="86"/>
      <c r="P52" s="86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</row>
    <row r="53" spans="1:33" s="124" customFormat="1" ht="31.2" customHeight="1">
      <c r="A53" s="86"/>
      <c r="B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</row>
    <row r="54" spans="1:33" s="124" customFormat="1">
      <c r="A54" s="115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16"/>
      <c r="N54" s="116"/>
      <c r="O54" s="116"/>
      <c r="P54" s="116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</row>
    <row r="55" spans="1:33" s="124" customFormat="1">
      <c r="A55" s="123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</row>
    <row r="56" spans="1:33" s="124" customFormat="1">
      <c r="A56" s="123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</row>
    <row r="57" spans="1:33" s="124" customFormat="1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</row>
    <row r="58" spans="1:33" s="124" customFormat="1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</row>
    <row r="59" spans="1:33" s="124" customFormat="1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</row>
    <row r="60" spans="1:33" s="124" customFormat="1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</row>
    <row r="61" spans="1:33" s="124" customFormat="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</row>
    <row r="62" spans="1:33" s="124" customFormat="1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</row>
    <row r="63" spans="1:33" s="124" customFormat="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</row>
    <row r="64" spans="1:33" s="124" customFormat="1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</row>
    <row r="65" spans="1:33" s="124" customFormat="1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</row>
    <row r="66" spans="1:33" s="124" customFormat="1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</row>
    <row r="67" spans="1:33" s="124" customFormat="1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6"/>
      <c r="R67" s="116"/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</row>
    <row r="68" spans="1:33" s="124" customFormat="1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25"/>
    </row>
    <row r="69" spans="1:33" s="124" customFormat="1">
      <c r="A69" s="123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  <c r="AB69" s="126"/>
      <c r="AC69" s="126"/>
      <c r="AD69" s="126"/>
      <c r="AE69" s="126"/>
      <c r="AF69" s="126"/>
      <c r="AG69" s="127"/>
    </row>
    <row r="70" spans="1:33" s="124" customFormat="1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</row>
    <row r="71" spans="1:33" s="124" customFormat="1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</row>
    <row r="72" spans="1:33" s="124" customFormat="1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</row>
    <row r="73" spans="1:33" s="124" customFormat="1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</row>
    <row r="74" spans="1:33" s="124" customFormat="1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</row>
    <row r="75" spans="1:33" s="124" customFormat="1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</row>
    <row r="76" spans="1:33" s="124" customFormat="1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</row>
    <row r="77" spans="1:33" s="124" customFormat="1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</row>
    <row r="78" spans="1:33" s="124" customFormat="1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G78" s="115"/>
    </row>
    <row r="79" spans="1:33" s="124" customFormat="1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</row>
    <row r="80" spans="1:33" s="124" customFormat="1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</row>
    <row r="81" spans="1:33" s="124" customFormat="1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</row>
    <row r="82" spans="1:33" s="124" customFormat="1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</row>
    <row r="83" spans="1:33" s="124" customFormat="1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</row>
    <row r="84" spans="1:33" s="124" customForma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</row>
    <row r="85" spans="1:33" s="124" customFormat="1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G85" s="115"/>
    </row>
    <row r="86" spans="1:33" s="124" customFormat="1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</row>
    <row r="87" spans="1:33" s="124" customFormat="1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G87" s="115"/>
    </row>
    <row r="88" spans="1:33" s="124" customFormat="1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G88" s="115"/>
    </row>
    <row r="89" spans="1:33" s="124" customFormat="1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</row>
    <row r="90" spans="1:33" s="124" customFormat="1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</row>
    <row r="91" spans="1:33" s="124" customFormat="1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</row>
    <row r="92" spans="1:33" s="124" customFormat="1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</row>
    <row r="93" spans="1:33" s="124" customFormat="1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</row>
    <row r="94" spans="1:33" s="124" customFormat="1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</row>
    <row r="95" spans="1:33" s="124" customFormat="1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</row>
    <row r="96" spans="1:33" s="124" customFormat="1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</row>
    <row r="97" spans="1:33" s="124" customFormat="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</row>
    <row r="98" spans="1:33" s="124" customFormat="1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</row>
    <row r="99" spans="1:33" s="124" customFormat="1">
      <c r="A99" s="115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6"/>
      <c r="V99" s="116"/>
      <c r="W99" s="116"/>
      <c r="X99" s="116"/>
      <c r="Y99" s="116"/>
      <c r="Z99" s="116"/>
      <c r="AA99" s="116"/>
      <c r="AB99" s="116"/>
      <c r="AC99" s="116"/>
      <c r="AD99" s="116"/>
      <c r="AE99" s="116"/>
      <c r="AF99" s="116"/>
      <c r="AG99" s="116"/>
    </row>
    <row r="100" spans="1:33" s="124" customFormat="1">
      <c r="A100" s="123"/>
      <c r="B100" s="125"/>
      <c r="C100" s="125"/>
      <c r="D100" s="125"/>
      <c r="E100" s="125"/>
      <c r="F100" s="125"/>
      <c r="G100" s="125"/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</row>
    <row r="101" spans="1:33" s="124" customFormat="1">
      <c r="A101" s="123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  <c r="AA101" s="126"/>
      <c r="AB101" s="126"/>
      <c r="AC101" s="126"/>
      <c r="AD101" s="126"/>
      <c r="AE101" s="126"/>
      <c r="AF101" s="126"/>
      <c r="AG101" s="127"/>
    </row>
    <row r="102" spans="1:33" s="124" customFormat="1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</row>
    <row r="103" spans="1:33" s="124" customFormat="1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</row>
    <row r="104" spans="1:33" s="124" customFormat="1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</row>
    <row r="105" spans="1:33" s="124" customFormat="1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</row>
    <row r="106" spans="1:33" s="124" customFormat="1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</row>
    <row r="107" spans="1:33" s="124" customFormat="1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</row>
    <row r="108" spans="1:33" s="124" customFormat="1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</row>
    <row r="109" spans="1:33" s="124" customFormat="1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</row>
    <row r="110" spans="1:33" s="124" customFormat="1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</row>
    <row r="111" spans="1:33" s="124" customFormat="1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</row>
    <row r="112" spans="1:33" s="124" customFormat="1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</row>
    <row r="113" spans="1:33" s="124" customFormat="1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</row>
    <row r="114" spans="1:33" s="124" customFormat="1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</row>
    <row r="115" spans="1:33" s="124" customFormat="1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</row>
    <row r="116" spans="1:33" s="124" customFormat="1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</row>
    <row r="117" spans="1:33" s="124" customFormat="1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</row>
    <row r="118" spans="1:33" s="124" customFormat="1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</row>
    <row r="119" spans="1:33" s="124" customFormat="1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</row>
    <row r="120" spans="1:33" s="124" customFormat="1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</row>
    <row r="121" spans="1:33" s="124" customFormat="1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</row>
    <row r="122" spans="1:33" s="124" customFormat="1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</row>
    <row r="123" spans="1:33" s="124" customFormat="1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</row>
    <row r="124" spans="1:33" s="124" customFormat="1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</row>
    <row r="125" spans="1:33" s="124" customFormat="1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</row>
    <row r="126" spans="1:33" s="124" customFormat="1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</row>
    <row r="127" spans="1:33" s="124" customFormat="1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</row>
    <row r="128" spans="1:33" s="124" customFormat="1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</row>
    <row r="129" spans="1:33" s="124" customFormat="1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</row>
    <row r="130" spans="1:33" s="124" customFormat="1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</row>
    <row r="131" spans="1:33" s="124" customFormat="1">
      <c r="A131" s="115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</row>
    <row r="132" spans="1:33" s="124" customFormat="1">
      <c r="A132" s="123"/>
      <c r="B132" s="125"/>
      <c r="C132" s="125"/>
      <c r="D132" s="125"/>
      <c r="E132" s="125"/>
      <c r="F132" s="125"/>
      <c r="G132" s="125"/>
      <c r="H132" s="125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</row>
    <row r="133" spans="1:33" s="124" customFormat="1">
      <c r="A133" s="123"/>
      <c r="B133" s="126"/>
      <c r="C133" s="126"/>
      <c r="D133" s="126"/>
      <c r="E133" s="126"/>
      <c r="F133" s="128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  <c r="AA133" s="126"/>
      <c r="AB133" s="126"/>
      <c r="AC133" s="126"/>
      <c r="AD133" s="126"/>
      <c r="AE133" s="126"/>
      <c r="AF133" s="126"/>
      <c r="AG133" s="128"/>
    </row>
    <row r="134" spans="1:33" s="124" customFormat="1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</row>
    <row r="135" spans="1:33" s="124" customFormat="1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</row>
    <row r="136" spans="1:33" s="124" customFormat="1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</row>
    <row r="137" spans="1:33" s="124" customFormat="1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</row>
    <row r="138" spans="1:33" s="124" customFormat="1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</row>
    <row r="139" spans="1:33" s="124" customFormat="1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</row>
    <row r="140" spans="1:33" s="124" customFormat="1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</row>
    <row r="141" spans="1:33" s="124" customFormat="1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</row>
    <row r="142" spans="1:33" s="124" customFormat="1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</row>
    <row r="143" spans="1:33" s="124" customFormat="1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</row>
    <row r="144" spans="1:33" s="124" customFormat="1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</row>
    <row r="145" spans="1:33" s="124" customFormat="1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</row>
    <row r="146" spans="1:33" s="124" customFormat="1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</row>
    <row r="147" spans="1:33" s="124" customFormat="1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</row>
    <row r="148" spans="1:33" s="124" customFormat="1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</row>
    <row r="149" spans="1:33" s="124" customFormat="1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</row>
    <row r="150" spans="1:33" s="124" customFormat="1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</row>
    <row r="151" spans="1:33" s="124" customFormat="1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</row>
    <row r="152" spans="1:33" s="124" customFormat="1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</row>
    <row r="153" spans="1:33" s="124" customFormat="1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</row>
    <row r="154" spans="1:33" s="124" customFormat="1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</row>
    <row r="155" spans="1:33" s="124" customFormat="1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</row>
    <row r="156" spans="1:33" s="124" customFormat="1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</row>
    <row r="157" spans="1:33" s="124" customFormat="1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</row>
    <row r="158" spans="1:33" s="124" customFormat="1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</row>
    <row r="159" spans="1:33" s="124" customFormat="1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</row>
    <row r="160" spans="1:33" s="124" customFormat="1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</row>
    <row r="161" spans="1:33" s="124" customFormat="1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</row>
    <row r="162" spans="1:33" s="124" customFormat="1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</row>
    <row r="163" spans="1:33" s="124" customFormat="1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</row>
    <row r="164" spans="1:33" s="124" customFormat="1">
      <c r="A164" s="115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</row>
    <row r="165" spans="1:33" s="124" customFormat="1">
      <c r="A165" s="123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</row>
    <row r="166" spans="1:33" s="124" customFormat="1">
      <c r="A166" s="123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  <c r="AA166" s="126"/>
      <c r="AB166" s="126"/>
      <c r="AC166" s="126"/>
      <c r="AD166" s="126"/>
      <c r="AE166" s="126"/>
      <c r="AF166" s="126"/>
      <c r="AG166" s="127"/>
    </row>
    <row r="167" spans="1:33" s="124" customFormat="1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</row>
    <row r="168" spans="1:33" s="124" customFormat="1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</row>
    <row r="169" spans="1:33" s="124" customFormat="1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</row>
    <row r="170" spans="1:33" s="124" customFormat="1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</row>
    <row r="171" spans="1:33" s="124" customFormat="1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</row>
    <row r="172" spans="1:33" s="124" customFormat="1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</row>
    <row r="173" spans="1:33" s="124" customFormat="1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</row>
    <row r="174" spans="1:33" s="124" customFormat="1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</row>
    <row r="175" spans="1:33" s="124" customFormat="1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</row>
    <row r="176" spans="1:33" s="124" customFormat="1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</row>
    <row r="177" spans="1:33" s="124" customFormat="1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</row>
    <row r="178" spans="1:33" s="124" customFormat="1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</row>
    <row r="179" spans="1:33" s="124" customFormat="1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</row>
    <row r="180" spans="1:33" s="124" customFormat="1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</row>
    <row r="181" spans="1:33" s="124" customFormat="1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</row>
    <row r="182" spans="1:33" s="124" customFormat="1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</row>
    <row r="183" spans="1:33" s="124" customFormat="1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</row>
    <row r="184" spans="1:33" s="124" customFormat="1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</row>
    <row r="185" spans="1:33" s="124" customFormat="1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</row>
    <row r="186" spans="1:33" s="124" customFormat="1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</row>
    <row r="187" spans="1:33" s="124" customFormat="1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</row>
    <row r="188" spans="1:33" s="124" customFormat="1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</row>
    <row r="189" spans="1:33" s="124" customFormat="1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</row>
    <row r="190" spans="1:33" s="124" customFormat="1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</row>
    <row r="191" spans="1:33" s="124" customFormat="1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</row>
    <row r="192" spans="1:33" s="124" customFormat="1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</row>
    <row r="193" spans="1:33" s="124" customFormat="1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</row>
    <row r="194" spans="1:33" s="124" customFormat="1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</row>
    <row r="195" spans="1:33" s="124" customFormat="1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</row>
    <row r="196" spans="1:33" s="124" customFormat="1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</row>
    <row r="197" spans="1:33" s="124" customFormat="1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</row>
    <row r="198" spans="1:33" s="124" customFormat="1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</row>
    <row r="199" spans="1:33" s="124" customFormat="1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</row>
    <row r="200" spans="1:33" s="124" customFormat="1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</row>
    <row r="201" spans="1:33" s="124" customFormat="1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</row>
    <row r="202" spans="1:33" s="124" customFormat="1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</row>
    <row r="203" spans="1:33" s="124" customFormat="1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</row>
    <row r="204" spans="1:33" s="124" customFormat="1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</row>
    <row r="205" spans="1:33" s="124" customFormat="1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</row>
    <row r="206" spans="1:33" s="124" customFormat="1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</row>
    <row r="207" spans="1:33" s="124" customFormat="1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</row>
    <row r="208" spans="1:33" s="124" customFormat="1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</row>
    <row r="209" spans="1:33" s="124" customFormat="1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</row>
  </sheetData>
  <mergeCells count="1">
    <mergeCell ref="A52:E52"/>
  </mergeCells>
  <conditionalFormatting sqref="D11:AH11">
    <cfRule type="expression" dxfId="1" priority="2">
      <formula>D$10&lt;&gt;"--"</formula>
    </cfRule>
  </conditionalFormatting>
  <conditionalFormatting sqref="Q21:Q46">
    <cfRule type="notContainsBlanks" dxfId="0" priority="3">
      <formula>LEN(TRIM(Q21))&gt;0</formula>
    </cfRule>
  </conditionalFormatting>
  <dataValidations count="2">
    <dataValidation type="list" allowBlank="1" showInputMessage="1" showErrorMessage="1" sqref="D1">
      <formula1>'0'!$B1:$B12</formula1>
    </dataValidation>
    <dataValidation type="list" allowBlank="1" showInputMessage="1" showErrorMessage="1" sqref="B1:B10">
      <formula1>'0'!$D$1:$D$16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P209"/>
  <sheetViews>
    <sheetView topLeftCell="A16" workbookViewId="0">
      <selection activeCell="N31" sqref="N31"/>
    </sheetView>
  </sheetViews>
  <sheetFormatPr defaultColWidth="15.109375" defaultRowHeight="14.4"/>
  <cols>
    <col min="1" max="1" width="7.44140625" style="138" customWidth="1"/>
    <col min="2" max="2" width="8.5546875" style="138" customWidth="1"/>
    <col min="3" max="3" width="11.5546875" style="138" customWidth="1"/>
    <col min="4" max="15" width="12.6640625" style="138" customWidth="1"/>
    <col min="16" max="16" width="22.88671875" style="46" customWidth="1"/>
    <col min="17" max="16384" width="15.109375" style="46"/>
  </cols>
  <sheetData>
    <row r="1" spans="1:16" ht="40.200000000000003" customHeight="1" thickBot="1">
      <c r="B1" s="157"/>
      <c r="C1" s="46"/>
      <c r="D1" s="159" t="str">
        <f>Dinamika!$D$1</f>
        <v>Sausis</v>
      </c>
      <c r="F1" s="139"/>
      <c r="I1" s="140"/>
    </row>
    <row r="2" spans="1:16" ht="38.4" customHeight="1">
      <c r="C2" s="46"/>
      <c r="I2" s="140"/>
    </row>
    <row r="3" spans="1:16" ht="3" customHeight="1"/>
    <row r="4" spans="1:16" hidden="1"/>
    <row r="5" spans="1:16" hidden="1"/>
    <row r="6" spans="1:16" hidden="1"/>
    <row r="7" spans="1:16" hidden="1"/>
    <row r="8" spans="1:16" hidden="1"/>
    <row r="9" spans="1:16" hidden="1"/>
    <row r="11" spans="1:16">
      <c r="A11" s="141"/>
      <c r="B11" s="142"/>
      <c r="C11" s="143"/>
      <c r="D11" s="144" t="str">
        <f ca="1">CONCATENATE(OFFSET('0'!$B$1,COLUMN(D11)-4,0),IF(Dinamika!$B$1=2025,"*",""))</f>
        <v>Sausis</v>
      </c>
      <c r="E11" s="144" t="str">
        <f ca="1">OFFSET('0'!$B$1,COLUMN(E11)-4,0)</f>
        <v>Vasaris</v>
      </c>
      <c r="F11" s="144" t="str">
        <f ca="1">OFFSET('0'!$B$1,COLUMN(F11)-4,0)</f>
        <v>Kovas</v>
      </c>
      <c r="G11" s="144" t="str">
        <f ca="1">OFFSET('0'!$B$1,COLUMN(G11)-4,0)</f>
        <v>Balandis</v>
      </c>
      <c r="H11" s="144" t="str">
        <f ca="1">OFFSET('0'!$B$1,COLUMN(H11)-4,0)</f>
        <v>Gegužė</v>
      </c>
      <c r="I11" s="144" t="str">
        <f ca="1">OFFSET('0'!$B$1,COLUMN(I11)-4,0)</f>
        <v>Birželis</v>
      </c>
      <c r="J11" s="144" t="str">
        <f ca="1">OFFSET('0'!$B$1,COLUMN(J11)-4,0)</f>
        <v>Liepa</v>
      </c>
      <c r="K11" s="144" t="str">
        <f ca="1">OFFSET('0'!$B$1,COLUMN(K11)-4,0)</f>
        <v>Rugpjūtis</v>
      </c>
      <c r="L11" s="144" t="str">
        <f ca="1">OFFSET('0'!$B$1,COLUMN(L11)-4,0)</f>
        <v>Rugsėjis</v>
      </c>
      <c r="M11" s="144" t="str">
        <f ca="1">OFFSET('0'!$B$1,COLUMN(M11)-4,0)</f>
        <v>Spalis</v>
      </c>
      <c r="N11" s="144" t="str">
        <f ca="1">OFFSET('0'!$B$1,COLUMN(N11)-4,0)</f>
        <v>Lapkritis</v>
      </c>
      <c r="O11" s="144" t="str">
        <f ca="1">OFFSET('0'!$B$1,COLUMN(O11)-4,0)</f>
        <v>Gruodis</v>
      </c>
      <c r="P11" s="155" t="s">
        <v>171</v>
      </c>
    </row>
    <row r="12" spans="1:16">
      <c r="A12" s="141" t="s">
        <v>160</v>
      </c>
      <c r="B12" s="145"/>
      <c r="C12" s="146"/>
      <c r="D12" s="147" t="e">
        <f ca="1">INDIRECT(
                ADDRESS(
                               OFFSET('0'!$B$112,
                                           (COLUMN(D11)-4)*10+1,
                                           -1),
                              4,4,TRUE,
                              OFFSET('0'!$B$1,COLUMN(D11)-4,0)))</f>
        <v>#REF!</v>
      </c>
      <c r="E12" s="147" t="e">
        <f ca="1">INDIRECT(
                ADDRESS(
                               OFFSET('0'!$B$112,
                                           (COLUMN(E11)-4)*10+1,
                                           -1),
                              4,4,TRUE,
                              OFFSET('0'!$B$1,COLUMN(E11)-4,0)))</f>
        <v>#REF!</v>
      </c>
      <c r="F12" s="147" t="e">
        <f ca="1">INDIRECT(
                ADDRESS(
                               OFFSET('0'!$B$112,
                                           (COLUMN(F11)-4)*10+1,
                                           -1),
                              4,4,TRUE,
                              OFFSET('0'!$B$1,COLUMN(F11)-4,0)))</f>
        <v>#REF!</v>
      </c>
      <c r="G12" s="147" t="e">
        <f ca="1">INDIRECT(
                ADDRESS(
                               OFFSET('0'!$B$112,
                                           (COLUMN(G11)-4)*10+1,
                                           -1),
                              4,4,TRUE,
                              OFFSET('0'!$B$1,COLUMN(G11)-4,0)))</f>
        <v>#REF!</v>
      </c>
      <c r="H12" s="147" t="e">
        <f ca="1">INDIRECT(
                ADDRESS(
                               OFFSET('0'!$B$112,
                                           (COLUMN(H11)-4)*10+1,
                                           -1),
                              4,4,TRUE,
                              OFFSET('0'!$B$1,COLUMN(H11)-4,0)))</f>
        <v>#REF!</v>
      </c>
      <c r="I12" s="147" t="e">
        <f ca="1">INDIRECT(
                ADDRESS(
                               OFFSET('0'!$B$112,
                                           (COLUMN(I11)-4)*10+1,
                                           -1),
                              4,4,TRUE,
                              OFFSET('0'!$B$1,COLUMN(I11)-4,0)))</f>
        <v>#REF!</v>
      </c>
      <c r="J12" s="147" t="e">
        <f ca="1">INDIRECT(
                ADDRESS(
                               OFFSET('0'!$B$112,
                                           (COLUMN(J11)-4)*10+1,
                                           -1),
                              4,4,TRUE,
                              OFFSET('0'!$B$1,COLUMN(J11)-4,0)))</f>
        <v>#REF!</v>
      </c>
      <c r="K12" s="147" t="e">
        <f ca="1">INDIRECT(
                ADDRESS(
                               OFFSET('0'!$B$112,
                                           (COLUMN(K11)-4)*10+1,
                                           -1),
                              4,4,TRUE,
                              OFFSET('0'!$B$1,COLUMN(K11)-4,0)))</f>
        <v>#REF!</v>
      </c>
      <c r="L12" s="147" t="e">
        <f ca="1">INDIRECT(
                ADDRESS(
                               OFFSET('0'!$B$112,
                                           (COLUMN(L11)-4)*10+1,
                                           -1),
                              4,4,TRUE,
                              OFFSET('0'!$B$1,COLUMN(L11)-4,0)))</f>
        <v>#REF!</v>
      </c>
      <c r="M12" s="147" t="e">
        <f ca="1">INDIRECT(
                ADDRESS(
                               OFFSET('0'!$B$112,
                                           (COLUMN(M11)-4)*10+1,
                                           -1),
                              4,4,TRUE,
                              OFFSET('0'!$B$1,COLUMN(M11)-4,0)))</f>
        <v>#REF!</v>
      </c>
      <c r="N12" s="147" t="e">
        <f ca="1">INDIRECT(
                ADDRESS(
                               OFFSET('0'!$B$112,
                                           (COLUMN(N11)-4)*10+1,
                                           -1),
                              4,4,TRUE,
                              OFFSET('0'!$B$1,COLUMN(N11)-4,0)))</f>
        <v>#REF!</v>
      </c>
      <c r="O12" s="147" t="e">
        <f ca="1">INDIRECT(
                ADDRESS(
                               OFFSET('0'!$B$112,
                                           (COLUMN(O11)-4)*10+1,
                                           -1),
                              4,4,TRUE,
                              OFFSET('0'!$B$1,COLUMN(O11)-4,0)))</f>
        <v>#REF!</v>
      </c>
      <c r="P12" s="153" t="e">
        <f ca="1">SUM(D12:O12)</f>
        <v>#REF!</v>
      </c>
    </row>
    <row r="13" spans="1:16">
      <c r="A13" s="141" t="s">
        <v>161</v>
      </c>
      <c r="B13" s="145"/>
      <c r="C13" s="146"/>
      <c r="D13" s="160" t="e">
        <f ca="1">INDIRECT(
                ADDRESS(
                               OFFSET('0'!$B$112,
                                           (COLUMN(D11)-4)*10+1,
                                           -1),
                              12,4,TRUE,
                              OFFSET('0'!$B$1,COLUMN(D11)-4,0)))</f>
        <v>#REF!</v>
      </c>
      <c r="E13" s="160" t="e">
        <f ca="1">INDIRECT(
                ADDRESS(
                               OFFSET('0'!$B$112,
                                           (COLUMN(E11)-4)*10+1,
                                           -1),
                              12,4,TRUE,
                              OFFSET('0'!$B$1,COLUMN(E11)-4,0)))</f>
        <v>#REF!</v>
      </c>
      <c r="F13" s="160" t="e">
        <f ca="1">INDIRECT(
                ADDRESS(
                               OFFSET('0'!$B$112,
                                           (COLUMN(F11)-4)*10+1,
                                           -1),
                              12,4,TRUE,
                              OFFSET('0'!$B$1,COLUMN(F11)-4,0)))</f>
        <v>#REF!</v>
      </c>
      <c r="G13" s="160" t="e">
        <f ca="1">INDIRECT(
                ADDRESS(
                               OFFSET('0'!$B$112,
                                           (COLUMN(G11)-4)*10+1,
                                           -1),
                              12,4,TRUE,
                              OFFSET('0'!$B$1,COLUMN(G11)-4,0)))</f>
        <v>#REF!</v>
      </c>
      <c r="H13" s="160" t="e">
        <f ca="1">INDIRECT(
                ADDRESS(
                               OFFSET('0'!$B$112,
                                           (COLUMN(H11)-4)*10+1,
                                           -1),
                              12,4,TRUE,
                              OFFSET('0'!$B$1,COLUMN(H11)-4,0)))</f>
        <v>#REF!</v>
      </c>
      <c r="I13" s="160" t="e">
        <f ca="1">INDIRECT(
                ADDRESS(
                               OFFSET('0'!$B$112,
                                           (COLUMN(I11)-4)*10+1,
                                           -1),
                              12,4,TRUE,
                              OFFSET('0'!$B$1,COLUMN(I11)-4,0)))</f>
        <v>#REF!</v>
      </c>
      <c r="J13" s="160" t="e">
        <f ca="1">INDIRECT(
                ADDRESS(
                               OFFSET('0'!$B$112,
                                           (COLUMN(J11)-4)*10+1,
                                           -1),
                              12,4,TRUE,
                              OFFSET('0'!$B$1,COLUMN(J11)-4,0)))</f>
        <v>#REF!</v>
      </c>
      <c r="K13" s="160" t="e">
        <f ca="1">INDIRECT(
                ADDRESS(
                               OFFSET('0'!$B$112,
                                           (COLUMN(K11)-4)*10+1,
                                           -1),
                              12,4,TRUE,
                              OFFSET('0'!$B$1,COLUMN(K11)-4,0)))</f>
        <v>#REF!</v>
      </c>
      <c r="L13" s="160" t="e">
        <f ca="1">INDIRECT(
                ADDRESS(
                               OFFSET('0'!$B$112,
                                           (COLUMN(L11)-4)*10+1,
                                           -1),
                              12,4,TRUE,
                              OFFSET('0'!$B$1,COLUMN(L11)-4,0)))</f>
        <v>#REF!</v>
      </c>
      <c r="M13" s="160" t="e">
        <f ca="1">INDIRECT(
                ADDRESS(
                               OFFSET('0'!$B$112,
                                           (COLUMN(M11)-4)*10+1,
                                           -1),
                              12,4,TRUE,
                              OFFSET('0'!$B$1,COLUMN(M11)-4,0)))</f>
        <v>#REF!</v>
      </c>
      <c r="N13" s="160" t="e">
        <f ca="1">INDIRECT(
                ADDRESS(
                               OFFSET('0'!$B$112,
                                           (COLUMN(N11)-4)*10+1,
                                           -1),
                              12,4,TRUE,
                              OFFSET('0'!$B$1,COLUMN(N11)-4,0)))</f>
        <v>#REF!</v>
      </c>
      <c r="O13" s="160" t="e">
        <f ca="1">INDIRECT(
                ADDRESS(
                               OFFSET('0'!$B$112,
                                           (COLUMN(O11)-4)*10+1,
                                           -1),
                              12,4,TRUE,
                              OFFSET('0'!$B$1,COLUMN(O11)-4,0)))</f>
        <v>#REF!</v>
      </c>
      <c r="P13" s="153" t="e">
        <f ca="1">SUM(D13:O13)</f>
        <v>#REF!</v>
      </c>
    </row>
    <row r="14" spans="1:16">
      <c r="A14" s="141" t="s">
        <v>162</v>
      </c>
      <c r="B14" s="141"/>
      <c r="C14" s="146"/>
      <c r="D14" s="148" t="e">
        <f ca="1">D13/1000</f>
        <v>#REF!</v>
      </c>
      <c r="E14" s="148" t="e">
        <f t="shared" ref="E14:O14" ca="1" si="0">E13/1000</f>
        <v>#REF!</v>
      </c>
      <c r="F14" s="148" t="e">
        <f t="shared" ca="1" si="0"/>
        <v>#REF!</v>
      </c>
      <c r="G14" s="148" t="e">
        <f t="shared" ca="1" si="0"/>
        <v>#REF!</v>
      </c>
      <c r="H14" s="148" t="e">
        <f t="shared" ca="1" si="0"/>
        <v>#REF!</v>
      </c>
      <c r="I14" s="148" t="e">
        <f t="shared" ca="1" si="0"/>
        <v>#REF!</v>
      </c>
      <c r="J14" s="148" t="e">
        <f t="shared" ca="1" si="0"/>
        <v>#REF!</v>
      </c>
      <c r="K14" s="148" t="e">
        <f t="shared" ca="1" si="0"/>
        <v>#REF!</v>
      </c>
      <c r="L14" s="148" t="e">
        <f t="shared" ca="1" si="0"/>
        <v>#REF!</v>
      </c>
      <c r="M14" s="148" t="e">
        <f t="shared" ca="1" si="0"/>
        <v>#REF!</v>
      </c>
      <c r="N14" s="148" t="e">
        <f t="shared" ca="1" si="0"/>
        <v>#REF!</v>
      </c>
      <c r="O14" s="148" t="e">
        <f t="shared" ca="1" si="0"/>
        <v>#REF!</v>
      </c>
      <c r="P14" s="154" t="e">
        <f ca="1">SUM(D14:O14)</f>
        <v>#REF!</v>
      </c>
    </row>
    <row r="15" spans="1:16">
      <c r="P15" s="138"/>
    </row>
    <row r="16" spans="1:16" ht="17.399999999999999">
      <c r="A16" s="135" t="s">
        <v>174</v>
      </c>
      <c r="B16" s="48"/>
      <c r="C16" s="48"/>
      <c r="D16" s="48"/>
      <c r="E16" s="48"/>
      <c r="F16" s="48"/>
      <c r="G16" s="48"/>
    </row>
    <row r="17" spans="1:14" s="138" customFormat="1" ht="17.399999999999999">
      <c r="A17" s="135" t="s">
        <v>186</v>
      </c>
      <c r="B17" s="48"/>
      <c r="C17" s="143"/>
      <c r="D17" s="135" t="s">
        <v>187</v>
      </c>
      <c r="E17" s="48"/>
      <c r="F17" s="139" t="s">
        <v>176</v>
      </c>
      <c r="G17" s="48"/>
      <c r="I17" s="140" t="str">
        <f ca="1">CONCATENATE(
ADDRESS(12,4,,,
MID(CELL("filename",A17),FIND("]",CELL("filename",A17))+1,255)
),":",
ADDRESS(12,Dinamika!$C$11+3)
)</f>
        <v>Metine_suvestine!$D$12:$D$12</v>
      </c>
    </row>
    <row r="18" spans="1:14" s="138" customFormat="1" ht="28.2" customHeight="1">
      <c r="A18" s="254" t="e">
        <f ca="1">CONCATENATE($A16,Dinamika!$B$1," m. ",
                          OFFSET('0'!A1,Dinamika!$C$11-1,0)," ",
                          DAY(DATE(Dinamika!B1,Dinamika!$C$11+1,1)-1),$A17,CHAR(13),$D17,
                          TEXT(SUM(OFFSET($D$12:$O$12,0,0, 1, Dinamika!$C$11)),"### ##0"),")")</f>
        <v>#REF!</v>
      </c>
      <c r="B18" s="254"/>
      <c r="C18" s="254"/>
      <c r="D18" s="254"/>
      <c r="E18" s="254"/>
      <c r="F18" s="254"/>
      <c r="G18" s="254"/>
    </row>
    <row r="26" spans="1:14">
      <c r="N26" s="158"/>
    </row>
    <row r="33" spans="1:15" ht="24.6" customHeight="1"/>
    <row r="34" spans="1:15" ht="0.6" hidden="1" customHeight="1"/>
    <row r="35" spans="1:15" ht="33.6" hidden="1" customHeight="1">
      <c r="I35" s="140"/>
    </row>
    <row r="36" spans="1:15" hidden="1"/>
    <row r="37" spans="1:15" s="149" customFormat="1" hidden="1">
      <c r="A37" s="141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</row>
    <row r="38" spans="1:15" s="149" customFormat="1" hidden="1">
      <c r="A38" s="141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</row>
    <row r="39" spans="1:15" s="149" customFormat="1" hidden="1">
      <c r="A39" s="141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</row>
    <row r="40" spans="1:15" s="149" customFormat="1" hidden="1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</row>
    <row r="41" spans="1:15" s="149" customFormat="1" hidden="1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</row>
    <row r="42" spans="1:15" s="149" customFormat="1" hidden="1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</row>
    <row r="43" spans="1:15" s="149" customFormat="1" hidden="1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</row>
    <row r="44" spans="1:15" s="149" customFormat="1" hidden="1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</row>
    <row r="45" spans="1:15" s="149" customFormat="1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</row>
    <row r="46" spans="1:15" s="149" customFormat="1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</row>
    <row r="47" spans="1:15" s="149" customFormat="1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</row>
    <row r="48" spans="1:15" s="149" customFormat="1" ht="17.399999999999999">
      <c r="A48" s="135" t="s">
        <v>174</v>
      </c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</row>
    <row r="49" spans="1:15" s="149" customFormat="1" ht="17.399999999999999">
      <c r="A49" s="183" t="s">
        <v>188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</row>
    <row r="50" spans="1:15" s="149" customFormat="1" hidden="1">
      <c r="A50" s="136" t="e">
        <f ca="1">CONCATENATE($A48,Dinamika!$B$1," m. ",
                          OFFSET('0'!A33,Dinamika!$C$11-1,0)," ",
                          DAY(DATE(Dinamika!B33,Dinamika!$C$11+1,1)-1),$A49,
                          SUM(OFFSET($D$12:$O$12,0,0, 1, Dinamika!$C$11)),")")</f>
        <v>#REF!</v>
      </c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</row>
    <row r="51" spans="1:15" s="149" customFormat="1" ht="17.399999999999999">
      <c r="A51" s="183" t="s">
        <v>189</v>
      </c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</row>
    <row r="52" spans="1:15" s="149" customFormat="1" ht="27.6" customHeight="1">
      <c r="A52" s="135" t="s">
        <v>167</v>
      </c>
      <c r="F52" s="138" t="s">
        <v>177</v>
      </c>
      <c r="G52" s="138"/>
      <c r="H52" s="138"/>
      <c r="I52" s="140" t="str">
        <f ca="1">CONCATENATE(
ADDRESS(13,4,,,
MID(CELL("filename",A1),FIND("]",CELL("filename",A1))+1,255)
),":",
ADDRESS(13,Dinamika!$C$11+3)
)</f>
        <v>Metine_suvestine!$D$13:$D$13</v>
      </c>
      <c r="J52" s="138"/>
      <c r="K52" s="138"/>
      <c r="L52" s="138"/>
      <c r="M52" s="138"/>
      <c r="N52" s="138"/>
      <c r="O52" s="138"/>
    </row>
    <row r="53" spans="1:15" s="149" customFormat="1" ht="31.2" customHeight="1">
      <c r="A53" s="253" t="e">
        <f ca="1">CONCATENATE($A48,Dinamika!$B$1," m. ",
                          OFFSET('0'!A1,Dinamika!$C$11-1,0)," ",
                          DAY(DATE(Dinamika!B1,Dinamika!$C$11+1,1)-1),$A49,CHAR(13),$A51,
                         TEXT(SUM(OFFSET($D$13:$O$13,0,0, 1, Dinamika!$C$11)),"### ##0"),$A52)</f>
        <v>#REF!</v>
      </c>
      <c r="B53" s="253"/>
      <c r="C53" s="253"/>
      <c r="D53" s="253"/>
      <c r="E53" s="253"/>
      <c r="F53" s="253"/>
      <c r="G53" s="253"/>
      <c r="H53" s="253"/>
      <c r="I53" s="138"/>
      <c r="J53" s="138"/>
      <c r="K53" s="138"/>
      <c r="L53" s="138"/>
      <c r="M53" s="138"/>
      <c r="N53" s="138"/>
      <c r="O53" s="138"/>
    </row>
    <row r="54" spans="1:15" s="149" customFormat="1">
      <c r="A54" s="141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</row>
    <row r="55" spans="1:15" s="149" customFormat="1">
      <c r="A55" s="141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45"/>
      <c r="M55" s="145"/>
      <c r="N55" s="145"/>
      <c r="O55" s="145"/>
    </row>
    <row r="56" spans="1:15" s="149" customFormat="1">
      <c r="A56" s="141"/>
      <c r="B56" s="151"/>
      <c r="C56" s="151"/>
      <c r="D56" s="151"/>
      <c r="E56" s="151"/>
      <c r="F56" s="151"/>
      <c r="G56" s="151"/>
      <c r="H56" s="151"/>
      <c r="I56" s="151"/>
      <c r="J56" s="151"/>
      <c r="K56" s="151"/>
      <c r="L56" s="151"/>
      <c r="M56" s="151"/>
      <c r="N56" s="151"/>
      <c r="O56" s="151"/>
    </row>
    <row r="57" spans="1:15" s="149" customFormat="1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</row>
    <row r="58" spans="1:15" s="149" customFormat="1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</row>
    <row r="59" spans="1:15" s="149" customFormat="1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</row>
    <row r="60" spans="1:15" s="149" customFormat="1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</row>
    <row r="61" spans="1:15" s="149" customFormat="1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</row>
    <row r="62" spans="1:15" s="149" customFormat="1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</row>
    <row r="63" spans="1:15" s="149" customFormat="1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</row>
    <row r="64" spans="1:15" s="149" customFormat="1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</row>
    <row r="65" spans="1:15" s="149" customFormat="1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</row>
    <row r="66" spans="1:15" s="149" customFormat="1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</row>
    <row r="67" spans="1:15" s="149" customFormat="1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</row>
    <row r="68" spans="1:15" s="149" customFormat="1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</row>
    <row r="69" spans="1:15" s="149" customFormat="1">
      <c r="A69" s="141"/>
      <c r="B69" s="151"/>
      <c r="C69" s="151"/>
      <c r="D69" s="151"/>
      <c r="E69" s="151"/>
      <c r="F69" s="151"/>
      <c r="G69" s="151"/>
      <c r="H69" s="151"/>
      <c r="I69" s="151"/>
      <c r="J69" s="151"/>
      <c r="K69" s="151"/>
      <c r="L69" s="151"/>
      <c r="M69" s="151"/>
      <c r="N69" s="151"/>
      <c r="O69" s="151"/>
    </row>
    <row r="70" spans="1:15" s="149" customFormat="1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</row>
    <row r="71" spans="1:15" s="149" customFormat="1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</row>
    <row r="72" spans="1:15" s="149" customFormat="1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</row>
    <row r="73" spans="1:15" s="149" customFormat="1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</row>
    <row r="74" spans="1:15" s="149" customFormat="1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</row>
    <row r="75" spans="1:15" s="149" customFormat="1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</row>
    <row r="76" spans="1:15" s="149" customFormat="1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</row>
    <row r="77" spans="1:15" s="149" customFormat="1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</row>
    <row r="78" spans="1:15" s="149" customFormat="1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</row>
    <row r="79" spans="1:15" s="149" customFormat="1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</row>
    <row r="80" spans="1:15" s="149" customFormat="1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</row>
    <row r="81" spans="1:15" s="149" customFormat="1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</row>
    <row r="82" spans="1:15" s="149" customFormat="1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</row>
    <row r="83" spans="1:15" s="149" customFormat="1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</row>
    <row r="84" spans="1:15" s="149" customFormat="1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</row>
    <row r="85" spans="1:15" s="149" customFormat="1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</row>
    <row r="86" spans="1:15" s="149" customFormat="1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</row>
    <row r="87" spans="1:15" s="149" customFormat="1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</row>
    <row r="88" spans="1:15" s="149" customFormat="1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</row>
    <row r="89" spans="1:15" s="149" customFormat="1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</row>
    <row r="90" spans="1:15" s="149" customFormat="1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</row>
    <row r="91" spans="1:15" s="149" customFormat="1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</row>
    <row r="92" spans="1:15" s="149" customFormat="1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</row>
    <row r="93" spans="1:15" s="149" customFormat="1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</row>
    <row r="94" spans="1:15" s="149" customFormat="1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</row>
    <row r="95" spans="1:15" s="149" customFormat="1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</row>
    <row r="96" spans="1:15" s="149" customFormat="1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</row>
    <row r="97" spans="1:15" s="149" customFormat="1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</row>
    <row r="98" spans="1:15" s="149" customFormat="1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</row>
    <row r="99" spans="1:15" s="149" customFormat="1">
      <c r="A99" s="141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</row>
    <row r="100" spans="1:15" s="149" customFormat="1">
      <c r="A100" s="141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</row>
    <row r="101" spans="1:15" s="149" customFormat="1">
      <c r="A101" s="141"/>
      <c r="B101" s="151"/>
      <c r="C101" s="151"/>
      <c r="D101" s="151"/>
      <c r="E101" s="151"/>
      <c r="F101" s="151"/>
      <c r="G101" s="151"/>
      <c r="H101" s="151"/>
      <c r="I101" s="151"/>
      <c r="J101" s="151"/>
      <c r="K101" s="151"/>
      <c r="L101" s="151"/>
      <c r="M101" s="151"/>
      <c r="N101" s="151"/>
      <c r="O101" s="151"/>
    </row>
    <row r="102" spans="1:15" s="149" customFormat="1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</row>
    <row r="103" spans="1:15" s="149" customFormat="1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</row>
    <row r="104" spans="1:15" s="149" customFormat="1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</row>
    <row r="105" spans="1:15" s="149" customFormat="1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</row>
    <row r="106" spans="1:15" s="149" customFormat="1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</row>
    <row r="107" spans="1:15" s="149" customFormat="1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</row>
    <row r="108" spans="1:15" s="149" customFormat="1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</row>
    <row r="109" spans="1:15" s="149" customFormat="1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</row>
    <row r="110" spans="1:15" s="149" customFormat="1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</row>
    <row r="111" spans="1:15" s="149" customFormat="1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</row>
    <row r="112" spans="1:15" s="149" customFormat="1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</row>
    <row r="113" spans="1:15" s="149" customFormat="1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</row>
    <row r="114" spans="1:15" s="149" customFormat="1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</row>
    <row r="115" spans="1:15" s="149" customFormat="1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</row>
    <row r="116" spans="1:15" s="149" customFormat="1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</row>
    <row r="117" spans="1:15" s="149" customFormat="1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</row>
    <row r="118" spans="1:15" s="149" customFormat="1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</row>
    <row r="119" spans="1:15" s="149" customFormat="1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</row>
    <row r="120" spans="1:15" s="149" customFormat="1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</row>
    <row r="121" spans="1:15" s="149" customFormat="1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</row>
    <row r="122" spans="1:15" s="149" customFormat="1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</row>
    <row r="123" spans="1:15" s="149" customFormat="1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</row>
    <row r="124" spans="1:15" s="149" customFormat="1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</row>
    <row r="125" spans="1:15" s="149" customFormat="1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</row>
    <row r="126" spans="1:15" s="149" customFormat="1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</row>
    <row r="127" spans="1:15" s="149" customFormat="1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</row>
    <row r="128" spans="1:15" s="149" customFormat="1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</row>
    <row r="129" spans="1:15" s="149" customFormat="1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</row>
    <row r="130" spans="1:15" s="149" customFormat="1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</row>
    <row r="131" spans="1:15" s="149" customFormat="1">
      <c r="A131" s="141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</row>
    <row r="132" spans="1:15" s="149" customFormat="1">
      <c r="A132" s="141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</row>
    <row r="133" spans="1:15" s="149" customFormat="1">
      <c r="A133" s="141"/>
      <c r="B133" s="151"/>
      <c r="C133" s="151"/>
      <c r="D133" s="151"/>
      <c r="E133" s="151"/>
      <c r="F133" s="152"/>
      <c r="G133" s="151"/>
      <c r="H133" s="151"/>
      <c r="I133" s="151"/>
      <c r="J133" s="151"/>
      <c r="K133" s="151"/>
      <c r="L133" s="151"/>
      <c r="M133" s="151"/>
      <c r="N133" s="151"/>
      <c r="O133" s="151"/>
    </row>
    <row r="134" spans="1:15" s="149" customFormat="1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</row>
    <row r="135" spans="1:15" s="149" customFormat="1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</row>
    <row r="136" spans="1:15" s="149" customFormat="1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</row>
    <row r="137" spans="1:15" s="149" customFormat="1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</row>
    <row r="138" spans="1:15" s="149" customFormat="1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</row>
    <row r="139" spans="1:15" s="149" customFormat="1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</row>
    <row r="140" spans="1:15" s="149" customFormat="1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</row>
    <row r="141" spans="1:15" s="149" customFormat="1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</row>
    <row r="142" spans="1:15" s="149" customFormat="1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</row>
    <row r="143" spans="1:15" s="149" customFormat="1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</row>
    <row r="144" spans="1:15" s="149" customFormat="1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</row>
    <row r="145" spans="1:15" s="149" customFormat="1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</row>
    <row r="146" spans="1:15" s="149" customFormat="1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</row>
    <row r="147" spans="1:15" s="149" customFormat="1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</row>
    <row r="148" spans="1:15" s="149" customFormat="1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</row>
    <row r="149" spans="1:15" s="149" customFormat="1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</row>
    <row r="150" spans="1:15" s="149" customFormat="1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</row>
    <row r="151" spans="1:15" s="149" customFormat="1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</row>
    <row r="152" spans="1:15" s="149" customFormat="1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</row>
    <row r="153" spans="1:15" s="149" customFormat="1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</row>
    <row r="154" spans="1:15" s="149" customFormat="1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</row>
    <row r="155" spans="1:15" s="149" customFormat="1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</row>
    <row r="156" spans="1:15" s="149" customFormat="1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</row>
    <row r="157" spans="1:15" s="149" customFormat="1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</row>
    <row r="158" spans="1:15" s="149" customFormat="1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</row>
    <row r="159" spans="1:15" s="149" customFormat="1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</row>
    <row r="160" spans="1:15" s="149" customFormat="1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</row>
    <row r="161" spans="1:15" s="149" customFormat="1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</row>
    <row r="162" spans="1:15" s="149" customFormat="1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</row>
    <row r="163" spans="1:15" s="149" customFormat="1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</row>
    <row r="164" spans="1:15" s="149" customFormat="1">
      <c r="A164" s="141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</row>
    <row r="165" spans="1:15" s="149" customFormat="1">
      <c r="A165" s="141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</row>
    <row r="166" spans="1:15" s="149" customFormat="1">
      <c r="A166" s="141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1"/>
      <c r="O166" s="151"/>
    </row>
    <row r="167" spans="1:15" s="149" customFormat="1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</row>
    <row r="168" spans="1:15" s="149" customFormat="1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</row>
    <row r="169" spans="1:15" s="149" customFormat="1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</row>
    <row r="170" spans="1:15" s="149" customFormat="1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</row>
    <row r="171" spans="1:15" s="149" customFormat="1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</row>
    <row r="172" spans="1:15" s="149" customFormat="1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</row>
    <row r="173" spans="1:15" s="149" customFormat="1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</row>
    <row r="174" spans="1:15" s="149" customFormat="1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</row>
    <row r="175" spans="1:15" s="149" customFormat="1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</row>
    <row r="176" spans="1:15" s="149" customFormat="1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</row>
    <row r="177" spans="1:15" s="149" customFormat="1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</row>
    <row r="178" spans="1:15" s="149" customFormat="1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</row>
    <row r="179" spans="1:15" s="149" customFormat="1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</row>
    <row r="180" spans="1:15" s="149" customFormat="1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</row>
    <row r="181" spans="1:15" s="149" customFormat="1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</row>
    <row r="182" spans="1:15" s="149" customFormat="1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</row>
    <row r="183" spans="1:15" s="149" customFormat="1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</row>
    <row r="184" spans="1:15" s="149" customFormat="1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</row>
    <row r="185" spans="1:15" s="149" customFormat="1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</row>
    <row r="186" spans="1:15" s="149" customFormat="1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</row>
    <row r="187" spans="1:15" s="149" customFormat="1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</row>
    <row r="188" spans="1:15" s="149" customFormat="1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</row>
    <row r="189" spans="1:15" s="149" customFormat="1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</row>
    <row r="190" spans="1:15" s="149" customFormat="1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</row>
    <row r="191" spans="1:15" s="149" customFormat="1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</row>
    <row r="192" spans="1:15" s="149" customFormat="1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</row>
    <row r="193" spans="1:15" s="149" customFormat="1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</row>
    <row r="194" spans="1:15" s="149" customFormat="1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</row>
    <row r="195" spans="1:15" s="149" customFormat="1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</row>
    <row r="196" spans="1:15" s="149" customFormat="1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</row>
    <row r="197" spans="1:15" s="149" customFormat="1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</row>
    <row r="198" spans="1:15" s="149" customFormat="1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</row>
    <row r="199" spans="1:15" s="149" customFormat="1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</row>
    <row r="200" spans="1:15" s="149" customFormat="1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</row>
    <row r="201" spans="1:15" s="149" customFormat="1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</row>
    <row r="202" spans="1:15" s="149" customFormat="1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</row>
    <row r="203" spans="1:15" s="149" customFormat="1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</row>
    <row r="204" spans="1:15" s="149" customFormat="1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</row>
    <row r="205" spans="1:15" s="149" customFormat="1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</row>
    <row r="206" spans="1:15" s="149" customFormat="1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</row>
    <row r="207" spans="1:15" s="149" customFormat="1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</row>
    <row r="208" spans="1:15" s="149" customFormat="1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</row>
    <row r="209" spans="1:15" s="149" customFormat="1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</row>
  </sheetData>
  <mergeCells count="2">
    <mergeCell ref="A53:H53"/>
    <mergeCell ref="A18:G18"/>
  </mergeCells>
  <dataValidations count="1">
    <dataValidation type="list" allowBlank="1" showInputMessage="1" showErrorMessage="1" sqref="B3:B10">
      <formula1>'0'!$D$1:$D$16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3:T41"/>
  <sheetViews>
    <sheetView zoomScale="50" zoomScaleNormal="50" workbookViewId="0">
      <selection activeCell="W23" sqref="W23"/>
    </sheetView>
  </sheetViews>
  <sheetFormatPr defaultRowHeight="14.4"/>
  <cols>
    <col min="4" max="4" width="17.109375" customWidth="1"/>
  </cols>
  <sheetData>
    <row r="3" spans="4:6" ht="51">
      <c r="F3" s="161" t="s">
        <v>178</v>
      </c>
    </row>
    <row r="4" spans="4:6" ht="51">
      <c r="F4" s="161" t="s">
        <v>179</v>
      </c>
    </row>
    <row r="5" spans="4:6" ht="51">
      <c r="F5" s="162" t="s">
        <v>180</v>
      </c>
    </row>
    <row r="7" spans="4:6">
      <c r="D7" s="47" t="str">
        <f ca="1">CONCATENATE(Metine_suvestine!$A16,Dinamika!$B$1," m. ",
                          OFFSET('0'!A1,Dinamika!$C$11-1,0)," ",
                          DAY(DATE(Dinamika!B1,Dinamika!$C$11+1,1)-1)," d." )</f>
        <v>2025 m. sausio 27 d. – 2026 m. sausio 31 d.</v>
      </c>
    </row>
    <row r="8" spans="4:6">
      <c r="D8" s="47" t="str">
        <f ca="1">D7</f>
        <v>2025 m. sausio 27 d. – 2026 m. sausio 31 d.</v>
      </c>
    </row>
    <row r="17" spans="1:20" ht="43.5" customHeight="1"/>
    <row r="18" spans="1:20" ht="43.5" customHeight="1"/>
    <row r="19" spans="1:20" ht="43.5" customHeight="1">
      <c r="A19" s="165" t="s">
        <v>181</v>
      </c>
      <c r="B19" s="165"/>
      <c r="C19" s="165"/>
      <c r="D19" s="165"/>
      <c r="E19" s="165" t="e">
        <f ca="1">SUM(OFFSET('Bendras metų'!$E28:$P28,0,0, 1, Dinamika!$C$11))</f>
        <v>#REF!</v>
      </c>
      <c r="F19" s="165" t="e">
        <f ca="1">IF(OR(MOD(E19, 10) =0,
              AND(MOD(E19,100) &gt;=10,MOD(E19,100) &lt;20)),"ų",
        IF(MOD(E19, 10) =1,"as","ai")
      )</f>
        <v>#REF!</v>
      </c>
      <c r="G19" s="166" t="e">
        <f ca="1">CONCATENATE(A19,E19," pranešim",F19,";")</f>
        <v>#REF!</v>
      </c>
    </row>
    <row r="20" spans="1:20" ht="43.5" customHeight="1">
      <c r="A20" s="165" t="s">
        <v>182</v>
      </c>
      <c r="B20" s="165"/>
      <c r="C20" s="165"/>
      <c r="D20" s="165"/>
      <c r="E20" s="165" t="e">
        <f ca="1">SUM(OFFSET('Bendras metų'!$E29:$P29,0,0, 1, Dinamika!$C$11))</f>
        <v>#REF!</v>
      </c>
      <c r="F20" s="165" t="e">
        <f ca="1">IF(OR(MOD(E20, 10) =0,
              AND(MOD(E20,100) &gt;=10,MOD(E20,100) &lt;20)),"ų",
        IF(MOD(E20, 10) =1,"as","ai")
      )</f>
        <v>#REF!</v>
      </c>
      <c r="G20" s="166" t="e">
        <f ca="1">CONCATENATE(A20,E20," pranešim",F20,";")</f>
        <v>#REF!</v>
      </c>
    </row>
    <row r="21" spans="1:20" ht="43.5" customHeight="1">
      <c r="A21" s="165" t="s">
        <v>183</v>
      </c>
      <c r="B21" s="165"/>
      <c r="C21" s="165"/>
      <c r="D21" s="165"/>
      <c r="E21" s="165" t="e">
        <f ca="1">SUM(OFFSET('Bendras metų'!$E30:$P30,0,0, 1, Dinamika!$C$11))</f>
        <v>#REF!</v>
      </c>
      <c r="F21" s="165" t="e">
        <f ca="1">IF(OR(MOD(E21, 10) =0,
              AND(MOD(E21,100) &gt;=10,MOD(E21,100) &lt;20)),"ų",
        IF(MOD(E21, 10) =1,"as","ai")
      )</f>
        <v>#REF!</v>
      </c>
      <c r="G21" s="166" t="e">
        <f ca="1">CONCATENATE(A21,E21," pranešim",F21,";")</f>
        <v>#REF!</v>
      </c>
    </row>
    <row r="22" spans="1:20" ht="43.5" customHeight="1">
      <c r="A22" s="165" t="s">
        <v>184</v>
      </c>
      <c r="B22" s="165"/>
      <c r="C22" s="165"/>
      <c r="D22" s="165"/>
      <c r="E22" s="165" t="e">
        <f ca="1">SUM(OFFSET('Bendras metų'!$E31:$P31,0,0, 1, Dinamika!$C$11))</f>
        <v>#REF!</v>
      </c>
      <c r="F22" s="165" t="e">
        <f ca="1">IF(OR(MOD(E22, 10) =0,
              AND(MOD(E22,100) &gt;=10,MOD(E22,100) &lt;20)),"ų",
        IF(MOD(E22, 10) =1,"as","ai")
      )</f>
        <v>#REF!</v>
      </c>
      <c r="G22" s="166" t="e">
        <f ca="1">CONCATENATE(A22,E22," pranešim",F22,";")</f>
        <v>#REF!</v>
      </c>
    </row>
    <row r="23" spans="1:20" ht="43.5" customHeight="1">
      <c r="A23" s="165" t="s">
        <v>185</v>
      </c>
      <c r="B23" s="165"/>
      <c r="C23" s="165"/>
      <c r="D23" s="165"/>
      <c r="E23" s="165" t="e">
        <f ca="1">SUM(OFFSET('Bendras metų'!$E32:$P32,0,0, 1, Dinamika!$C$11))</f>
        <v>#REF!</v>
      </c>
      <c r="F23" s="165" t="e">
        <f ca="1">IF(OR(MOD(E23, 10) =0,
              AND(MOD(E23,100) &gt;=10,MOD(E23,100) &lt;20)),"ų",
        IF(MOD(E23, 10) =1,"as","ai")
      )</f>
        <v>#REF!</v>
      </c>
      <c r="G23" s="166" t="e">
        <f ca="1">CONCATENATE(A23,E23," pranešim",F23,".")</f>
        <v>#REF!</v>
      </c>
    </row>
    <row r="24" spans="1:20" ht="408.6" customHeight="1">
      <c r="F24" s="255" t="e">
        <f ca="1">CONCATENATE(A19,TEXT(E19,"### ##0")," pranešim",F19,";",CHAR(10),CHAR(10),CHAR(10),
CONCATENATE(A20,TEXT(E20,"### ##0")," pranešim",F20,";",CHAR(10),CHAR(10),CHAR(10),
CONCATENATE(A21,TEXT(E21,"### ##0")," pranešim",F21,";",CHAR(10),CHAR(10),CHAR(10),
CONCATENATE(A22,TEXT(E22,"### ##0")," pranešim",F22,";",CHAR(10),CHAR(10),CHAR(10),
CONCATENATE(A23,TEXT(E23,"### ##0")," pranešim",F23,"."
)))))</f>
        <v>#REF!</v>
      </c>
      <c r="G24" s="255"/>
      <c r="H24" s="255"/>
      <c r="I24" s="255"/>
      <c r="J24" s="255"/>
      <c r="K24" s="255"/>
      <c r="L24" s="255"/>
      <c r="M24" s="255"/>
      <c r="N24" s="255"/>
      <c r="O24" s="255"/>
      <c r="P24" s="255"/>
      <c r="Q24" s="255"/>
      <c r="R24" s="255"/>
      <c r="S24" s="255"/>
      <c r="T24" s="255"/>
    </row>
    <row r="25" spans="1:20" ht="31.2" customHeight="1">
      <c r="G25" s="164"/>
    </row>
    <row r="26" spans="1:20">
      <c r="G26" s="164"/>
    </row>
    <row r="27" spans="1:20">
      <c r="G27" s="164"/>
    </row>
    <row r="28" spans="1:20">
      <c r="G28" s="164"/>
    </row>
    <row r="29" spans="1:20">
      <c r="G29" s="164"/>
    </row>
    <row r="30" spans="1:20">
      <c r="G30" s="164"/>
    </row>
    <row r="34" spans="1:2" ht="22.8">
      <c r="B34" s="163"/>
    </row>
    <row r="35" spans="1:2" ht="22.8">
      <c r="B35" s="163"/>
    </row>
    <row r="36" spans="1:2" ht="22.8">
      <c r="B36" s="163"/>
    </row>
    <row r="37" spans="1:2" ht="22.8">
      <c r="A37" s="167"/>
      <c r="B37" s="163"/>
    </row>
    <row r="38" spans="1:2" ht="22.8">
      <c r="A38" s="167"/>
      <c r="B38" s="163"/>
    </row>
    <row r="39" spans="1:2" ht="22.8">
      <c r="A39" s="167"/>
    </row>
    <row r="40" spans="1:2" ht="22.8">
      <c r="A40" s="167"/>
    </row>
    <row r="41" spans="1:2" ht="22.8">
      <c r="A41" s="167"/>
    </row>
  </sheetData>
  <mergeCells count="1">
    <mergeCell ref="F24:T24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C32"/>
  <sheetViews>
    <sheetView workbookViewId="0">
      <selection activeCell="B28" sqref="B28"/>
    </sheetView>
  </sheetViews>
  <sheetFormatPr defaultRowHeight="14.4"/>
  <cols>
    <col min="1" max="1" width="164.109375" customWidth="1"/>
  </cols>
  <sheetData>
    <row r="1" spans="1:1">
      <c r="A1" s="178">
        <v>45818</v>
      </c>
    </row>
    <row r="3" spans="1:1">
      <c r="A3" s="85" t="s">
        <v>191</v>
      </c>
    </row>
    <row r="5" spans="1:1">
      <c r="A5" s="178">
        <v>45819</v>
      </c>
    </row>
    <row r="6" spans="1:1">
      <c r="A6" s="85"/>
    </row>
    <row r="7" spans="1:1">
      <c r="A7" s="85" t="s">
        <v>190</v>
      </c>
    </row>
    <row r="8" spans="1:1">
      <c r="A8" s="182"/>
    </row>
    <row r="9" spans="1:1">
      <c r="A9" s="85" t="s">
        <v>192</v>
      </c>
    </row>
    <row r="10" spans="1:1">
      <c r="A10" s="85" t="s">
        <v>193</v>
      </c>
    </row>
    <row r="11" spans="1:1">
      <c r="A11" s="85" t="s">
        <v>194</v>
      </c>
    </row>
    <row r="12" spans="1:1">
      <c r="A12" s="85" t="s">
        <v>195</v>
      </c>
    </row>
    <row r="13" spans="1:1">
      <c r="A13" s="85" t="s">
        <v>196</v>
      </c>
    </row>
    <row r="14" spans="1:1">
      <c r="A14" s="85" t="s">
        <v>197</v>
      </c>
    </row>
    <row r="15" spans="1:1">
      <c r="A15" s="85" t="s">
        <v>198</v>
      </c>
    </row>
    <row r="16" spans="1:1">
      <c r="A16" s="181" t="s">
        <v>200</v>
      </c>
    </row>
    <row r="21" spans="3:3">
      <c r="C21">
        <v>0</v>
      </c>
    </row>
    <row r="22" spans="3:3">
      <c r="C22">
        <v>0</v>
      </c>
    </row>
    <row r="23" spans="3:3">
      <c r="C23">
        <v>0</v>
      </c>
    </row>
    <row r="24" spans="3:3">
      <c r="C24">
        <v>0</v>
      </c>
    </row>
    <row r="25" spans="3:3">
      <c r="C25">
        <v>0</v>
      </c>
    </row>
    <row r="26" spans="3:3">
      <c r="C26">
        <v>0</v>
      </c>
    </row>
    <row r="27" spans="3:3">
      <c r="C27">
        <v>0</v>
      </c>
    </row>
    <row r="28" spans="3:3">
      <c r="C28">
        <v>0</v>
      </c>
    </row>
    <row r="29" spans="3:3">
      <c r="C29">
        <v>0</v>
      </c>
    </row>
    <row r="30" spans="3:3">
      <c r="C30">
        <v>0</v>
      </c>
    </row>
    <row r="31" spans="3:3">
      <c r="C31">
        <v>0</v>
      </c>
    </row>
    <row r="32" spans="3:3">
      <c r="C3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4179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</vt:lpstr>
      <vt:lpstr>Bendras metų</vt:lpstr>
      <vt:lpstr>Sausis</vt:lpstr>
      <vt:lpstr>Vasaris</vt:lpstr>
      <vt:lpstr>Kovas</vt:lpstr>
      <vt:lpstr>Balandis</vt:lpstr>
      <vt:lpstr>Gegužė</vt:lpstr>
      <vt:lpstr>Birželis</vt:lpstr>
      <vt:lpstr>Liepa</vt:lpstr>
      <vt:lpstr>Rugpjūtis</vt:lpstr>
      <vt:lpstr>Rugsėjis</vt:lpstr>
      <vt:lpstr>Spalis</vt:lpstr>
      <vt:lpstr>Lapkritis</vt:lpstr>
      <vt:lpstr>Gruodis</vt:lpstr>
      <vt:lpstr>Sablonas</vt:lpstr>
      <vt:lpstr>Dinamika (registruotų)</vt:lpstr>
      <vt:lpstr>Sheet1</vt:lpstr>
      <vt:lpstr>Dinamika</vt:lpstr>
      <vt:lpstr>Metine_suvestine</vt:lpstr>
      <vt:lpstr>Kita</vt:lpstr>
      <vt:lpstr>Tobulinimas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Greta Klimovičienė</dc:creator>
  <cp:lastModifiedBy>Darius` Cerniavskis</cp:lastModifiedBy>
  <cp:revision>778</cp:revision>
  <dcterms:created xsi:type="dcterms:W3CDTF">2015-06-05T18:17:20Z</dcterms:created>
  <dcterms:modified xsi:type="dcterms:W3CDTF">2026-01-01T13:31:01Z</dcterms:modified>
  <dc:language>lt-LT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