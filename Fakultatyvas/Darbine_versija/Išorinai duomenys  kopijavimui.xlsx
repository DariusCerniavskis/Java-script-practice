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6380" windowHeight="8196" tabRatio="887" firstSheet="1" activeTab="1"/>
  </bookViews>
  <sheets>
    <sheet name="0" sheetId="10" state="hidden" r:id="rId1"/>
    <sheet name="Bendras metų" sheetId="1" r:id="rId2"/>
    <sheet name="Sausis" sheetId="14" r:id="rId3"/>
    <sheet name="Vasaris" sheetId="36" r:id="rId4"/>
    <sheet name="Kovas" sheetId="17" r:id="rId5"/>
    <sheet name="Balandis" sheetId="18" r:id="rId6"/>
    <sheet name="Gegužė" sheetId="20" r:id="rId7"/>
    <sheet name="Birželis" sheetId="21" r:id="rId8"/>
    <sheet name="Liepa" sheetId="22" r:id="rId9"/>
    <sheet name="Rugpjūtis" sheetId="23" r:id="rId10"/>
    <sheet name="Rugsėjis" sheetId="24" r:id="rId11"/>
    <sheet name="Spalis" sheetId="25" r:id="rId12"/>
    <sheet name="Lapkritis" sheetId="26" r:id="rId13"/>
    <sheet name="Gruodis" sheetId="27" r:id="rId14"/>
    <sheet name="Sablonas" sheetId="19" r:id="rId15"/>
    <sheet name="Dinamika (registruotų)" sheetId="9" state="hidden" r:id="rId16"/>
    <sheet name="Sheet1" sheetId="28" state="hidden" r:id="rId17"/>
    <sheet name="Dinamika" sheetId="30" r:id="rId18"/>
    <sheet name="Metine_suvestine" sheetId="31" r:id="rId19"/>
    <sheet name="Kita" sheetId="32" r:id="rId20"/>
    <sheet name="Tobulinimas" sheetId="33" r:id="rId21"/>
  </sheets>
  <calcPr calcId="124519"/>
</workbook>
</file>

<file path=xl/calcChain.xml><?xml version="1.0" encoding="utf-8"?>
<calcChain xmlns="http://schemas.openxmlformats.org/spreadsheetml/2006/main">
  <c r="D191" i="36"/>
  <c r="E191"/>
  <c r="F191"/>
  <c r="G191"/>
  <c r="H191"/>
  <c r="I191"/>
  <c r="J191"/>
  <c r="K191"/>
  <c r="AF123" i="10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123"/>
  <c r="P253" i="27" l="1"/>
  <c r="O253"/>
  <c r="L253"/>
  <c r="P253" i="26"/>
  <c r="O253"/>
  <c r="L253"/>
  <c r="P253" i="25"/>
  <c r="O253"/>
  <c r="L253"/>
  <c r="P253" i="24"/>
  <c r="O253"/>
  <c r="L253"/>
  <c r="P253" i="23"/>
  <c r="O253"/>
  <c r="L253"/>
  <c r="P253" i="22"/>
  <c r="O253"/>
  <c r="L253"/>
  <c r="M16"/>
  <c r="M7"/>
  <c r="M6"/>
  <c r="M5"/>
  <c r="P253" i="21"/>
  <c r="O253"/>
  <c r="L253"/>
  <c r="P253" i="20"/>
  <c r="O253"/>
  <c r="L253"/>
  <c r="P258" i="18"/>
  <c r="O258"/>
  <c r="K255"/>
  <c r="J255"/>
  <c r="I255"/>
  <c r="H255"/>
  <c r="G255"/>
  <c r="F255"/>
  <c r="E256"/>
  <c r="E255"/>
  <c r="D256"/>
  <c r="D255"/>
  <c r="M254"/>
  <c r="M253"/>
  <c r="M252"/>
  <c r="M251"/>
  <c r="M250"/>
  <c r="M249"/>
  <c r="E248"/>
  <c r="E247"/>
  <c r="D248"/>
  <c r="D247"/>
  <c r="M246"/>
  <c r="M245"/>
  <c r="M244"/>
  <c r="M243"/>
  <c r="M242"/>
  <c r="M241"/>
  <c r="E240"/>
  <c r="E239"/>
  <c r="D240"/>
  <c r="D239"/>
  <c r="M238"/>
  <c r="M237"/>
  <c r="M236"/>
  <c r="M235"/>
  <c r="M234"/>
  <c r="M233"/>
  <c r="M239" s="1"/>
  <c r="E232"/>
  <c r="E231"/>
  <c r="D232"/>
  <c r="D231"/>
  <c r="M230"/>
  <c r="M229"/>
  <c r="M228"/>
  <c r="M227"/>
  <c r="M226"/>
  <c r="M225"/>
  <c r="E224"/>
  <c r="E223"/>
  <c r="D224"/>
  <c r="D223"/>
  <c r="M222"/>
  <c r="M221"/>
  <c r="M220"/>
  <c r="M219"/>
  <c r="M218"/>
  <c r="M217"/>
  <c r="M223" s="1"/>
  <c r="E216"/>
  <c r="E215"/>
  <c r="D216"/>
  <c r="D215"/>
  <c r="M214"/>
  <c r="M213"/>
  <c r="M212"/>
  <c r="M211"/>
  <c r="M210"/>
  <c r="M209"/>
  <c r="M215" s="1"/>
  <c r="E208"/>
  <c r="E207"/>
  <c r="D208"/>
  <c r="D207"/>
  <c r="M206"/>
  <c r="M205"/>
  <c r="M204"/>
  <c r="M203"/>
  <c r="M202"/>
  <c r="M201"/>
  <c r="E200"/>
  <c r="E199"/>
  <c r="D200"/>
  <c r="D199"/>
  <c r="M198"/>
  <c r="M197"/>
  <c r="M196"/>
  <c r="M195"/>
  <c r="M194"/>
  <c r="M193"/>
  <c r="M199" s="1"/>
  <c r="E192"/>
  <c r="E191"/>
  <c r="D192"/>
  <c r="D191"/>
  <c r="M190"/>
  <c r="M189"/>
  <c r="M188"/>
  <c r="M187"/>
  <c r="M186"/>
  <c r="M185"/>
  <c r="M191" s="1"/>
  <c r="E184"/>
  <c r="E183"/>
  <c r="D184"/>
  <c r="D183"/>
  <c r="M182"/>
  <c r="M181"/>
  <c r="M180"/>
  <c r="M179"/>
  <c r="M178"/>
  <c r="M177"/>
  <c r="M183" s="1"/>
  <c r="E176"/>
  <c r="E175"/>
  <c r="D176"/>
  <c r="D175"/>
  <c r="M174"/>
  <c r="M173"/>
  <c r="M172"/>
  <c r="M171"/>
  <c r="M170"/>
  <c r="M169"/>
  <c r="M175" s="1"/>
  <c r="E168"/>
  <c r="E167"/>
  <c r="D168"/>
  <c r="D167"/>
  <c r="M166"/>
  <c r="M165"/>
  <c r="M164"/>
  <c r="M163"/>
  <c r="M162"/>
  <c r="M161"/>
  <c r="M167" s="1"/>
  <c r="E160"/>
  <c r="E159"/>
  <c r="D160"/>
  <c r="D159"/>
  <c r="M158"/>
  <c r="M157"/>
  <c r="M156"/>
  <c r="M155"/>
  <c r="M154"/>
  <c r="M153"/>
  <c r="M159" s="1"/>
  <c r="E152"/>
  <c r="E151"/>
  <c r="D152"/>
  <c r="D151"/>
  <c r="M150"/>
  <c r="M149"/>
  <c r="M148"/>
  <c r="M147"/>
  <c r="M146"/>
  <c r="M145"/>
  <c r="M151" s="1"/>
  <c r="E144"/>
  <c r="E143"/>
  <c r="D144"/>
  <c r="D143"/>
  <c r="M142"/>
  <c r="M141"/>
  <c r="M140"/>
  <c r="M139"/>
  <c r="M138"/>
  <c r="M137"/>
  <c r="M143" s="1"/>
  <c r="E136"/>
  <c r="E135"/>
  <c r="D136"/>
  <c r="D135"/>
  <c r="M134"/>
  <c r="M133"/>
  <c r="M132"/>
  <c r="M131"/>
  <c r="M130"/>
  <c r="M129"/>
  <c r="M135" s="1"/>
  <c r="E128"/>
  <c r="E127"/>
  <c r="D128"/>
  <c r="D127"/>
  <c r="M126"/>
  <c r="M125"/>
  <c r="M124"/>
  <c r="M123"/>
  <c r="M122"/>
  <c r="M121"/>
  <c r="M127" s="1"/>
  <c r="E120"/>
  <c r="E119"/>
  <c r="D120"/>
  <c r="D119"/>
  <c r="M118"/>
  <c r="M117"/>
  <c r="M116"/>
  <c r="M115"/>
  <c r="M114"/>
  <c r="M113"/>
  <c r="M119" s="1"/>
  <c r="E112"/>
  <c r="E111"/>
  <c r="D112"/>
  <c r="D111"/>
  <c r="M110"/>
  <c r="M109"/>
  <c r="M108"/>
  <c r="M107"/>
  <c r="M106"/>
  <c r="M105"/>
  <c r="M111" s="1"/>
  <c r="E104"/>
  <c r="E103"/>
  <c r="D104"/>
  <c r="D103"/>
  <c r="M102"/>
  <c r="M101"/>
  <c r="M100"/>
  <c r="M99"/>
  <c r="M98"/>
  <c r="M97"/>
  <c r="M103" s="1"/>
  <c r="E96"/>
  <c r="E95"/>
  <c r="D96"/>
  <c r="D95"/>
  <c r="M94"/>
  <c r="M93"/>
  <c r="M92"/>
  <c r="M91"/>
  <c r="M90"/>
  <c r="M89"/>
  <c r="M95" s="1"/>
  <c r="E88"/>
  <c r="E87"/>
  <c r="D88"/>
  <c r="D87"/>
  <c r="M86"/>
  <c r="M85"/>
  <c r="M84"/>
  <c r="M83"/>
  <c r="M82"/>
  <c r="M81"/>
  <c r="M87" s="1"/>
  <c r="E80"/>
  <c r="E79"/>
  <c r="D80"/>
  <c r="D79"/>
  <c r="M78"/>
  <c r="M77"/>
  <c r="M76"/>
  <c r="M75"/>
  <c r="M74"/>
  <c r="M73"/>
  <c r="M79" s="1"/>
  <c r="P72"/>
  <c r="O72"/>
  <c r="E72"/>
  <c r="E71"/>
  <c r="D72"/>
  <c r="D71"/>
  <c r="M70"/>
  <c r="M69"/>
  <c r="M68"/>
  <c r="M67"/>
  <c r="M66"/>
  <c r="M65"/>
  <c r="M71" s="1"/>
  <c r="P64"/>
  <c r="O64"/>
  <c r="E64"/>
  <c r="E63"/>
  <c r="D64"/>
  <c r="D63"/>
  <c r="M62"/>
  <c r="M61"/>
  <c r="M60"/>
  <c r="M59"/>
  <c r="M58"/>
  <c r="M57"/>
  <c r="M63" s="1"/>
  <c r="P56"/>
  <c r="O56"/>
  <c r="E56"/>
  <c r="E55"/>
  <c r="D56"/>
  <c r="D55"/>
  <c r="M54"/>
  <c r="M53"/>
  <c r="M52"/>
  <c r="M51"/>
  <c r="M50"/>
  <c r="M49"/>
  <c r="M55" s="1"/>
  <c r="P48"/>
  <c r="O48"/>
  <c r="E48"/>
  <c r="E47"/>
  <c r="D48"/>
  <c r="D47"/>
  <c r="M46"/>
  <c r="M45"/>
  <c r="M44"/>
  <c r="M43"/>
  <c r="M42"/>
  <c r="M41"/>
  <c r="E40"/>
  <c r="E39"/>
  <c r="D40"/>
  <c r="D39"/>
  <c r="M38"/>
  <c r="M37"/>
  <c r="M36"/>
  <c r="M35"/>
  <c r="M34"/>
  <c r="M33"/>
  <c r="M39" s="1"/>
  <c r="P32"/>
  <c r="O32"/>
  <c r="E32"/>
  <c r="E31"/>
  <c r="D32"/>
  <c r="D31"/>
  <c r="M30"/>
  <c r="M29"/>
  <c r="M28"/>
  <c r="M27"/>
  <c r="M26"/>
  <c r="M25"/>
  <c r="M24"/>
  <c r="M23"/>
  <c r="M31" s="1"/>
  <c r="P22"/>
  <c r="O22"/>
  <c r="E22"/>
  <c r="E21"/>
  <c r="D22"/>
  <c r="D21"/>
  <c r="M20"/>
  <c r="M19"/>
  <c r="M18"/>
  <c r="M17"/>
  <c r="M16"/>
  <c r="M15"/>
  <c r="M14"/>
  <c r="M13"/>
  <c r="M21" s="1"/>
  <c r="E12"/>
  <c r="E11"/>
  <c r="D12"/>
  <c r="D11"/>
  <c r="M10"/>
  <c r="M9"/>
  <c r="M8"/>
  <c r="M7"/>
  <c r="M6"/>
  <c r="M5"/>
  <c r="M4"/>
  <c r="M11" s="1"/>
  <c r="P253" i="17"/>
  <c r="O253"/>
  <c r="L253"/>
  <c r="K250"/>
  <c r="J250"/>
  <c r="I250"/>
  <c r="H250"/>
  <c r="G250"/>
  <c r="F250"/>
  <c r="E251"/>
  <c r="E250"/>
  <c r="D251"/>
  <c r="D250"/>
  <c r="M249"/>
  <c r="M248"/>
  <c r="M247"/>
  <c r="M246"/>
  <c r="M245"/>
  <c r="M244"/>
  <c r="K242"/>
  <c r="J242"/>
  <c r="I242"/>
  <c r="H242"/>
  <c r="G242"/>
  <c r="F242"/>
  <c r="E243"/>
  <c r="E242"/>
  <c r="D243"/>
  <c r="D242"/>
  <c r="M241"/>
  <c r="M240"/>
  <c r="M239"/>
  <c r="M238"/>
  <c r="M237"/>
  <c r="M236"/>
  <c r="M243" s="1"/>
  <c r="K234"/>
  <c r="J234"/>
  <c r="I234"/>
  <c r="H234"/>
  <c r="G234"/>
  <c r="F234"/>
  <c r="E235"/>
  <c r="E234"/>
  <c r="D235"/>
  <c r="D234"/>
  <c r="M233"/>
  <c r="M232"/>
  <c r="M231"/>
  <c r="M230"/>
  <c r="M229"/>
  <c r="M228"/>
  <c r="M235" s="1"/>
  <c r="K226"/>
  <c r="J226"/>
  <c r="I226"/>
  <c r="H226"/>
  <c r="G226"/>
  <c r="F226"/>
  <c r="E227"/>
  <c r="E226"/>
  <c r="D227"/>
  <c r="D226"/>
  <c r="M225"/>
  <c r="M224"/>
  <c r="M223"/>
  <c r="M222"/>
  <c r="M221"/>
  <c r="M220"/>
  <c r="M227" s="1"/>
  <c r="K218"/>
  <c r="J218"/>
  <c r="I218"/>
  <c r="H218"/>
  <c r="G218"/>
  <c r="F218"/>
  <c r="E219"/>
  <c r="E218"/>
  <c r="D219"/>
  <c r="D218"/>
  <c r="M217"/>
  <c r="M216"/>
  <c r="M215"/>
  <c r="M214"/>
  <c r="M213"/>
  <c r="M212"/>
  <c r="M219" s="1"/>
  <c r="K210"/>
  <c r="J210"/>
  <c r="I210"/>
  <c r="H210"/>
  <c r="G210"/>
  <c r="F210"/>
  <c r="E211"/>
  <c r="E210"/>
  <c r="D211"/>
  <c r="D210"/>
  <c r="M209"/>
  <c r="M208"/>
  <c r="M207"/>
  <c r="M206"/>
  <c r="M205"/>
  <c r="M204"/>
  <c r="M211" s="1"/>
  <c r="K202"/>
  <c r="J202"/>
  <c r="I202"/>
  <c r="H202"/>
  <c r="G202"/>
  <c r="F202"/>
  <c r="E203"/>
  <c r="E202"/>
  <c r="D203"/>
  <c r="D202"/>
  <c r="M201"/>
  <c r="M200"/>
  <c r="M199"/>
  <c r="M198"/>
  <c r="M197"/>
  <c r="M196"/>
  <c r="M203" s="1"/>
  <c r="K194"/>
  <c r="J194"/>
  <c r="I194"/>
  <c r="H194"/>
  <c r="G194"/>
  <c r="F194"/>
  <c r="E195"/>
  <c r="E194"/>
  <c r="D195"/>
  <c r="D194"/>
  <c r="M193"/>
  <c r="M192"/>
  <c r="M191"/>
  <c r="M190"/>
  <c r="M189"/>
  <c r="M188"/>
  <c r="M195" s="1"/>
  <c r="K186"/>
  <c r="J186"/>
  <c r="I186"/>
  <c r="H186"/>
  <c r="G186"/>
  <c r="F186"/>
  <c r="E187"/>
  <c r="E186"/>
  <c r="D187"/>
  <c r="D186"/>
  <c r="M185"/>
  <c r="M184"/>
  <c r="M183"/>
  <c r="M182"/>
  <c r="M181"/>
  <c r="M180"/>
  <c r="M187" s="1"/>
  <c r="K178"/>
  <c r="J178"/>
  <c r="I178"/>
  <c r="H178"/>
  <c r="G178"/>
  <c r="F178"/>
  <c r="E179"/>
  <c r="E178"/>
  <c r="D179"/>
  <c r="D178"/>
  <c r="M177"/>
  <c r="M176"/>
  <c r="M175"/>
  <c r="M174"/>
  <c r="M173"/>
  <c r="M172"/>
  <c r="M179" s="1"/>
  <c r="K170"/>
  <c r="J170"/>
  <c r="I170"/>
  <c r="H170"/>
  <c r="G170"/>
  <c r="F170"/>
  <c r="E171"/>
  <c r="E170"/>
  <c r="D171"/>
  <c r="D170"/>
  <c r="M169"/>
  <c r="M168"/>
  <c r="M167"/>
  <c r="M166"/>
  <c r="M165"/>
  <c r="M164"/>
  <c r="M171" s="1"/>
  <c r="K162"/>
  <c r="J162"/>
  <c r="I162"/>
  <c r="H162"/>
  <c r="G162"/>
  <c r="F162"/>
  <c r="E163"/>
  <c r="E162"/>
  <c r="D163"/>
  <c r="D162"/>
  <c r="M161"/>
  <c r="M160"/>
  <c r="M159"/>
  <c r="M158"/>
  <c r="M157"/>
  <c r="M156"/>
  <c r="M163" s="1"/>
  <c r="K154"/>
  <c r="J154"/>
  <c r="I154"/>
  <c r="H154"/>
  <c r="G154"/>
  <c r="F154"/>
  <c r="E155"/>
  <c r="E154"/>
  <c r="D155"/>
  <c r="D154"/>
  <c r="M153"/>
  <c r="M152"/>
  <c r="M151"/>
  <c r="M150"/>
  <c r="M149"/>
  <c r="M148"/>
  <c r="M155" s="1"/>
  <c r="K146"/>
  <c r="J146"/>
  <c r="I146"/>
  <c r="H146"/>
  <c r="G146"/>
  <c r="F146"/>
  <c r="E147"/>
  <c r="E146"/>
  <c r="D147"/>
  <c r="D146"/>
  <c r="M145"/>
  <c r="M144"/>
  <c r="M143"/>
  <c r="M142"/>
  <c r="M141"/>
  <c r="M140"/>
  <c r="M147" s="1"/>
  <c r="K138"/>
  <c r="J138"/>
  <c r="I138"/>
  <c r="H138"/>
  <c r="G138"/>
  <c r="F138"/>
  <c r="E139"/>
  <c r="E138"/>
  <c r="D139"/>
  <c r="D138"/>
  <c r="M137"/>
  <c r="M136"/>
  <c r="M135"/>
  <c r="M134"/>
  <c r="M133"/>
  <c r="M132"/>
  <c r="K130"/>
  <c r="J130"/>
  <c r="I130"/>
  <c r="H130"/>
  <c r="G130"/>
  <c r="F130"/>
  <c r="E131"/>
  <c r="E130"/>
  <c r="D131"/>
  <c r="D130"/>
  <c r="M129"/>
  <c r="M128"/>
  <c r="M127"/>
  <c r="M126"/>
  <c r="M125"/>
  <c r="M124"/>
  <c r="M131" s="1"/>
  <c r="K122"/>
  <c r="J122"/>
  <c r="I122"/>
  <c r="H122"/>
  <c r="G122"/>
  <c r="F122"/>
  <c r="E123"/>
  <c r="E122"/>
  <c r="D123"/>
  <c r="D122"/>
  <c r="M121"/>
  <c r="M120"/>
  <c r="M119"/>
  <c r="M118"/>
  <c r="M117"/>
  <c r="M116"/>
  <c r="M123" s="1"/>
  <c r="K114"/>
  <c r="J114"/>
  <c r="I114"/>
  <c r="H114"/>
  <c r="G114"/>
  <c r="F114"/>
  <c r="E115"/>
  <c r="E114"/>
  <c r="D115"/>
  <c r="D114"/>
  <c r="M113"/>
  <c r="M112"/>
  <c r="M111"/>
  <c r="M110"/>
  <c r="M109"/>
  <c r="M108"/>
  <c r="M115" s="1"/>
  <c r="K106"/>
  <c r="J106"/>
  <c r="I106"/>
  <c r="H106"/>
  <c r="G106"/>
  <c r="F106"/>
  <c r="E107"/>
  <c r="E106"/>
  <c r="D107"/>
  <c r="D106"/>
  <c r="M105"/>
  <c r="M104"/>
  <c r="M103"/>
  <c r="M102"/>
  <c r="M101"/>
  <c r="M100"/>
  <c r="M107" s="1"/>
  <c r="K98"/>
  <c r="J98"/>
  <c r="I98"/>
  <c r="H98"/>
  <c r="G98"/>
  <c r="F98"/>
  <c r="E99"/>
  <c r="E98"/>
  <c r="D99"/>
  <c r="D98"/>
  <c r="M97"/>
  <c r="M96"/>
  <c r="M95"/>
  <c r="M94"/>
  <c r="M93"/>
  <c r="M92"/>
  <c r="M99" s="1"/>
  <c r="K90"/>
  <c r="J90"/>
  <c r="I90"/>
  <c r="H90"/>
  <c r="G90"/>
  <c r="F90"/>
  <c r="E91"/>
  <c r="E90"/>
  <c r="D91"/>
  <c r="D90"/>
  <c r="M89"/>
  <c r="M88"/>
  <c r="M87"/>
  <c r="M86"/>
  <c r="M85"/>
  <c r="M84"/>
  <c r="M91" s="1"/>
  <c r="K82"/>
  <c r="J82"/>
  <c r="I82"/>
  <c r="H82"/>
  <c r="G82"/>
  <c r="F82"/>
  <c r="E83"/>
  <c r="E82"/>
  <c r="D83"/>
  <c r="D82"/>
  <c r="M81"/>
  <c r="M80"/>
  <c r="M79"/>
  <c r="M78"/>
  <c r="M77"/>
  <c r="M76"/>
  <c r="M83" s="1"/>
  <c r="K74"/>
  <c r="J74"/>
  <c r="I74"/>
  <c r="H74"/>
  <c r="G74"/>
  <c r="F74"/>
  <c r="E75"/>
  <c r="E74"/>
  <c r="D75"/>
  <c r="D74"/>
  <c r="M73"/>
  <c r="M72"/>
  <c r="M71"/>
  <c r="M70"/>
  <c r="M69"/>
  <c r="M68"/>
  <c r="M75" s="1"/>
  <c r="K66"/>
  <c r="J66"/>
  <c r="I66"/>
  <c r="H66"/>
  <c r="G66"/>
  <c r="F66"/>
  <c r="E67"/>
  <c r="E66"/>
  <c r="D67"/>
  <c r="D66"/>
  <c r="M65"/>
  <c r="M64"/>
  <c r="M63"/>
  <c r="M62"/>
  <c r="M61"/>
  <c r="M60"/>
  <c r="M67" s="1"/>
  <c r="K58"/>
  <c r="J58"/>
  <c r="I58"/>
  <c r="H58"/>
  <c r="G58"/>
  <c r="F58"/>
  <c r="E59"/>
  <c r="E58"/>
  <c r="D58"/>
  <c r="M57"/>
  <c r="M56"/>
  <c r="M55"/>
  <c r="M54"/>
  <c r="M53"/>
  <c r="M52"/>
  <c r="M59" s="1"/>
  <c r="K50"/>
  <c r="J50"/>
  <c r="I50"/>
  <c r="H50"/>
  <c r="G50"/>
  <c r="F50"/>
  <c r="E51"/>
  <c r="E50"/>
  <c r="D51"/>
  <c r="D50"/>
  <c r="M49"/>
  <c r="M48"/>
  <c r="M47"/>
  <c r="M46"/>
  <c r="M45"/>
  <c r="M51" s="1"/>
  <c r="M44"/>
  <c r="M50" s="1"/>
  <c r="K42"/>
  <c r="J42"/>
  <c r="I42"/>
  <c r="H42"/>
  <c r="G42"/>
  <c r="F42"/>
  <c r="E42"/>
  <c r="D43"/>
  <c r="D42"/>
  <c r="M41"/>
  <c r="M40"/>
  <c r="M39"/>
  <c r="M38"/>
  <c r="M37"/>
  <c r="M36"/>
  <c r="M42" s="1"/>
  <c r="K34"/>
  <c r="J34"/>
  <c r="I34"/>
  <c r="H34"/>
  <c r="G34"/>
  <c r="F34"/>
  <c r="E35"/>
  <c r="E34"/>
  <c r="D35"/>
  <c r="D34"/>
  <c r="M33"/>
  <c r="M32"/>
  <c r="M31"/>
  <c r="M30"/>
  <c r="M29"/>
  <c r="M28"/>
  <c r="M35" s="1"/>
  <c r="K26"/>
  <c r="J26"/>
  <c r="I26"/>
  <c r="H26"/>
  <c r="G26"/>
  <c r="F26"/>
  <c r="E27"/>
  <c r="E26"/>
  <c r="D27"/>
  <c r="D26"/>
  <c r="M25"/>
  <c r="M24"/>
  <c r="M23"/>
  <c r="M22"/>
  <c r="M21"/>
  <c r="M20"/>
  <c r="M27" s="1"/>
  <c r="K18"/>
  <c r="J18"/>
  <c r="I18"/>
  <c r="H18"/>
  <c r="G18"/>
  <c r="F18"/>
  <c r="E19"/>
  <c r="E18"/>
  <c r="D19"/>
  <c r="D18"/>
  <c r="M17"/>
  <c r="M16"/>
  <c r="M15"/>
  <c r="M14"/>
  <c r="M13"/>
  <c r="M12"/>
  <c r="M19" s="1"/>
  <c r="K10"/>
  <c r="J10"/>
  <c r="I10"/>
  <c r="H10"/>
  <c r="G10"/>
  <c r="F10"/>
  <c r="E11"/>
  <c r="E10"/>
  <c r="D11"/>
  <c r="D10"/>
  <c r="M9"/>
  <c r="M8"/>
  <c r="M7"/>
  <c r="M6"/>
  <c r="M5"/>
  <c r="M4"/>
  <c r="M11" s="1"/>
  <c r="P250" i="36"/>
  <c r="F26" i="1" s="1"/>
  <c r="O250" i="36"/>
  <c r="F25" i="1" s="1"/>
  <c r="K247" i="36"/>
  <c r="J247"/>
  <c r="I247"/>
  <c r="H247"/>
  <c r="G247"/>
  <c r="F247"/>
  <c r="E248"/>
  <c r="E247"/>
  <c r="D248"/>
  <c r="D247"/>
  <c r="M246"/>
  <c r="N246" s="1"/>
  <c r="M245"/>
  <c r="N245" s="1"/>
  <c r="M244"/>
  <c r="N244" s="1"/>
  <c r="M243"/>
  <c r="N243" s="1"/>
  <c r="M242"/>
  <c r="N242" s="1"/>
  <c r="M241"/>
  <c r="M247" s="1"/>
  <c r="K239"/>
  <c r="J239"/>
  <c r="I239"/>
  <c r="H239"/>
  <c r="G239"/>
  <c r="F239"/>
  <c r="E240"/>
  <c r="E239"/>
  <c r="D240"/>
  <c r="D239"/>
  <c r="M238"/>
  <c r="N238" s="1"/>
  <c r="M237"/>
  <c r="N237" s="1"/>
  <c r="M236"/>
  <c r="N236" s="1"/>
  <c r="M235"/>
  <c r="N235" s="1"/>
  <c r="M234"/>
  <c r="N234" s="1"/>
  <c r="N240" s="1"/>
  <c r="M233"/>
  <c r="N233" s="1"/>
  <c r="N239" s="1"/>
  <c r="K231"/>
  <c r="J231"/>
  <c r="I231"/>
  <c r="H231"/>
  <c r="G231"/>
  <c r="F231"/>
  <c r="E232"/>
  <c r="E231"/>
  <c r="D232"/>
  <c r="D231"/>
  <c r="M230"/>
  <c r="N230" s="1"/>
  <c r="M229"/>
  <c r="N229" s="1"/>
  <c r="M228"/>
  <c r="N228" s="1"/>
  <c r="M227"/>
  <c r="N227" s="1"/>
  <c r="M226"/>
  <c r="N226" s="1"/>
  <c r="M225"/>
  <c r="M231" s="1"/>
  <c r="K223"/>
  <c r="J223"/>
  <c r="I223"/>
  <c r="H223"/>
  <c r="G223"/>
  <c r="F223"/>
  <c r="E224"/>
  <c r="E223"/>
  <c r="D224"/>
  <c r="D223"/>
  <c r="M222"/>
  <c r="N222" s="1"/>
  <c r="N221"/>
  <c r="M220"/>
  <c r="N220" s="1"/>
  <c r="M219"/>
  <c r="N219" s="1"/>
  <c r="N218"/>
  <c r="M217"/>
  <c r="K215"/>
  <c r="J215"/>
  <c r="I215"/>
  <c r="H215"/>
  <c r="G215"/>
  <c r="F215"/>
  <c r="E216"/>
  <c r="E215"/>
  <c r="D216"/>
  <c r="D215"/>
  <c r="M214"/>
  <c r="N214" s="1"/>
  <c r="M213"/>
  <c r="N213" s="1"/>
  <c r="M212"/>
  <c r="N212" s="1"/>
  <c r="M211"/>
  <c r="N211" s="1"/>
  <c r="M209"/>
  <c r="N209" s="1"/>
  <c r="K207"/>
  <c r="J207"/>
  <c r="I207"/>
  <c r="H207"/>
  <c r="G207"/>
  <c r="F207"/>
  <c r="E208"/>
  <c r="E207"/>
  <c r="D208"/>
  <c r="D207"/>
  <c r="M206"/>
  <c r="N206" s="1"/>
  <c r="M205"/>
  <c r="N205" s="1"/>
  <c r="M204"/>
  <c r="N204" s="1"/>
  <c r="M203"/>
  <c r="N203" s="1"/>
  <c r="N202"/>
  <c r="M201"/>
  <c r="K199"/>
  <c r="J199"/>
  <c r="I199"/>
  <c r="H199"/>
  <c r="G199"/>
  <c r="F199"/>
  <c r="E200"/>
  <c r="E199"/>
  <c r="D200"/>
  <c r="D199"/>
  <c r="M198"/>
  <c r="N198" s="1"/>
  <c r="M197"/>
  <c r="N197" s="1"/>
  <c r="M196"/>
  <c r="N196" s="1"/>
  <c r="N195"/>
  <c r="N194"/>
  <c r="M193"/>
  <c r="N193" s="1"/>
  <c r="E192"/>
  <c r="D192"/>
  <c r="M190"/>
  <c r="N190" s="1"/>
  <c r="M189"/>
  <c r="N189" s="1"/>
  <c r="M188"/>
  <c r="N188" s="1"/>
  <c r="M187"/>
  <c r="N187" s="1"/>
  <c r="M186"/>
  <c r="M185"/>
  <c r="K183"/>
  <c r="J183"/>
  <c r="I183"/>
  <c r="H183"/>
  <c r="G183"/>
  <c r="F183"/>
  <c r="E184"/>
  <c r="E183"/>
  <c r="D184"/>
  <c r="D183"/>
  <c r="M182"/>
  <c r="N182" s="1"/>
  <c r="M181"/>
  <c r="N181" s="1"/>
  <c r="M180"/>
  <c r="N180" s="1"/>
  <c r="M179"/>
  <c r="N179" s="1"/>
  <c r="M178"/>
  <c r="N178" s="1"/>
  <c r="M177"/>
  <c r="K175"/>
  <c r="J175"/>
  <c r="I175"/>
  <c r="H175"/>
  <c r="G175"/>
  <c r="F175"/>
  <c r="E176"/>
  <c r="E175"/>
  <c r="D176"/>
  <c r="D175"/>
  <c r="M174"/>
  <c r="N174" s="1"/>
  <c r="M173"/>
  <c r="N173" s="1"/>
  <c r="M172"/>
  <c r="N172" s="1"/>
  <c r="M171"/>
  <c r="N171" s="1"/>
  <c r="M170"/>
  <c r="N170" s="1"/>
  <c r="M169"/>
  <c r="N169" s="1"/>
  <c r="K167"/>
  <c r="J167"/>
  <c r="I167"/>
  <c r="H167"/>
  <c r="G167"/>
  <c r="F167"/>
  <c r="E168"/>
  <c r="E167"/>
  <c r="D168"/>
  <c r="D167"/>
  <c r="M166"/>
  <c r="N166" s="1"/>
  <c r="M165"/>
  <c r="M164"/>
  <c r="N164" s="1"/>
  <c r="M163"/>
  <c r="N163" s="1"/>
  <c r="M162"/>
  <c r="N162" s="1"/>
  <c r="M161"/>
  <c r="M160"/>
  <c r="M167" s="1"/>
  <c r="K158"/>
  <c r="J158"/>
  <c r="I158"/>
  <c r="H158"/>
  <c r="G158"/>
  <c r="F158"/>
  <c r="E159"/>
  <c r="E158"/>
  <c r="D159"/>
  <c r="D158"/>
  <c r="M157"/>
  <c r="N157" s="1"/>
  <c r="M156"/>
  <c r="N156" s="1"/>
  <c r="M155"/>
  <c r="N155" s="1"/>
  <c r="M154"/>
  <c r="N154" s="1"/>
  <c r="M153"/>
  <c r="N153" s="1"/>
  <c r="M152"/>
  <c r="K150"/>
  <c r="J150"/>
  <c r="I150"/>
  <c r="H150"/>
  <c r="G150"/>
  <c r="F150"/>
  <c r="E151"/>
  <c r="E150"/>
  <c r="D151"/>
  <c r="D150"/>
  <c r="M149"/>
  <c r="N149" s="1"/>
  <c r="M148"/>
  <c r="N148" s="1"/>
  <c r="M147"/>
  <c r="N147" s="1"/>
  <c r="M146"/>
  <c r="N146" s="1"/>
  <c r="M145"/>
  <c r="M144"/>
  <c r="K142"/>
  <c r="J142"/>
  <c r="I142"/>
  <c r="H142"/>
  <c r="G142"/>
  <c r="F142"/>
  <c r="E143"/>
  <c r="E142"/>
  <c r="D143"/>
  <c r="D142"/>
  <c r="M141"/>
  <c r="N141" s="1"/>
  <c r="M140"/>
  <c r="N140" s="1"/>
  <c r="M139"/>
  <c r="N139" s="1"/>
  <c r="M138"/>
  <c r="N138" s="1"/>
  <c r="M137"/>
  <c r="N137" s="1"/>
  <c r="M136"/>
  <c r="K134"/>
  <c r="J134"/>
  <c r="I134"/>
  <c r="H134"/>
  <c r="G134"/>
  <c r="F134"/>
  <c r="E135"/>
  <c r="E134"/>
  <c r="D135"/>
  <c r="D134"/>
  <c r="M133"/>
  <c r="N133" s="1"/>
  <c r="M132"/>
  <c r="N132" s="1"/>
  <c r="M131"/>
  <c r="M130"/>
  <c r="N130" s="1"/>
  <c r="M129"/>
  <c r="N129" s="1"/>
  <c r="M128"/>
  <c r="K126"/>
  <c r="J126"/>
  <c r="I126"/>
  <c r="H126"/>
  <c r="G126"/>
  <c r="F126"/>
  <c r="E127"/>
  <c r="E126"/>
  <c r="D127"/>
  <c r="D126"/>
  <c r="M125"/>
  <c r="N125" s="1"/>
  <c r="M124"/>
  <c r="N124" s="1"/>
  <c r="M123"/>
  <c r="N123" s="1"/>
  <c r="M122"/>
  <c r="N122" s="1"/>
  <c r="M121"/>
  <c r="N121" s="1"/>
  <c r="M120"/>
  <c r="K118"/>
  <c r="J118"/>
  <c r="I118"/>
  <c r="H118"/>
  <c r="G118"/>
  <c r="F118"/>
  <c r="E119"/>
  <c r="E118"/>
  <c r="D119"/>
  <c r="D118"/>
  <c r="M117"/>
  <c r="N117" s="1"/>
  <c r="M116"/>
  <c r="N116" s="1"/>
  <c r="M115"/>
  <c r="N115" s="1"/>
  <c r="M114"/>
  <c r="N114" s="1"/>
  <c r="M113"/>
  <c r="N113" s="1"/>
  <c r="M112"/>
  <c r="K110"/>
  <c r="J110"/>
  <c r="I110"/>
  <c r="H110"/>
  <c r="G110"/>
  <c r="F110"/>
  <c r="E111"/>
  <c r="E110"/>
  <c r="D111"/>
  <c r="D110"/>
  <c r="M109"/>
  <c r="N109" s="1"/>
  <c r="M108"/>
  <c r="N108" s="1"/>
  <c r="M107"/>
  <c r="N107" s="1"/>
  <c r="M106"/>
  <c r="N106" s="1"/>
  <c r="M105"/>
  <c r="N105" s="1"/>
  <c r="M104"/>
  <c r="K102"/>
  <c r="J102"/>
  <c r="I102"/>
  <c r="H102"/>
  <c r="G102"/>
  <c r="F102"/>
  <c r="E103"/>
  <c r="E102"/>
  <c r="D103"/>
  <c r="D102"/>
  <c r="M101"/>
  <c r="N101" s="1"/>
  <c r="M100"/>
  <c r="N100" s="1"/>
  <c r="M99"/>
  <c r="N99" s="1"/>
  <c r="M98"/>
  <c r="N98" s="1"/>
  <c r="M97"/>
  <c r="N97" s="1"/>
  <c r="M96"/>
  <c r="K94"/>
  <c r="J94"/>
  <c r="I94"/>
  <c r="H94"/>
  <c r="G94"/>
  <c r="F94"/>
  <c r="E95"/>
  <c r="E94"/>
  <c r="D95"/>
  <c r="D94"/>
  <c r="M93"/>
  <c r="N93" s="1"/>
  <c r="M92"/>
  <c r="N92" s="1"/>
  <c r="M91"/>
  <c r="N91" s="1"/>
  <c r="M90"/>
  <c r="N90" s="1"/>
  <c r="M89"/>
  <c r="M88"/>
  <c r="K86"/>
  <c r="J86"/>
  <c r="I86"/>
  <c r="H86"/>
  <c r="G86"/>
  <c r="F86"/>
  <c r="E87"/>
  <c r="E86"/>
  <c r="D87"/>
  <c r="D86"/>
  <c r="M85"/>
  <c r="N85" s="1"/>
  <c r="M84"/>
  <c r="N84" s="1"/>
  <c r="M83"/>
  <c r="N83" s="1"/>
  <c r="M82"/>
  <c r="N82" s="1"/>
  <c r="M81"/>
  <c r="N81" s="1"/>
  <c r="M80"/>
  <c r="K78"/>
  <c r="J78"/>
  <c r="I78"/>
  <c r="H78"/>
  <c r="G78"/>
  <c r="F78"/>
  <c r="E79"/>
  <c r="E78"/>
  <c r="D79"/>
  <c r="D78"/>
  <c r="M77"/>
  <c r="N77" s="1"/>
  <c r="M76"/>
  <c r="N76" s="1"/>
  <c r="M75"/>
  <c r="N75" s="1"/>
  <c r="M74"/>
  <c r="N74" s="1"/>
  <c r="M73"/>
  <c r="N73" s="1"/>
  <c r="M72"/>
  <c r="K70"/>
  <c r="J70"/>
  <c r="I70"/>
  <c r="H70"/>
  <c r="G70"/>
  <c r="F70"/>
  <c r="E71"/>
  <c r="E70"/>
  <c r="D71"/>
  <c r="D70"/>
  <c r="M69"/>
  <c r="N69" s="1"/>
  <c r="M68"/>
  <c r="N68" s="1"/>
  <c r="M67"/>
  <c r="N67" s="1"/>
  <c r="M66"/>
  <c r="N66" s="1"/>
  <c r="M65"/>
  <c r="N65" s="1"/>
  <c r="M64"/>
  <c r="K62"/>
  <c r="J62"/>
  <c r="I62"/>
  <c r="H62"/>
  <c r="G62"/>
  <c r="F62"/>
  <c r="E63"/>
  <c r="E62"/>
  <c r="D63"/>
  <c r="D62"/>
  <c r="M61"/>
  <c r="N61" s="1"/>
  <c r="M60"/>
  <c r="N60" s="1"/>
  <c r="M59"/>
  <c r="M58"/>
  <c r="N58" s="1"/>
  <c r="M57"/>
  <c r="N57" s="1"/>
  <c r="M56"/>
  <c r="M63" s="1"/>
  <c r="K54"/>
  <c r="J54"/>
  <c r="I54"/>
  <c r="H54"/>
  <c r="G54"/>
  <c r="F54"/>
  <c r="E55"/>
  <c r="E54"/>
  <c r="D55"/>
  <c r="D54"/>
  <c r="M53"/>
  <c r="N53" s="1"/>
  <c r="M52"/>
  <c r="N52" s="1"/>
  <c r="M51"/>
  <c r="N51" s="1"/>
  <c r="M50"/>
  <c r="N50" s="1"/>
  <c r="M49"/>
  <c r="M48"/>
  <c r="K46"/>
  <c r="J46"/>
  <c r="I46"/>
  <c r="H46"/>
  <c r="G46"/>
  <c r="F46"/>
  <c r="E47"/>
  <c r="E46"/>
  <c r="D47"/>
  <c r="D46"/>
  <c r="M45"/>
  <c r="N45" s="1"/>
  <c r="M44"/>
  <c r="N44" s="1"/>
  <c r="M43"/>
  <c r="N43" s="1"/>
  <c r="M42"/>
  <c r="N42" s="1"/>
  <c r="M41"/>
  <c r="M40"/>
  <c r="M47" s="1"/>
  <c r="K38"/>
  <c r="J38"/>
  <c r="I38"/>
  <c r="H38"/>
  <c r="G38"/>
  <c r="F38"/>
  <c r="E38"/>
  <c r="D38"/>
  <c r="M37"/>
  <c r="N37" s="1"/>
  <c r="M36"/>
  <c r="N36" s="1"/>
  <c r="M35"/>
  <c r="N35" s="1"/>
  <c r="M34"/>
  <c r="N34" s="1"/>
  <c r="M33"/>
  <c r="N33" s="1"/>
  <c r="M32"/>
  <c r="M38" s="1"/>
  <c r="K30"/>
  <c r="J30"/>
  <c r="I30"/>
  <c r="H30"/>
  <c r="G30"/>
  <c r="F30"/>
  <c r="E31"/>
  <c r="E30"/>
  <c r="D31"/>
  <c r="D30"/>
  <c r="M29"/>
  <c r="N29" s="1"/>
  <c r="M28"/>
  <c r="N28" s="1"/>
  <c r="M27"/>
  <c r="M26"/>
  <c r="N26" s="1"/>
  <c r="M25"/>
  <c r="M24"/>
  <c r="M31" s="1"/>
  <c r="K22"/>
  <c r="J22"/>
  <c r="I22"/>
  <c r="H22"/>
  <c r="G22"/>
  <c r="F22"/>
  <c r="E23"/>
  <c r="E22"/>
  <c r="D23"/>
  <c r="D22"/>
  <c r="M21"/>
  <c r="N21" s="1"/>
  <c r="M20"/>
  <c r="N20" s="1"/>
  <c r="M19"/>
  <c r="N19" s="1"/>
  <c r="M18"/>
  <c r="N18" s="1"/>
  <c r="M17"/>
  <c r="M16"/>
  <c r="K14"/>
  <c r="J14"/>
  <c r="I14"/>
  <c r="H14"/>
  <c r="G14"/>
  <c r="F14"/>
  <c r="E15"/>
  <c r="E14"/>
  <c r="D15"/>
  <c r="D14"/>
  <c r="M13"/>
  <c r="M12"/>
  <c r="N12" s="1"/>
  <c r="M11"/>
  <c r="N11" s="1"/>
  <c r="M10"/>
  <c r="N10" s="1"/>
  <c r="M9"/>
  <c r="M8"/>
  <c r="K6"/>
  <c r="J6"/>
  <c r="I6"/>
  <c r="H6"/>
  <c r="G6"/>
  <c r="F6"/>
  <c r="E7"/>
  <c r="E6"/>
  <c r="D7"/>
  <c r="D6"/>
  <c r="M5"/>
  <c r="N5" s="1"/>
  <c r="M4"/>
  <c r="P248"/>
  <c r="O248"/>
  <c r="L248"/>
  <c r="N241"/>
  <c r="P240"/>
  <c r="O240"/>
  <c r="L240"/>
  <c r="P232"/>
  <c r="O232"/>
  <c r="L232"/>
  <c r="P224"/>
  <c r="O224"/>
  <c r="L224"/>
  <c r="N217"/>
  <c r="P216"/>
  <c r="O216"/>
  <c r="L216"/>
  <c r="P208"/>
  <c r="O208"/>
  <c r="L208"/>
  <c r="P200"/>
  <c r="O200"/>
  <c r="L200"/>
  <c r="P192"/>
  <c r="O192"/>
  <c r="L192"/>
  <c r="P184"/>
  <c r="O184"/>
  <c r="L183"/>
  <c r="L184" s="1"/>
  <c r="P176"/>
  <c r="O176"/>
  <c r="L175"/>
  <c r="L176" s="1"/>
  <c r="P168"/>
  <c r="O168"/>
  <c r="L167"/>
  <c r="L168" s="1"/>
  <c r="N165"/>
  <c r="N161"/>
  <c r="P159"/>
  <c r="O159"/>
  <c r="L158"/>
  <c r="L159" s="1"/>
  <c r="P151"/>
  <c r="O151"/>
  <c r="L150"/>
  <c r="L151" s="1"/>
  <c r="N145"/>
  <c r="P143"/>
  <c r="O143"/>
  <c r="L142"/>
  <c r="L143" s="1"/>
  <c r="P135"/>
  <c r="O135"/>
  <c r="L134"/>
  <c r="L135" s="1"/>
  <c r="N131"/>
  <c r="P127"/>
  <c r="O127"/>
  <c r="L126"/>
  <c r="L127" s="1"/>
  <c r="P119"/>
  <c r="O119"/>
  <c r="L118"/>
  <c r="L119" s="1"/>
  <c r="P111"/>
  <c r="O111"/>
  <c r="L110"/>
  <c r="L111" s="1"/>
  <c r="P103"/>
  <c r="O103"/>
  <c r="L102"/>
  <c r="L103" s="1"/>
  <c r="P95"/>
  <c r="O95"/>
  <c r="L94"/>
  <c r="L95" s="1"/>
  <c r="P87"/>
  <c r="O87"/>
  <c r="L86"/>
  <c r="L87" s="1"/>
  <c r="P79"/>
  <c r="O79"/>
  <c r="L78"/>
  <c r="L79" s="1"/>
  <c r="P71"/>
  <c r="O71"/>
  <c r="L70"/>
  <c r="L71" s="1"/>
  <c r="P63"/>
  <c r="O63"/>
  <c r="L62"/>
  <c r="L63" s="1"/>
  <c r="N59"/>
  <c r="P55"/>
  <c r="O55"/>
  <c r="L54"/>
  <c r="L55" s="1"/>
  <c r="N49"/>
  <c r="P47"/>
  <c r="O47"/>
  <c r="L46"/>
  <c r="L47" s="1"/>
  <c r="N40"/>
  <c r="P39"/>
  <c r="O39"/>
  <c r="L39"/>
  <c r="E39"/>
  <c r="D39"/>
  <c r="L38"/>
  <c r="P31"/>
  <c r="O31"/>
  <c r="L30"/>
  <c r="L31" s="1"/>
  <c r="N27"/>
  <c r="N25"/>
  <c r="N24"/>
  <c r="P23"/>
  <c r="O23"/>
  <c r="L23"/>
  <c r="L22"/>
  <c r="N17"/>
  <c r="P15"/>
  <c r="O15"/>
  <c r="L14"/>
  <c r="L15" s="1"/>
  <c r="N13"/>
  <c r="N9"/>
  <c r="P7"/>
  <c r="O7"/>
  <c r="L7"/>
  <c r="L6"/>
  <c r="B4"/>
  <c r="P253" i="14"/>
  <c r="E26" i="1" s="1"/>
  <c r="O253" i="14"/>
  <c r="E25" i="1" s="1"/>
  <c r="K250" i="14"/>
  <c r="J250"/>
  <c r="I250"/>
  <c r="H250"/>
  <c r="G250"/>
  <c r="F250"/>
  <c r="E251"/>
  <c r="E250"/>
  <c r="D251"/>
  <c r="D250"/>
  <c r="M249"/>
  <c r="M248"/>
  <c r="M247"/>
  <c r="N247" s="1"/>
  <c r="M246"/>
  <c r="N246" s="1"/>
  <c r="M245"/>
  <c r="N245" s="1"/>
  <c r="M244"/>
  <c r="N244" s="1"/>
  <c r="K242"/>
  <c r="J242"/>
  <c r="I242"/>
  <c r="H242"/>
  <c r="G242"/>
  <c r="F242"/>
  <c r="E243"/>
  <c r="E242"/>
  <c r="D243"/>
  <c r="D242"/>
  <c r="M241"/>
  <c r="M240"/>
  <c r="M239"/>
  <c r="M238"/>
  <c r="N238" s="1"/>
  <c r="M237"/>
  <c r="N237" s="1"/>
  <c r="M236"/>
  <c r="K234"/>
  <c r="J234"/>
  <c r="I234"/>
  <c r="H234"/>
  <c r="G234"/>
  <c r="F234"/>
  <c r="E235"/>
  <c r="E234"/>
  <c r="D235"/>
  <c r="D234"/>
  <c r="M233"/>
  <c r="M232"/>
  <c r="M231"/>
  <c r="M230"/>
  <c r="M229"/>
  <c r="M228"/>
  <c r="K226"/>
  <c r="J226"/>
  <c r="I226"/>
  <c r="H226"/>
  <c r="G226"/>
  <c r="F226"/>
  <c r="E227"/>
  <c r="E226"/>
  <c r="D227"/>
  <c r="D226"/>
  <c r="M225"/>
  <c r="M224"/>
  <c r="M223"/>
  <c r="M222"/>
  <c r="M221"/>
  <c r="M220"/>
  <c r="K218"/>
  <c r="J218"/>
  <c r="I218"/>
  <c r="H218"/>
  <c r="G218"/>
  <c r="F218"/>
  <c r="E219"/>
  <c r="E218"/>
  <c r="D219"/>
  <c r="D218"/>
  <c r="M217"/>
  <c r="M216"/>
  <c r="M215"/>
  <c r="M214"/>
  <c r="M213"/>
  <c r="M212"/>
  <c r="K210"/>
  <c r="J210"/>
  <c r="I210"/>
  <c r="H210"/>
  <c r="G210"/>
  <c r="F210"/>
  <c r="E211"/>
  <c r="E210"/>
  <c r="D211"/>
  <c r="D210"/>
  <c r="M209"/>
  <c r="M208"/>
  <c r="M207"/>
  <c r="M206"/>
  <c r="M205"/>
  <c r="M204"/>
  <c r="K202"/>
  <c r="J202"/>
  <c r="I202"/>
  <c r="H202"/>
  <c r="G202"/>
  <c r="F202"/>
  <c r="E203"/>
  <c r="E202"/>
  <c r="D203"/>
  <c r="D202"/>
  <c r="M201"/>
  <c r="M200"/>
  <c r="M199"/>
  <c r="M198"/>
  <c r="M197"/>
  <c r="M196"/>
  <c r="K194"/>
  <c r="J194"/>
  <c r="I194"/>
  <c r="H194"/>
  <c r="G194"/>
  <c r="F194"/>
  <c r="E195"/>
  <c r="E194"/>
  <c r="D195"/>
  <c r="D194"/>
  <c r="M193"/>
  <c r="M192"/>
  <c r="M191"/>
  <c r="M190"/>
  <c r="M189"/>
  <c r="M188"/>
  <c r="K186"/>
  <c r="J186"/>
  <c r="I186"/>
  <c r="H186"/>
  <c r="G186"/>
  <c r="F186"/>
  <c r="E187"/>
  <c r="E186"/>
  <c r="D187"/>
  <c r="D186"/>
  <c r="M185"/>
  <c r="M184"/>
  <c r="M183"/>
  <c r="M182"/>
  <c r="M181"/>
  <c r="M187" s="1"/>
  <c r="M180"/>
  <c r="K178"/>
  <c r="J178"/>
  <c r="I178"/>
  <c r="H178"/>
  <c r="G178"/>
  <c r="F178"/>
  <c r="E179"/>
  <c r="E178"/>
  <c r="D179"/>
  <c r="D178"/>
  <c r="M177"/>
  <c r="M176"/>
  <c r="M175"/>
  <c r="M174"/>
  <c r="M173"/>
  <c r="M172"/>
  <c r="K170"/>
  <c r="J170"/>
  <c r="I170"/>
  <c r="H170"/>
  <c r="G170"/>
  <c r="F170"/>
  <c r="E171"/>
  <c r="E170"/>
  <c r="D171"/>
  <c r="D170"/>
  <c r="M169"/>
  <c r="M168"/>
  <c r="M167"/>
  <c r="M166"/>
  <c r="M165"/>
  <c r="M164"/>
  <c r="K162"/>
  <c r="J162"/>
  <c r="I162"/>
  <c r="H162"/>
  <c r="G162"/>
  <c r="F162"/>
  <c r="E163"/>
  <c r="E162"/>
  <c r="D163"/>
  <c r="D162"/>
  <c r="M161"/>
  <c r="M160"/>
  <c r="M159"/>
  <c r="M158"/>
  <c r="M157"/>
  <c r="M156"/>
  <c r="K154"/>
  <c r="J154"/>
  <c r="I154"/>
  <c r="H154"/>
  <c r="G154"/>
  <c r="F154"/>
  <c r="E155"/>
  <c r="E154"/>
  <c r="D155"/>
  <c r="D154"/>
  <c r="M153"/>
  <c r="M152"/>
  <c r="M151"/>
  <c r="M150"/>
  <c r="M149"/>
  <c r="M148"/>
  <c r="K146"/>
  <c r="J146"/>
  <c r="I146"/>
  <c r="H146"/>
  <c r="G146"/>
  <c r="F146"/>
  <c r="E147"/>
  <c r="E146"/>
  <c r="D147"/>
  <c r="D146"/>
  <c r="M145"/>
  <c r="M144"/>
  <c r="M143"/>
  <c r="M142"/>
  <c r="M141"/>
  <c r="M140"/>
  <c r="K138"/>
  <c r="J138"/>
  <c r="I138"/>
  <c r="H138"/>
  <c r="G138"/>
  <c r="F138"/>
  <c r="E139"/>
  <c r="E138"/>
  <c r="D138"/>
  <c r="M137"/>
  <c r="M136"/>
  <c r="M135"/>
  <c r="M134"/>
  <c r="M133"/>
  <c r="M132"/>
  <c r="K130"/>
  <c r="J130"/>
  <c r="I130"/>
  <c r="H130"/>
  <c r="G130"/>
  <c r="F130"/>
  <c r="E131"/>
  <c r="E130"/>
  <c r="D131"/>
  <c r="D130"/>
  <c r="M129"/>
  <c r="M128"/>
  <c r="M127"/>
  <c r="M126"/>
  <c r="M125"/>
  <c r="M124"/>
  <c r="K122"/>
  <c r="J122"/>
  <c r="I122"/>
  <c r="H122"/>
  <c r="G122"/>
  <c r="F122"/>
  <c r="E123"/>
  <c r="E122"/>
  <c r="D123"/>
  <c r="D122"/>
  <c r="M121"/>
  <c r="M120"/>
  <c r="M119"/>
  <c r="M118"/>
  <c r="M117"/>
  <c r="M116"/>
  <c r="K114"/>
  <c r="J114"/>
  <c r="I114"/>
  <c r="H114"/>
  <c r="G114"/>
  <c r="F114"/>
  <c r="E115"/>
  <c r="E114"/>
  <c r="D115"/>
  <c r="D114"/>
  <c r="M113"/>
  <c r="M112"/>
  <c r="M111"/>
  <c r="M110"/>
  <c r="M109"/>
  <c r="M108"/>
  <c r="K106"/>
  <c r="J106"/>
  <c r="I106"/>
  <c r="H106"/>
  <c r="G106"/>
  <c r="F106"/>
  <c r="E107"/>
  <c r="E106"/>
  <c r="D107"/>
  <c r="D106"/>
  <c r="M105"/>
  <c r="M104"/>
  <c r="M103"/>
  <c r="M102"/>
  <c r="M101"/>
  <c r="M100"/>
  <c r="K98"/>
  <c r="J98"/>
  <c r="I98"/>
  <c r="H98"/>
  <c r="G98"/>
  <c r="F98"/>
  <c r="E99"/>
  <c r="E98"/>
  <c r="D99"/>
  <c r="D98"/>
  <c r="M97"/>
  <c r="M96"/>
  <c r="M95"/>
  <c r="M94"/>
  <c r="M93"/>
  <c r="M92"/>
  <c r="K90"/>
  <c r="J90"/>
  <c r="I90"/>
  <c r="H90"/>
  <c r="G90"/>
  <c r="F90"/>
  <c r="E91"/>
  <c r="E90"/>
  <c r="D91"/>
  <c r="D90"/>
  <c r="M89"/>
  <c r="M88"/>
  <c r="M87"/>
  <c r="M86"/>
  <c r="M85"/>
  <c r="M91" s="1"/>
  <c r="M84"/>
  <c r="K82"/>
  <c r="J82"/>
  <c r="I82"/>
  <c r="H82"/>
  <c r="G82"/>
  <c r="F82"/>
  <c r="E83"/>
  <c r="E82"/>
  <c r="D83"/>
  <c r="D82"/>
  <c r="M81"/>
  <c r="M80"/>
  <c r="M79"/>
  <c r="M78"/>
  <c r="M77"/>
  <c r="M76"/>
  <c r="K74"/>
  <c r="J74"/>
  <c r="I74"/>
  <c r="H74"/>
  <c r="G74"/>
  <c r="F74"/>
  <c r="E75"/>
  <c r="E74"/>
  <c r="D75"/>
  <c r="D74"/>
  <c r="M73"/>
  <c r="M72"/>
  <c r="M71"/>
  <c r="M70"/>
  <c r="M69"/>
  <c r="M68"/>
  <c r="K66"/>
  <c r="J66"/>
  <c r="I66"/>
  <c r="H66"/>
  <c r="G66"/>
  <c r="F66"/>
  <c r="E67"/>
  <c r="E66"/>
  <c r="D67"/>
  <c r="D66"/>
  <c r="M65"/>
  <c r="M64"/>
  <c r="M63"/>
  <c r="M62"/>
  <c r="M61"/>
  <c r="M60"/>
  <c r="K58"/>
  <c r="J58"/>
  <c r="I58"/>
  <c r="H58"/>
  <c r="G58"/>
  <c r="F58"/>
  <c r="E59"/>
  <c r="E58"/>
  <c r="D58"/>
  <c r="M57"/>
  <c r="M56"/>
  <c r="M55"/>
  <c r="M54"/>
  <c r="M53"/>
  <c r="M52"/>
  <c r="K50"/>
  <c r="J50"/>
  <c r="I50"/>
  <c r="H50"/>
  <c r="G50"/>
  <c r="F50"/>
  <c r="E51"/>
  <c r="E50"/>
  <c r="D50"/>
  <c r="M49"/>
  <c r="M48"/>
  <c r="M47"/>
  <c r="M46"/>
  <c r="M45"/>
  <c r="M44"/>
  <c r="K42"/>
  <c r="J42"/>
  <c r="I42"/>
  <c r="H42"/>
  <c r="G42"/>
  <c r="F42"/>
  <c r="E42"/>
  <c r="D42"/>
  <c r="M41"/>
  <c r="M40"/>
  <c r="M39"/>
  <c r="M38"/>
  <c r="M37"/>
  <c r="M36"/>
  <c r="K34"/>
  <c r="J34"/>
  <c r="I34"/>
  <c r="H34"/>
  <c r="G34"/>
  <c r="F34"/>
  <c r="E35"/>
  <c r="E34"/>
  <c r="D35"/>
  <c r="D34"/>
  <c r="M33"/>
  <c r="M32"/>
  <c r="M31"/>
  <c r="M30"/>
  <c r="M29"/>
  <c r="M28"/>
  <c r="K26"/>
  <c r="J26"/>
  <c r="I26"/>
  <c r="H26"/>
  <c r="G26"/>
  <c r="F26"/>
  <c r="E27"/>
  <c r="E26"/>
  <c r="D26"/>
  <c r="M25"/>
  <c r="M24"/>
  <c r="M23"/>
  <c r="M22"/>
  <c r="M21"/>
  <c r="M20"/>
  <c r="K18"/>
  <c r="J18"/>
  <c r="I18"/>
  <c r="H18"/>
  <c r="G18"/>
  <c r="F18"/>
  <c r="E19"/>
  <c r="E18"/>
  <c r="D18"/>
  <c r="M17"/>
  <c r="M16"/>
  <c r="M15"/>
  <c r="M14"/>
  <c r="M13"/>
  <c r="M12"/>
  <c r="K10"/>
  <c r="J10"/>
  <c r="I10"/>
  <c r="H10"/>
  <c r="G10"/>
  <c r="F10"/>
  <c r="E11"/>
  <c r="E10"/>
  <c r="E19" i="19"/>
  <c r="E11"/>
  <c r="P253"/>
  <c r="O253"/>
  <c r="L253"/>
  <c r="E18"/>
  <c r="E10"/>
  <c r="M9"/>
  <c r="N9" s="1"/>
  <c r="D11" i="14"/>
  <c r="D10"/>
  <c r="M9"/>
  <c r="M8"/>
  <c r="M7"/>
  <c r="M6"/>
  <c r="M5"/>
  <c r="M4"/>
  <c r="AF143" i="10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M207" i="36" l="1"/>
  <c r="N176"/>
  <c r="G253" i="17"/>
  <c r="M22" i="18"/>
  <c r="M40"/>
  <c r="M56"/>
  <c r="M72"/>
  <c r="M88"/>
  <c r="M104"/>
  <c r="M120"/>
  <c r="M136"/>
  <c r="M152"/>
  <c r="M168"/>
  <c r="M184"/>
  <c r="M200"/>
  <c r="M216"/>
  <c r="M231"/>
  <c r="M232"/>
  <c r="M247"/>
  <c r="M248"/>
  <c r="M58" i="17"/>
  <c r="M139"/>
  <c r="J253"/>
  <c r="M12" i="18"/>
  <c r="M32"/>
  <c r="M47"/>
  <c r="M48"/>
  <c r="M64"/>
  <c r="M80"/>
  <c r="M96"/>
  <c r="M112"/>
  <c r="M128"/>
  <c r="M144"/>
  <c r="M160"/>
  <c r="M176"/>
  <c r="M192"/>
  <c r="M207"/>
  <c r="M208"/>
  <c r="M224"/>
  <c r="M240"/>
  <c r="E258"/>
  <c r="M223" i="36"/>
  <c r="N223"/>
  <c r="M216"/>
  <c r="N200"/>
  <c r="M143"/>
  <c r="M135"/>
  <c r="M127"/>
  <c r="M119"/>
  <c r="N31"/>
  <c r="N30"/>
  <c r="N199"/>
  <c r="N224"/>
  <c r="M59" i="14"/>
  <c r="M251"/>
  <c r="G253"/>
  <c r="E29" i="1" s="1"/>
  <c r="I253" i="14"/>
  <c r="E31" i="1" s="1"/>
  <c r="K253" i="14"/>
  <c r="E33" i="1" s="1"/>
  <c r="M18" i="14"/>
  <c r="M58"/>
  <c r="M122"/>
  <c r="M123"/>
  <c r="M147"/>
  <c r="M155"/>
  <c r="M162"/>
  <c r="M194"/>
  <c r="M211"/>
  <c r="M219"/>
  <c r="M227"/>
  <c r="M235"/>
  <c r="F253"/>
  <c r="E28" i="1" s="1"/>
  <c r="N64" i="36"/>
  <c r="M71"/>
  <c r="M75" i="14"/>
  <c r="M82"/>
  <c r="M146"/>
  <c r="M170"/>
  <c r="M210"/>
  <c r="M55" i="36"/>
  <c r="N48"/>
  <c r="M79"/>
  <c r="N72"/>
  <c r="N80"/>
  <c r="M87"/>
  <c r="M95"/>
  <c r="N88"/>
  <c r="N96"/>
  <c r="M103"/>
  <c r="N104"/>
  <c r="M111"/>
  <c r="N144"/>
  <c r="M151"/>
  <c r="N152"/>
  <c r="M159"/>
  <c r="N186"/>
  <c r="M192"/>
  <c r="M242" i="14"/>
  <c r="N236"/>
  <c r="N247" i="36"/>
  <c r="N248"/>
  <c r="N4"/>
  <c r="M7"/>
  <c r="N8"/>
  <c r="M15"/>
  <c r="N16"/>
  <c r="M23"/>
  <c r="M66" i="14"/>
  <c r="M130"/>
  <c r="M139"/>
  <c r="M178"/>
  <c r="M46" i="36"/>
  <c r="M54"/>
  <c r="M62"/>
  <c r="M70"/>
  <c r="M78"/>
  <c r="M86"/>
  <c r="M94"/>
  <c r="M102"/>
  <c r="M110"/>
  <c r="M118"/>
  <c r="M126"/>
  <c r="M134"/>
  <c r="M142"/>
  <c r="M150"/>
  <c r="E250"/>
  <c r="F24" i="1" s="1"/>
  <c r="M158" i="36"/>
  <c r="G250"/>
  <c r="F29" i="1" s="1"/>
  <c r="I250" i="36"/>
  <c r="F31" i="1" s="1"/>
  <c r="K250" i="36"/>
  <c r="F33" i="1" s="1"/>
  <c r="M19" i="14"/>
  <c r="M34"/>
  <c r="M42"/>
  <c r="M50"/>
  <c r="M90"/>
  <c r="M98"/>
  <c r="M106"/>
  <c r="M114"/>
  <c r="M154"/>
  <c r="M186"/>
  <c r="M195"/>
  <c r="M218"/>
  <c r="M226"/>
  <c r="M234"/>
  <c r="M243"/>
  <c r="M250"/>
  <c r="E253"/>
  <c r="E24" i="1" s="1"/>
  <c r="H253" i="14"/>
  <c r="E30" i="1" s="1"/>
  <c r="J253" i="14"/>
  <c r="E32" i="1" s="1"/>
  <c r="N120" i="36"/>
  <c r="M6"/>
  <c r="M14"/>
  <c r="M22"/>
  <c r="M30"/>
  <c r="M168"/>
  <c r="N175"/>
  <c r="M176"/>
  <c r="M183"/>
  <c r="M184"/>
  <c r="M191"/>
  <c r="D250"/>
  <c r="F23" i="1" s="1"/>
  <c r="F250" i="36"/>
  <c r="F28" i="1" s="1"/>
  <c r="H250" i="36"/>
  <c r="F30" i="1" s="1"/>
  <c r="J250" i="36"/>
  <c r="F32" i="1" s="1"/>
  <c r="M200" i="36"/>
  <c r="M208"/>
  <c r="M224"/>
  <c r="M232"/>
  <c r="M240"/>
  <c r="M248"/>
  <c r="M10" i="17"/>
  <c r="M18"/>
  <c r="M26"/>
  <c r="M34"/>
  <c r="M43"/>
  <c r="M66"/>
  <c r="M74"/>
  <c r="M82"/>
  <c r="M90"/>
  <c r="M98"/>
  <c r="M106"/>
  <c r="M114"/>
  <c r="M122"/>
  <c r="M130"/>
  <c r="M138"/>
  <c r="M146"/>
  <c r="M154"/>
  <c r="M162"/>
  <c r="M170"/>
  <c r="M178"/>
  <c r="M186"/>
  <c r="M194"/>
  <c r="M202"/>
  <c r="M210"/>
  <c r="M218"/>
  <c r="M226"/>
  <c r="M234"/>
  <c r="M242"/>
  <c r="M250"/>
  <c r="I253"/>
  <c r="K253"/>
  <c r="M10" i="14"/>
  <c r="M26"/>
  <c r="M163"/>
  <c r="M202"/>
  <c r="M175" i="36"/>
  <c r="M199"/>
  <c r="M215"/>
  <c r="M239"/>
  <c r="L250"/>
  <c r="V7" i="1" s="1"/>
  <c r="F253" i="17"/>
  <c r="H253"/>
  <c r="M255" i="18"/>
  <c r="M258" s="1"/>
  <c r="D253" i="17"/>
  <c r="E253"/>
  <c r="D258" i="18"/>
  <c r="M251" i="17"/>
  <c r="M256" i="18"/>
  <c r="F256"/>
  <c r="F251" i="17"/>
  <c r="F243"/>
  <c r="F235"/>
  <c r="F227"/>
  <c r="F219"/>
  <c r="F211"/>
  <c r="F203"/>
  <c r="F195"/>
  <c r="F187"/>
  <c r="F179"/>
  <c r="F171"/>
  <c r="F163"/>
  <c r="F155"/>
  <c r="F147"/>
  <c r="F139"/>
  <c r="F131"/>
  <c r="F123"/>
  <c r="F115"/>
  <c r="F107"/>
  <c r="F99"/>
  <c r="F91"/>
  <c r="F83"/>
  <c r="F75"/>
  <c r="F67"/>
  <c r="F59"/>
  <c r="F51"/>
  <c r="F43"/>
  <c r="F35"/>
  <c r="F27"/>
  <c r="F19"/>
  <c r="F11"/>
  <c r="F248" i="36"/>
  <c r="F240"/>
  <c r="F232"/>
  <c r="N225"/>
  <c r="F224"/>
  <c r="F216"/>
  <c r="N210"/>
  <c r="N216" s="1"/>
  <c r="F208"/>
  <c r="N201"/>
  <c r="F200"/>
  <c r="F192"/>
  <c r="N185"/>
  <c r="F184"/>
  <c r="N177"/>
  <c r="F176"/>
  <c r="F168"/>
  <c r="N160"/>
  <c r="F159"/>
  <c r="F151"/>
  <c r="F143"/>
  <c r="N136"/>
  <c r="F135"/>
  <c r="N128"/>
  <c r="F127"/>
  <c r="F119"/>
  <c r="N112"/>
  <c r="F111"/>
  <c r="F103"/>
  <c r="F95"/>
  <c r="N89"/>
  <c r="F87"/>
  <c r="F79"/>
  <c r="F71"/>
  <c r="F63"/>
  <c r="N56"/>
  <c r="F55"/>
  <c r="F47"/>
  <c r="N41"/>
  <c r="N46" s="1"/>
  <c r="F39"/>
  <c r="M39"/>
  <c r="N32"/>
  <c r="F31"/>
  <c r="F23"/>
  <c r="F15"/>
  <c r="F7"/>
  <c r="M203" i="14"/>
  <c r="M179"/>
  <c r="M171"/>
  <c r="M138"/>
  <c r="M131"/>
  <c r="M115"/>
  <c r="M107"/>
  <c r="M99"/>
  <c r="M83"/>
  <c r="M74"/>
  <c r="M67"/>
  <c r="M51"/>
  <c r="M35"/>
  <c r="D253"/>
  <c r="E23" i="1" s="1"/>
  <c r="M27" i="14"/>
  <c r="M11"/>
  <c r="F251"/>
  <c r="F243"/>
  <c r="F235"/>
  <c r="F227"/>
  <c r="F219"/>
  <c r="F211"/>
  <c r="F203"/>
  <c r="F195"/>
  <c r="F187"/>
  <c r="F179"/>
  <c r="F171"/>
  <c r="F163"/>
  <c r="F155"/>
  <c r="F147"/>
  <c r="F139"/>
  <c r="F131"/>
  <c r="F123"/>
  <c r="F115"/>
  <c r="F107"/>
  <c r="F99"/>
  <c r="F91"/>
  <c r="F83"/>
  <c r="F75"/>
  <c r="F67"/>
  <c r="F59"/>
  <c r="F51"/>
  <c r="F43"/>
  <c r="F35"/>
  <c r="F27"/>
  <c r="F19"/>
  <c r="F11"/>
  <c r="D11" i="31"/>
  <c r="D1"/>
  <c r="L251" i="36" l="1"/>
  <c r="E251"/>
  <c r="D251"/>
  <c r="M250"/>
  <c r="N39"/>
  <c r="N38"/>
  <c r="N63"/>
  <c r="N62"/>
  <c r="N135"/>
  <c r="N134"/>
  <c r="N143"/>
  <c r="N142"/>
  <c r="N167"/>
  <c r="N168"/>
  <c r="N207"/>
  <c r="N208"/>
  <c r="N127"/>
  <c r="N126"/>
  <c r="N95"/>
  <c r="N94"/>
  <c r="N79"/>
  <c r="N78"/>
  <c r="N55"/>
  <c r="N54"/>
  <c r="M253" i="17"/>
  <c r="N215" i="36"/>
  <c r="N47"/>
  <c r="N119"/>
  <c r="N118"/>
  <c r="N183"/>
  <c r="N184"/>
  <c r="N191"/>
  <c r="N192"/>
  <c r="N231"/>
  <c r="N232"/>
  <c r="F34" i="1"/>
  <c r="N23" i="36"/>
  <c r="N22"/>
  <c r="N15"/>
  <c r="N14"/>
  <c r="N7"/>
  <c r="N6"/>
  <c r="N159"/>
  <c r="N158"/>
  <c r="N151"/>
  <c r="N150"/>
  <c r="N111"/>
  <c r="N110"/>
  <c r="N103"/>
  <c r="N102"/>
  <c r="N87"/>
  <c r="N86"/>
  <c r="N71"/>
  <c r="N70"/>
  <c r="F254" i="14"/>
  <c r="E27" i="1" s="1"/>
  <c r="F254" i="17"/>
  <c r="F251" i="36"/>
  <c r="F27" i="1" s="1"/>
  <c r="M253" i="14"/>
  <c r="A183" i="10"/>
  <c r="A193"/>
  <c r="A203"/>
  <c r="A213"/>
  <c r="A223"/>
  <c r="A173"/>
  <c r="A163"/>
  <c r="A153"/>
  <c r="A143"/>
  <c r="A133"/>
  <c r="A113"/>
  <c r="D14" i="28" s="1"/>
  <c r="E11" i="31"/>
  <c r="F11"/>
  <c r="G11"/>
  <c r="H11"/>
  <c r="I11"/>
  <c r="J11"/>
  <c r="K11"/>
  <c r="L11"/>
  <c r="M11"/>
  <c r="N11"/>
  <c r="O11"/>
  <c r="F12" i="28"/>
  <c r="N250" i="36" l="1"/>
  <c r="D12" i="28"/>
  <c r="B19" i="10"/>
  <c r="A220"/>
  <c r="A210"/>
  <c r="A200"/>
  <c r="A190"/>
  <c r="A180"/>
  <c r="A170"/>
  <c r="A160"/>
  <c r="A150"/>
  <c r="A140"/>
  <c r="A130"/>
  <c r="A120"/>
  <c r="A110"/>
  <c r="C31" i="30"/>
  <c r="C17"/>
  <c r="C11"/>
  <c r="I52" i="31"/>
  <c r="D7" i="32" l="1"/>
  <c r="D8" s="1"/>
  <c r="D51" i="14"/>
  <c r="D59"/>
  <c r="D139"/>
  <c r="I1" i="30"/>
  <c r="I17"/>
  <c r="I17" i="31"/>
  <c r="I2" i="30"/>
  <c r="I52"/>
  <c r="D27" i="14" l="1"/>
  <c r="D19"/>
  <c r="E11" i="30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D11"/>
  <c r="D10" i="28"/>
  <c r="B113" i="10"/>
  <c r="D17" i="28"/>
  <c r="D7"/>
  <c r="C14" i="30" l="1"/>
  <c r="C13"/>
  <c r="C12"/>
  <c r="E130" i="22"/>
  <c r="E130" i="23"/>
  <c r="E130" i="24"/>
  <c r="E130" i="25"/>
  <c r="E130" i="26"/>
  <c r="E130" i="27"/>
  <c r="E130" i="19"/>
  <c r="E130" i="21"/>
  <c r="E51" i="22"/>
  <c r="E51" i="23"/>
  <c r="E51" i="24"/>
  <c r="E51" i="25"/>
  <c r="E51" i="26"/>
  <c r="E51" i="27"/>
  <c r="E51" i="19"/>
  <c r="E51" i="21"/>
  <c r="D50" i="19"/>
  <c r="D51"/>
  <c r="B5" i="1"/>
  <c r="D50" i="21"/>
  <c r="D227" i="20"/>
  <c r="B7" i="28"/>
  <c r="B163" i="10"/>
  <c r="AF153"/>
  <c r="AE153"/>
  <c r="AD153"/>
  <c r="AC153"/>
  <c r="AB153"/>
  <c r="AA153"/>
  <c r="Z153"/>
  <c r="Y153"/>
  <c r="X153"/>
  <c r="W153"/>
  <c r="V153"/>
  <c r="U153"/>
  <c r="T153"/>
  <c r="S153"/>
  <c r="R153"/>
  <c r="Q153"/>
  <c r="P153"/>
  <c r="O153"/>
  <c r="N153"/>
  <c r="M153"/>
  <c r="L153"/>
  <c r="K153"/>
  <c r="J153"/>
  <c r="I153"/>
  <c r="H153"/>
  <c r="G153"/>
  <c r="F153"/>
  <c r="E153"/>
  <c r="D153"/>
  <c r="C153"/>
  <c r="B15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AF223"/>
  <c r="AE223"/>
  <c r="AD223"/>
  <c r="AC223"/>
  <c r="AB223"/>
  <c r="AA223"/>
  <c r="Z223"/>
  <c r="Y223"/>
  <c r="X223"/>
  <c r="W223"/>
  <c r="V223"/>
  <c r="U223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C223"/>
  <c r="B223"/>
  <c r="AF213"/>
  <c r="AE213"/>
  <c r="AD213"/>
  <c r="AC213"/>
  <c r="AB213"/>
  <c r="AA213"/>
  <c r="Z213"/>
  <c r="Y213"/>
  <c r="X213"/>
  <c r="W213"/>
  <c r="V213"/>
  <c r="U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B213"/>
  <c r="AF203"/>
  <c r="AE203"/>
  <c r="AD203"/>
  <c r="AC203"/>
  <c r="AB203"/>
  <c r="AA203"/>
  <c r="Z203"/>
  <c r="Y203"/>
  <c r="X203"/>
  <c r="W203"/>
  <c r="V203"/>
  <c r="U203"/>
  <c r="T203"/>
  <c r="S203"/>
  <c r="R203"/>
  <c r="Q203"/>
  <c r="P203"/>
  <c r="O203"/>
  <c r="N203"/>
  <c r="M203"/>
  <c r="L203"/>
  <c r="K203"/>
  <c r="J203"/>
  <c r="I203"/>
  <c r="H203"/>
  <c r="G203"/>
  <c r="F203"/>
  <c r="E203"/>
  <c r="D203"/>
  <c r="C203"/>
  <c r="B203"/>
  <c r="AF193"/>
  <c r="AE193"/>
  <c r="AD193"/>
  <c r="AC193"/>
  <c r="AB193"/>
  <c r="AA193"/>
  <c r="Z193"/>
  <c r="Y193"/>
  <c r="X193"/>
  <c r="W193"/>
  <c r="V193"/>
  <c r="U193"/>
  <c r="T193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B193"/>
  <c r="AF183"/>
  <c r="AE183"/>
  <c r="AD183"/>
  <c r="AC183"/>
  <c r="AB183"/>
  <c r="AA183"/>
  <c r="Z183"/>
  <c r="Y183"/>
  <c r="X183"/>
  <c r="W183"/>
  <c r="V183"/>
  <c r="U183"/>
  <c r="T183"/>
  <c r="S183"/>
  <c r="R183"/>
  <c r="Q183"/>
  <c r="P183"/>
  <c r="O183"/>
  <c r="N183"/>
  <c r="M183"/>
  <c r="L183"/>
  <c r="K183"/>
  <c r="J183"/>
  <c r="I183"/>
  <c r="H183"/>
  <c r="G183"/>
  <c r="F183"/>
  <c r="E183"/>
  <c r="D183"/>
  <c r="C183"/>
  <c r="B183"/>
  <c r="AF173"/>
  <c r="AE173"/>
  <c r="AD173"/>
  <c r="AC173"/>
  <c r="AB173"/>
  <c r="AA173"/>
  <c r="Z173"/>
  <c r="Y173"/>
  <c r="X173"/>
  <c r="W173"/>
  <c r="V173"/>
  <c r="U173"/>
  <c r="T173"/>
  <c r="S173"/>
  <c r="R173"/>
  <c r="Q173"/>
  <c r="P173"/>
  <c r="O173"/>
  <c r="N173"/>
  <c r="M173"/>
  <c r="L173"/>
  <c r="K173"/>
  <c r="J173"/>
  <c r="I173"/>
  <c r="H173"/>
  <c r="G173"/>
  <c r="F173"/>
  <c r="E173"/>
  <c r="D173"/>
  <c r="C173"/>
  <c r="B173"/>
  <c r="AF163"/>
  <c r="AE163"/>
  <c r="AD163"/>
  <c r="AC163"/>
  <c r="AB163"/>
  <c r="AA163"/>
  <c r="Z163"/>
  <c r="Y163"/>
  <c r="X163"/>
  <c r="W163"/>
  <c r="V163"/>
  <c r="U163"/>
  <c r="T163"/>
  <c r="S163"/>
  <c r="R163"/>
  <c r="Q163"/>
  <c r="P163"/>
  <c r="O163"/>
  <c r="N163"/>
  <c r="M163"/>
  <c r="L163"/>
  <c r="K163"/>
  <c r="J163"/>
  <c r="I163"/>
  <c r="H163"/>
  <c r="G163"/>
  <c r="F163"/>
  <c r="E163"/>
  <c r="D163"/>
  <c r="C163"/>
  <c r="A8" i="28"/>
  <c r="D59" i="17"/>
  <c r="P26" i="1"/>
  <c r="O26"/>
  <c r="N26"/>
  <c r="M26"/>
  <c r="L26"/>
  <c r="K26"/>
  <c r="P251" i="27"/>
  <c r="O251"/>
  <c r="L251"/>
  <c r="E251"/>
  <c r="D251"/>
  <c r="K250"/>
  <c r="J250"/>
  <c r="I250"/>
  <c r="H250"/>
  <c r="G250"/>
  <c r="F250"/>
  <c r="E250"/>
  <c r="D250"/>
  <c r="M249"/>
  <c r="N249" s="1"/>
  <c r="M248"/>
  <c r="N248" s="1"/>
  <c r="M247"/>
  <c r="N247" s="1"/>
  <c r="M246"/>
  <c r="N246" s="1"/>
  <c r="M245"/>
  <c r="N245" s="1"/>
  <c r="M244"/>
  <c r="P243"/>
  <c r="O243"/>
  <c r="M243"/>
  <c r="L243"/>
  <c r="E243"/>
  <c r="D243"/>
  <c r="K242"/>
  <c r="J242"/>
  <c r="I242"/>
  <c r="H242"/>
  <c r="G242"/>
  <c r="F242"/>
  <c r="E242"/>
  <c r="D242"/>
  <c r="N241"/>
  <c r="M241"/>
  <c r="N240"/>
  <c r="M240"/>
  <c r="N239"/>
  <c r="M239"/>
  <c r="N238"/>
  <c r="M238"/>
  <c r="N237"/>
  <c r="M237"/>
  <c r="N236"/>
  <c r="M236"/>
  <c r="M242" s="1"/>
  <c r="P235"/>
  <c r="O235"/>
  <c r="M235"/>
  <c r="L235"/>
  <c r="E235"/>
  <c r="D235"/>
  <c r="K234"/>
  <c r="J234"/>
  <c r="I234"/>
  <c r="H234"/>
  <c r="G234"/>
  <c r="F235" s="1"/>
  <c r="F234"/>
  <c r="E234"/>
  <c r="D234"/>
  <c r="N233"/>
  <c r="M233"/>
  <c r="N232"/>
  <c r="M232"/>
  <c r="N231"/>
  <c r="M231"/>
  <c r="N230"/>
  <c r="M230"/>
  <c r="N229"/>
  <c r="M229"/>
  <c r="N228"/>
  <c r="M228"/>
  <c r="M234" s="1"/>
  <c r="P227"/>
  <c r="O227"/>
  <c r="M227"/>
  <c r="L227"/>
  <c r="E227"/>
  <c r="D227"/>
  <c r="K226"/>
  <c r="J226"/>
  <c r="I226"/>
  <c r="H226"/>
  <c r="G226"/>
  <c r="F227" s="1"/>
  <c r="F226"/>
  <c r="E226"/>
  <c r="D226"/>
  <c r="N225"/>
  <c r="M225"/>
  <c r="N224"/>
  <c r="M224"/>
  <c r="N223"/>
  <c r="M223"/>
  <c r="N222"/>
  <c r="M222"/>
  <c r="N221"/>
  <c r="M221"/>
  <c r="N220"/>
  <c r="M220"/>
  <c r="M226" s="1"/>
  <c r="P219"/>
  <c r="O219"/>
  <c r="L219"/>
  <c r="E219"/>
  <c r="D219"/>
  <c r="K218"/>
  <c r="J218"/>
  <c r="I218"/>
  <c r="H218"/>
  <c r="G218"/>
  <c r="F218"/>
  <c r="E218"/>
  <c r="D218"/>
  <c r="M217"/>
  <c r="N217" s="1"/>
  <c r="M216"/>
  <c r="N216" s="1"/>
  <c r="M215"/>
  <c r="N215" s="1"/>
  <c r="M214"/>
  <c r="N214" s="1"/>
  <c r="M213"/>
  <c r="N213" s="1"/>
  <c r="M212"/>
  <c r="M218" s="1"/>
  <c r="P211"/>
  <c r="O211"/>
  <c r="L211"/>
  <c r="E211"/>
  <c r="D211"/>
  <c r="K210"/>
  <c r="J210"/>
  <c r="I210"/>
  <c r="H210"/>
  <c r="G210"/>
  <c r="F210"/>
  <c r="E210"/>
  <c r="D210"/>
  <c r="M209"/>
  <c r="N209" s="1"/>
  <c r="M208"/>
  <c r="N208" s="1"/>
  <c r="M207"/>
  <c r="N207" s="1"/>
  <c r="M206"/>
  <c r="N206" s="1"/>
  <c r="M205"/>
  <c r="N205" s="1"/>
  <c r="M204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P195"/>
  <c r="O195"/>
  <c r="L195"/>
  <c r="E195"/>
  <c r="D195"/>
  <c r="K194"/>
  <c r="J194"/>
  <c r="I194"/>
  <c r="H194"/>
  <c r="G194"/>
  <c r="F194"/>
  <c r="E194"/>
  <c r="D194"/>
  <c r="M193"/>
  <c r="N193" s="1"/>
  <c r="M192"/>
  <c r="N192" s="1"/>
  <c r="M191"/>
  <c r="N191" s="1"/>
  <c r="M190"/>
  <c r="N190" s="1"/>
  <c r="M189"/>
  <c r="N189" s="1"/>
  <c r="M188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P179"/>
  <c r="O179"/>
  <c r="L179"/>
  <c r="E179"/>
  <c r="D179"/>
  <c r="K178"/>
  <c r="J178"/>
  <c r="I178"/>
  <c r="H178"/>
  <c r="G178"/>
  <c r="F178"/>
  <c r="E178"/>
  <c r="D178"/>
  <c r="M177"/>
  <c r="N177" s="1"/>
  <c r="M176"/>
  <c r="N176" s="1"/>
  <c r="M175"/>
  <c r="N175" s="1"/>
  <c r="M174"/>
  <c r="N174" s="1"/>
  <c r="M173"/>
  <c r="N173" s="1"/>
  <c r="M172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M167"/>
  <c r="N167" s="1"/>
  <c r="M166"/>
  <c r="N166" s="1"/>
  <c r="M165"/>
  <c r="N165" s="1"/>
  <c r="M164"/>
  <c r="M170" s="1"/>
  <c r="P163"/>
  <c r="O163"/>
  <c r="L163"/>
  <c r="E163"/>
  <c r="D163"/>
  <c r="K162"/>
  <c r="J162"/>
  <c r="I162"/>
  <c r="H162"/>
  <c r="G162"/>
  <c r="F163" s="1"/>
  <c r="F162"/>
  <c r="E162"/>
  <c r="D162"/>
  <c r="N161"/>
  <c r="M161"/>
  <c r="N160"/>
  <c r="M160"/>
  <c r="N159"/>
  <c r="M159"/>
  <c r="N158"/>
  <c r="M158"/>
  <c r="N157"/>
  <c r="M157"/>
  <c r="N156"/>
  <c r="M156"/>
  <c r="M162" s="1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M148"/>
  <c r="M154" s="1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M141"/>
  <c r="N141" s="1"/>
  <c r="M140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M135"/>
  <c r="N135" s="1"/>
  <c r="M134"/>
  <c r="N134" s="1"/>
  <c r="M133"/>
  <c r="N133" s="1"/>
  <c r="M132"/>
  <c r="M138" s="1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M126"/>
  <c r="N126" s="1"/>
  <c r="M125"/>
  <c r="N125" s="1"/>
  <c r="M124"/>
  <c r="M130" s="1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P115"/>
  <c r="O115"/>
  <c r="L115"/>
  <c r="E115"/>
  <c r="D115"/>
  <c r="K114"/>
  <c r="J114"/>
  <c r="I114"/>
  <c r="H114"/>
  <c r="G114"/>
  <c r="F114"/>
  <c r="E114"/>
  <c r="D114"/>
  <c r="M113"/>
  <c r="N113" s="1"/>
  <c r="M112"/>
  <c r="N112" s="1"/>
  <c r="M111"/>
  <c r="N111" s="1"/>
  <c r="M110"/>
  <c r="N110" s="1"/>
  <c r="M109"/>
  <c r="N109" s="1"/>
  <c r="M108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M102"/>
  <c r="N102" s="1"/>
  <c r="M101"/>
  <c r="N101" s="1"/>
  <c r="M100"/>
  <c r="N100" s="1"/>
  <c r="P99"/>
  <c r="O99"/>
  <c r="L99"/>
  <c r="E99"/>
  <c r="D99"/>
  <c r="K98"/>
  <c r="J98"/>
  <c r="I98"/>
  <c r="H98"/>
  <c r="G98"/>
  <c r="F98"/>
  <c r="E98"/>
  <c r="D98"/>
  <c r="M97"/>
  <c r="N97" s="1"/>
  <c r="M96"/>
  <c r="N96" s="1"/>
  <c r="M95"/>
  <c r="N95" s="1"/>
  <c r="M94"/>
  <c r="N94" s="1"/>
  <c r="M93"/>
  <c r="N93" s="1"/>
  <c r="M92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M85"/>
  <c r="N85" s="1"/>
  <c r="M84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N60" s="1"/>
  <c r="N66" s="1"/>
  <c r="P59"/>
  <c r="O59"/>
  <c r="L59"/>
  <c r="E59"/>
  <c r="D59"/>
  <c r="K58"/>
  <c r="J58"/>
  <c r="I58"/>
  <c r="H58"/>
  <c r="G58"/>
  <c r="F58"/>
  <c r="E58"/>
  <c r="D58"/>
  <c r="M57"/>
  <c r="N57" s="1"/>
  <c r="M56"/>
  <c r="N56" s="1"/>
  <c r="M55"/>
  <c r="N55" s="1"/>
  <c r="M54"/>
  <c r="N54" s="1"/>
  <c r="M53"/>
  <c r="N53" s="1"/>
  <c r="M52"/>
  <c r="M58" s="1"/>
  <c r="P51"/>
  <c r="O51"/>
  <c r="L51"/>
  <c r="D51"/>
  <c r="K50"/>
  <c r="J50"/>
  <c r="I50"/>
  <c r="H50"/>
  <c r="G50"/>
  <c r="F50"/>
  <c r="E50"/>
  <c r="D50"/>
  <c r="M49"/>
  <c r="N49" s="1"/>
  <c r="M48"/>
  <c r="N48" s="1"/>
  <c r="M47"/>
  <c r="N47" s="1"/>
  <c r="M46"/>
  <c r="N46" s="1"/>
  <c r="M45"/>
  <c r="N45" s="1"/>
  <c r="M44"/>
  <c r="M51" s="1"/>
  <c r="P43"/>
  <c r="O43"/>
  <c r="L43"/>
  <c r="E43"/>
  <c r="D43"/>
  <c r="K42"/>
  <c r="J42"/>
  <c r="I42"/>
  <c r="H42"/>
  <c r="G42"/>
  <c r="F42"/>
  <c r="E42"/>
  <c r="D42"/>
  <c r="M41"/>
  <c r="N41" s="1"/>
  <c r="M40"/>
  <c r="N40" s="1"/>
  <c r="M39"/>
  <c r="N39" s="1"/>
  <c r="M38"/>
  <c r="N38" s="1"/>
  <c r="M37"/>
  <c r="N37" s="1"/>
  <c r="M36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P27"/>
  <c r="O27"/>
  <c r="L27"/>
  <c r="E27"/>
  <c r="D27"/>
  <c r="K26"/>
  <c r="J26"/>
  <c r="I26"/>
  <c r="H26"/>
  <c r="G26"/>
  <c r="F26"/>
  <c r="E26"/>
  <c r="D26"/>
  <c r="M25"/>
  <c r="N25" s="1"/>
  <c r="M24"/>
  <c r="N24" s="1"/>
  <c r="M23"/>
  <c r="N23" s="1"/>
  <c r="M22"/>
  <c r="N22" s="1"/>
  <c r="M21"/>
  <c r="N21" s="1"/>
  <c r="M20"/>
  <c r="P19"/>
  <c r="O19"/>
  <c r="L19"/>
  <c r="E19"/>
  <c r="D19"/>
  <c r="K18"/>
  <c r="J18"/>
  <c r="I18"/>
  <c r="H18"/>
  <c r="G18"/>
  <c r="F18"/>
  <c r="E18"/>
  <c r="D18"/>
  <c r="M17"/>
  <c r="N17" s="1"/>
  <c r="M16"/>
  <c r="N16" s="1"/>
  <c r="M15"/>
  <c r="N15" s="1"/>
  <c r="M14"/>
  <c r="N14" s="1"/>
  <c r="M13"/>
  <c r="N13" s="1"/>
  <c r="M12"/>
  <c r="N12" s="1"/>
  <c r="N18" s="1"/>
  <c r="P11"/>
  <c r="O11"/>
  <c r="L11"/>
  <c r="E11"/>
  <c r="D11"/>
  <c r="K10"/>
  <c r="J10"/>
  <c r="I10"/>
  <c r="H10"/>
  <c r="G10"/>
  <c r="F10"/>
  <c r="E10"/>
  <c r="D10"/>
  <c r="M9"/>
  <c r="N9" s="1"/>
  <c r="M8"/>
  <c r="N8" s="1"/>
  <c r="M7"/>
  <c r="M6"/>
  <c r="N6" s="1"/>
  <c r="M5"/>
  <c r="N5" s="1"/>
  <c r="M4"/>
  <c r="B4"/>
  <c r="P251" i="26"/>
  <c r="O251"/>
  <c r="L251"/>
  <c r="E251"/>
  <c r="D251"/>
  <c r="K250"/>
  <c r="J250"/>
  <c r="I250"/>
  <c r="H250"/>
  <c r="G250"/>
  <c r="F250"/>
  <c r="E250"/>
  <c r="D250"/>
  <c r="M249"/>
  <c r="N249" s="1"/>
  <c r="M248"/>
  <c r="N248" s="1"/>
  <c r="M247"/>
  <c r="N247" s="1"/>
  <c r="M246"/>
  <c r="N246" s="1"/>
  <c r="M245"/>
  <c r="N245" s="1"/>
  <c r="M244"/>
  <c r="P243"/>
  <c r="O243"/>
  <c r="L243"/>
  <c r="E243"/>
  <c r="D243"/>
  <c r="K242"/>
  <c r="J242"/>
  <c r="I242"/>
  <c r="H242"/>
  <c r="G242"/>
  <c r="F242"/>
  <c r="F243" s="1"/>
  <c r="E242"/>
  <c r="D242"/>
  <c r="M241"/>
  <c r="N241" s="1"/>
  <c r="M240"/>
  <c r="N240" s="1"/>
  <c r="M239"/>
  <c r="N239" s="1"/>
  <c r="M238"/>
  <c r="N238" s="1"/>
  <c r="M237"/>
  <c r="N237" s="1"/>
  <c r="M236"/>
  <c r="M242" s="1"/>
  <c r="P235"/>
  <c r="O235"/>
  <c r="L235"/>
  <c r="E235"/>
  <c r="D235"/>
  <c r="K234"/>
  <c r="J234"/>
  <c r="I234"/>
  <c r="H234"/>
  <c r="G234"/>
  <c r="F234"/>
  <c r="E234"/>
  <c r="D234"/>
  <c r="M233"/>
  <c r="N233" s="1"/>
  <c r="M232"/>
  <c r="N232" s="1"/>
  <c r="M231"/>
  <c r="N231" s="1"/>
  <c r="M230"/>
  <c r="N230" s="1"/>
  <c r="M229"/>
  <c r="N229" s="1"/>
  <c r="M228"/>
  <c r="P227"/>
  <c r="O227"/>
  <c r="L227"/>
  <c r="E227"/>
  <c r="D227"/>
  <c r="K226"/>
  <c r="J226"/>
  <c r="I226"/>
  <c r="H226"/>
  <c r="G226"/>
  <c r="F226"/>
  <c r="E226"/>
  <c r="D226"/>
  <c r="M225"/>
  <c r="N225" s="1"/>
  <c r="M224"/>
  <c r="N224" s="1"/>
  <c r="M223"/>
  <c r="N223" s="1"/>
  <c r="M222"/>
  <c r="N222" s="1"/>
  <c r="M221"/>
  <c r="N221" s="1"/>
  <c r="M220"/>
  <c r="M226" s="1"/>
  <c r="P219"/>
  <c r="O219"/>
  <c r="L219"/>
  <c r="E219"/>
  <c r="D219"/>
  <c r="K218"/>
  <c r="J218"/>
  <c r="I218"/>
  <c r="H218"/>
  <c r="G218"/>
  <c r="F218"/>
  <c r="E218"/>
  <c r="D218"/>
  <c r="M217"/>
  <c r="N217" s="1"/>
  <c r="M216"/>
  <c r="N216" s="1"/>
  <c r="M215"/>
  <c r="N215" s="1"/>
  <c r="M214"/>
  <c r="N214" s="1"/>
  <c r="M213"/>
  <c r="N213" s="1"/>
  <c r="M212"/>
  <c r="P211"/>
  <c r="O211"/>
  <c r="L211"/>
  <c r="E211"/>
  <c r="D211"/>
  <c r="K210"/>
  <c r="J210"/>
  <c r="I210"/>
  <c r="H210"/>
  <c r="G210"/>
  <c r="F210"/>
  <c r="E210"/>
  <c r="D210"/>
  <c r="M209"/>
  <c r="N209" s="1"/>
  <c r="M208"/>
  <c r="N208" s="1"/>
  <c r="M207"/>
  <c r="N207" s="1"/>
  <c r="M206"/>
  <c r="N206" s="1"/>
  <c r="M205"/>
  <c r="N205" s="1"/>
  <c r="M204"/>
  <c r="M210" s="1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P195"/>
  <c r="O195"/>
  <c r="L195"/>
  <c r="E195"/>
  <c r="D195"/>
  <c r="K194"/>
  <c r="J194"/>
  <c r="I194"/>
  <c r="H194"/>
  <c r="G194"/>
  <c r="F194"/>
  <c r="E194"/>
  <c r="D194"/>
  <c r="M193"/>
  <c r="N193" s="1"/>
  <c r="M192"/>
  <c r="N192" s="1"/>
  <c r="M191"/>
  <c r="N191" s="1"/>
  <c r="M190"/>
  <c r="N190" s="1"/>
  <c r="M189"/>
  <c r="N189" s="1"/>
  <c r="M188"/>
  <c r="M194" s="1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P179"/>
  <c r="O179"/>
  <c r="L179"/>
  <c r="E179"/>
  <c r="D179"/>
  <c r="K178"/>
  <c r="J178"/>
  <c r="I178"/>
  <c r="H178"/>
  <c r="G178"/>
  <c r="F178"/>
  <c r="E178"/>
  <c r="D178"/>
  <c r="M177"/>
  <c r="N177" s="1"/>
  <c r="M176"/>
  <c r="N176" s="1"/>
  <c r="M175"/>
  <c r="N175" s="1"/>
  <c r="M174"/>
  <c r="N174" s="1"/>
  <c r="M173"/>
  <c r="N173" s="1"/>
  <c r="M172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N167"/>
  <c r="M167"/>
  <c r="N166"/>
  <c r="M166"/>
  <c r="N165"/>
  <c r="M165"/>
  <c r="N164"/>
  <c r="N170" s="1"/>
  <c r="M164"/>
  <c r="P163"/>
  <c r="O163"/>
  <c r="L163"/>
  <c r="E163"/>
  <c r="D163"/>
  <c r="K162"/>
  <c r="J162"/>
  <c r="I162"/>
  <c r="H162"/>
  <c r="G162"/>
  <c r="F162"/>
  <c r="E162"/>
  <c r="D162"/>
  <c r="M161"/>
  <c r="N161" s="1"/>
  <c r="M160"/>
  <c r="N160" s="1"/>
  <c r="M159"/>
  <c r="N159" s="1"/>
  <c r="M158"/>
  <c r="N158" s="1"/>
  <c r="M157"/>
  <c r="N157" s="1"/>
  <c r="N156"/>
  <c r="M156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M148"/>
  <c r="M154" s="1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N141"/>
  <c r="M141"/>
  <c r="N140"/>
  <c r="N146" s="1"/>
  <c r="M140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N135"/>
  <c r="M135"/>
  <c r="N134"/>
  <c r="M134"/>
  <c r="N133"/>
  <c r="M133"/>
  <c r="N132"/>
  <c r="M132"/>
  <c r="M138" s="1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M126"/>
  <c r="N126" s="1"/>
  <c r="M125"/>
  <c r="N125" s="1"/>
  <c r="M124"/>
  <c r="N124" s="1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P115"/>
  <c r="O115"/>
  <c r="L115"/>
  <c r="E115"/>
  <c r="D115"/>
  <c r="K114"/>
  <c r="J114"/>
  <c r="I114"/>
  <c r="H114"/>
  <c r="G114"/>
  <c r="F114"/>
  <c r="E114"/>
  <c r="D114"/>
  <c r="M113"/>
  <c r="N113" s="1"/>
  <c r="M112"/>
  <c r="N112" s="1"/>
  <c r="M111"/>
  <c r="N111" s="1"/>
  <c r="M110"/>
  <c r="N110" s="1"/>
  <c r="M109"/>
  <c r="N109" s="1"/>
  <c r="M108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M102"/>
  <c r="N102" s="1"/>
  <c r="M101"/>
  <c r="N101" s="1"/>
  <c r="M100"/>
  <c r="N100" s="1"/>
  <c r="N106" s="1"/>
  <c r="P99"/>
  <c r="O99"/>
  <c r="L99"/>
  <c r="E99"/>
  <c r="D99"/>
  <c r="K98"/>
  <c r="J98"/>
  <c r="I98"/>
  <c r="H98"/>
  <c r="G98"/>
  <c r="F98"/>
  <c r="E98"/>
  <c r="D98"/>
  <c r="M97"/>
  <c r="N97" s="1"/>
  <c r="M96"/>
  <c r="N96" s="1"/>
  <c r="M95"/>
  <c r="N95" s="1"/>
  <c r="M94"/>
  <c r="N94" s="1"/>
  <c r="M93"/>
  <c r="N93" s="1"/>
  <c r="M92"/>
  <c r="N92" s="1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M85"/>
  <c r="N85" s="1"/>
  <c r="M84"/>
  <c r="M90" s="1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M74" s="1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P59"/>
  <c r="O59"/>
  <c r="L59"/>
  <c r="E59"/>
  <c r="D59"/>
  <c r="K58"/>
  <c r="J58"/>
  <c r="I58"/>
  <c r="H58"/>
  <c r="G58"/>
  <c r="F58"/>
  <c r="E58"/>
  <c r="D58"/>
  <c r="M57"/>
  <c r="N57" s="1"/>
  <c r="M56"/>
  <c r="N56" s="1"/>
  <c r="M55"/>
  <c r="N55" s="1"/>
  <c r="M54"/>
  <c r="N54" s="1"/>
  <c r="M53"/>
  <c r="N53" s="1"/>
  <c r="M52"/>
  <c r="M58" s="1"/>
  <c r="P51"/>
  <c r="O51"/>
  <c r="L51"/>
  <c r="D51"/>
  <c r="K50"/>
  <c r="J50"/>
  <c r="I50"/>
  <c r="H50"/>
  <c r="G50"/>
  <c r="F50"/>
  <c r="E50"/>
  <c r="D50"/>
  <c r="M49"/>
  <c r="N49" s="1"/>
  <c r="M48"/>
  <c r="N48" s="1"/>
  <c r="M47"/>
  <c r="N47" s="1"/>
  <c r="M46"/>
  <c r="N46" s="1"/>
  <c r="M45"/>
  <c r="N45" s="1"/>
  <c r="M44"/>
  <c r="M51" s="1"/>
  <c r="P43"/>
  <c r="O43"/>
  <c r="L43"/>
  <c r="E43"/>
  <c r="D43"/>
  <c r="K42"/>
  <c r="J42"/>
  <c r="I42"/>
  <c r="H42"/>
  <c r="G42"/>
  <c r="F42"/>
  <c r="E42"/>
  <c r="D42"/>
  <c r="M41"/>
  <c r="N41" s="1"/>
  <c r="N40"/>
  <c r="M40"/>
  <c r="N39"/>
  <c r="M39"/>
  <c r="N38"/>
  <c r="M38"/>
  <c r="N37"/>
  <c r="M37"/>
  <c r="N36"/>
  <c r="M36"/>
  <c r="M42" s="1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M34" s="1"/>
  <c r="P27"/>
  <c r="O27"/>
  <c r="L27"/>
  <c r="E27"/>
  <c r="D27"/>
  <c r="K26"/>
  <c r="J26"/>
  <c r="I26"/>
  <c r="H26"/>
  <c r="G26"/>
  <c r="F27" s="1"/>
  <c r="F26"/>
  <c r="E26"/>
  <c r="D26"/>
  <c r="N25"/>
  <c r="M25"/>
  <c r="N24"/>
  <c r="M24"/>
  <c r="N23"/>
  <c r="M23"/>
  <c r="N22"/>
  <c r="M22"/>
  <c r="N21"/>
  <c r="M21"/>
  <c r="N20"/>
  <c r="M20"/>
  <c r="M26" s="1"/>
  <c r="P19"/>
  <c r="O19"/>
  <c r="L19"/>
  <c r="E19"/>
  <c r="D19"/>
  <c r="K18"/>
  <c r="J18"/>
  <c r="I18"/>
  <c r="H18"/>
  <c r="G18"/>
  <c r="F18"/>
  <c r="E18"/>
  <c r="D18"/>
  <c r="M17"/>
  <c r="N17" s="1"/>
  <c r="M16"/>
  <c r="N16" s="1"/>
  <c r="M15"/>
  <c r="N15" s="1"/>
  <c r="M14"/>
  <c r="N14" s="1"/>
  <c r="M13"/>
  <c r="N13" s="1"/>
  <c r="M12"/>
  <c r="N12" s="1"/>
  <c r="N18" s="1"/>
  <c r="P11"/>
  <c r="O11"/>
  <c r="O25" i="1" s="1"/>
  <c r="L11" i="26"/>
  <c r="E11"/>
  <c r="D11"/>
  <c r="K10"/>
  <c r="J10"/>
  <c r="I10"/>
  <c r="H10"/>
  <c r="G10"/>
  <c r="F10"/>
  <c r="E10"/>
  <c r="D10"/>
  <c r="M9"/>
  <c r="N9" s="1"/>
  <c r="M8"/>
  <c r="N8" s="1"/>
  <c r="M7"/>
  <c r="M6"/>
  <c r="N6" s="1"/>
  <c r="M5"/>
  <c r="N5" s="1"/>
  <c r="M4"/>
  <c r="B4"/>
  <c r="P251" i="25"/>
  <c r="O251"/>
  <c r="L251"/>
  <c r="E251"/>
  <c r="D251"/>
  <c r="K250"/>
  <c r="J250"/>
  <c r="I250"/>
  <c r="H250"/>
  <c r="G250"/>
  <c r="F250"/>
  <c r="E250"/>
  <c r="D250"/>
  <c r="M249"/>
  <c r="N249" s="1"/>
  <c r="M248"/>
  <c r="N248" s="1"/>
  <c r="M247"/>
  <c r="N247" s="1"/>
  <c r="M246"/>
  <c r="N246" s="1"/>
  <c r="M245"/>
  <c r="N245" s="1"/>
  <c r="M244"/>
  <c r="P243"/>
  <c r="O243"/>
  <c r="L243"/>
  <c r="E243"/>
  <c r="D243"/>
  <c r="K242"/>
  <c r="J242"/>
  <c r="I242"/>
  <c r="H242"/>
  <c r="G242"/>
  <c r="F242"/>
  <c r="F243" s="1"/>
  <c r="E242"/>
  <c r="D242"/>
  <c r="M241"/>
  <c r="N241" s="1"/>
  <c r="M240"/>
  <c r="N240" s="1"/>
  <c r="M239"/>
  <c r="N239" s="1"/>
  <c r="M238"/>
  <c r="N238" s="1"/>
  <c r="M237"/>
  <c r="N237" s="1"/>
  <c r="M236"/>
  <c r="M242" s="1"/>
  <c r="P235"/>
  <c r="O235"/>
  <c r="L235"/>
  <c r="E235"/>
  <c r="D235"/>
  <c r="K234"/>
  <c r="J234"/>
  <c r="I234"/>
  <c r="H234"/>
  <c r="G234"/>
  <c r="F235" s="1"/>
  <c r="F234"/>
  <c r="E234"/>
  <c r="D234"/>
  <c r="N233"/>
  <c r="M233"/>
  <c r="N232"/>
  <c r="M232"/>
  <c r="N231"/>
  <c r="M231"/>
  <c r="N230"/>
  <c r="M230"/>
  <c r="N229"/>
  <c r="M229"/>
  <c r="N228"/>
  <c r="M228"/>
  <c r="M234" s="1"/>
  <c r="P227"/>
  <c r="O227"/>
  <c r="L227"/>
  <c r="E227"/>
  <c r="D227"/>
  <c r="K226"/>
  <c r="J226"/>
  <c r="I226"/>
  <c r="H226"/>
  <c r="G226"/>
  <c r="F226"/>
  <c r="E226"/>
  <c r="D226"/>
  <c r="M225"/>
  <c r="N225" s="1"/>
  <c r="M224"/>
  <c r="N224" s="1"/>
  <c r="M223"/>
  <c r="N223" s="1"/>
  <c r="M222"/>
  <c r="N222" s="1"/>
  <c r="M221"/>
  <c r="N221" s="1"/>
  <c r="M220"/>
  <c r="M226" s="1"/>
  <c r="P219"/>
  <c r="O219"/>
  <c r="L219"/>
  <c r="E219"/>
  <c r="D219"/>
  <c r="K218"/>
  <c r="J218"/>
  <c r="I218"/>
  <c r="H218"/>
  <c r="G218"/>
  <c r="F218"/>
  <c r="E218"/>
  <c r="D218"/>
  <c r="M217"/>
  <c r="N217" s="1"/>
  <c r="M216"/>
  <c r="N216" s="1"/>
  <c r="M215"/>
  <c r="N215" s="1"/>
  <c r="M214"/>
  <c r="N214" s="1"/>
  <c r="M213"/>
  <c r="N213" s="1"/>
  <c r="M212"/>
  <c r="P211"/>
  <c r="O211"/>
  <c r="L211"/>
  <c r="E211"/>
  <c r="D211"/>
  <c r="K210"/>
  <c r="J210"/>
  <c r="I210"/>
  <c r="H210"/>
  <c r="G210"/>
  <c r="F210"/>
  <c r="E210"/>
  <c r="D210"/>
  <c r="M209"/>
  <c r="N209" s="1"/>
  <c r="M208"/>
  <c r="N208" s="1"/>
  <c r="M207"/>
  <c r="N207" s="1"/>
  <c r="M206"/>
  <c r="N206" s="1"/>
  <c r="M205"/>
  <c r="N205" s="1"/>
  <c r="M204"/>
  <c r="M210" s="1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P195"/>
  <c r="O195"/>
  <c r="L195"/>
  <c r="E195"/>
  <c r="D195"/>
  <c r="K194"/>
  <c r="J194"/>
  <c r="I194"/>
  <c r="H194"/>
  <c r="G194"/>
  <c r="F194"/>
  <c r="E194"/>
  <c r="D194"/>
  <c r="M193"/>
  <c r="N193" s="1"/>
  <c r="M192"/>
  <c r="N192" s="1"/>
  <c r="M191"/>
  <c r="N191" s="1"/>
  <c r="M190"/>
  <c r="N190" s="1"/>
  <c r="M189"/>
  <c r="N189" s="1"/>
  <c r="M188"/>
  <c r="M194" s="1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M186" s="1"/>
  <c r="P179"/>
  <c r="O179"/>
  <c r="L179"/>
  <c r="E179"/>
  <c r="D179"/>
  <c r="K178"/>
  <c r="J178"/>
  <c r="I178"/>
  <c r="H178"/>
  <c r="G178"/>
  <c r="F178"/>
  <c r="E178"/>
  <c r="D178"/>
  <c r="M177"/>
  <c r="N177" s="1"/>
  <c r="M176"/>
  <c r="N176" s="1"/>
  <c r="M175"/>
  <c r="N175" s="1"/>
  <c r="M174"/>
  <c r="N174" s="1"/>
  <c r="M173"/>
  <c r="N173" s="1"/>
  <c r="M172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M167"/>
  <c r="N167" s="1"/>
  <c r="M166"/>
  <c r="N166" s="1"/>
  <c r="M165"/>
  <c r="N165" s="1"/>
  <c r="M164"/>
  <c r="M170" s="1"/>
  <c r="P163"/>
  <c r="O163"/>
  <c r="L163"/>
  <c r="E163"/>
  <c r="D163"/>
  <c r="K162"/>
  <c r="J162"/>
  <c r="I162"/>
  <c r="H162"/>
  <c r="G162"/>
  <c r="F162"/>
  <c r="E162"/>
  <c r="D162"/>
  <c r="M161"/>
  <c r="N161" s="1"/>
  <c r="M160"/>
  <c r="N160" s="1"/>
  <c r="M159"/>
  <c r="N159" s="1"/>
  <c r="M158"/>
  <c r="N158" s="1"/>
  <c r="M157"/>
  <c r="N157" s="1"/>
  <c r="M156"/>
  <c r="N156" s="1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M148"/>
  <c r="M154" s="1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M141"/>
  <c r="N141" s="1"/>
  <c r="M140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M135"/>
  <c r="N135" s="1"/>
  <c r="M134"/>
  <c r="N134" s="1"/>
  <c r="M133"/>
  <c r="N133" s="1"/>
  <c r="M132"/>
  <c r="M138" s="1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M126"/>
  <c r="N126" s="1"/>
  <c r="M125"/>
  <c r="N125" s="1"/>
  <c r="M124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M122" s="1"/>
  <c r="P115"/>
  <c r="O115"/>
  <c r="L115"/>
  <c r="E115"/>
  <c r="D115"/>
  <c r="K114"/>
  <c r="J114"/>
  <c r="I114"/>
  <c r="H114"/>
  <c r="G114"/>
  <c r="F114"/>
  <c r="E114"/>
  <c r="D114"/>
  <c r="M113"/>
  <c r="N113" s="1"/>
  <c r="M112"/>
  <c r="N112" s="1"/>
  <c r="M111"/>
  <c r="N111" s="1"/>
  <c r="M110"/>
  <c r="N110" s="1"/>
  <c r="M109"/>
  <c r="N109" s="1"/>
  <c r="M108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M102"/>
  <c r="N102" s="1"/>
  <c r="M101"/>
  <c r="N101" s="1"/>
  <c r="M100"/>
  <c r="M106" s="1"/>
  <c r="P99"/>
  <c r="O99"/>
  <c r="L99"/>
  <c r="E99"/>
  <c r="D99"/>
  <c r="K98"/>
  <c r="J98"/>
  <c r="I98"/>
  <c r="H98"/>
  <c r="G98"/>
  <c r="F98"/>
  <c r="E98"/>
  <c r="D98"/>
  <c r="M97"/>
  <c r="N97" s="1"/>
  <c r="M96"/>
  <c r="N96" s="1"/>
  <c r="N95"/>
  <c r="M95"/>
  <c r="N94"/>
  <c r="M94"/>
  <c r="N93"/>
  <c r="M93"/>
  <c r="N92"/>
  <c r="N98" s="1"/>
  <c r="M92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M85"/>
  <c r="N85" s="1"/>
  <c r="M84"/>
  <c r="M90" s="1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M74" s="1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P59"/>
  <c r="O59"/>
  <c r="L59"/>
  <c r="E59"/>
  <c r="D59"/>
  <c r="K58"/>
  <c r="J58"/>
  <c r="I58"/>
  <c r="H58"/>
  <c r="G58"/>
  <c r="F58"/>
  <c r="E58"/>
  <c r="D58"/>
  <c r="M57"/>
  <c r="N57" s="1"/>
  <c r="M56"/>
  <c r="N56" s="1"/>
  <c r="M55"/>
  <c r="N55" s="1"/>
  <c r="M54"/>
  <c r="N54" s="1"/>
  <c r="M53"/>
  <c r="N53" s="1"/>
  <c r="M52"/>
  <c r="M58" s="1"/>
  <c r="P51"/>
  <c r="O51"/>
  <c r="L51"/>
  <c r="D51"/>
  <c r="K50"/>
  <c r="J50"/>
  <c r="I50"/>
  <c r="H50"/>
  <c r="G50"/>
  <c r="F50"/>
  <c r="E50"/>
  <c r="D50"/>
  <c r="M49"/>
  <c r="N49" s="1"/>
  <c r="M48"/>
  <c r="N48" s="1"/>
  <c r="M47"/>
  <c r="N47" s="1"/>
  <c r="M46"/>
  <c r="N46" s="1"/>
  <c r="M45"/>
  <c r="N45" s="1"/>
  <c r="M44"/>
  <c r="M51" s="1"/>
  <c r="P43"/>
  <c r="O43"/>
  <c r="L43"/>
  <c r="E43"/>
  <c r="D43"/>
  <c r="K42"/>
  <c r="J42"/>
  <c r="I42"/>
  <c r="H42"/>
  <c r="G42"/>
  <c r="F42"/>
  <c r="E42"/>
  <c r="D42"/>
  <c r="M41"/>
  <c r="N41" s="1"/>
  <c r="M40"/>
  <c r="N40" s="1"/>
  <c r="M39"/>
  <c r="N39" s="1"/>
  <c r="M38"/>
  <c r="N38" s="1"/>
  <c r="M37"/>
  <c r="N37" s="1"/>
  <c r="M36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M34" s="1"/>
  <c r="P27"/>
  <c r="O27"/>
  <c r="L27"/>
  <c r="E27"/>
  <c r="D27"/>
  <c r="K26"/>
  <c r="J26"/>
  <c r="I26"/>
  <c r="H26"/>
  <c r="G26"/>
  <c r="F27" s="1"/>
  <c r="F26"/>
  <c r="E26"/>
  <c r="D26"/>
  <c r="N25"/>
  <c r="M25"/>
  <c r="N24"/>
  <c r="M24"/>
  <c r="N23"/>
  <c r="M23"/>
  <c r="N22"/>
  <c r="M22"/>
  <c r="N21"/>
  <c r="M21"/>
  <c r="N20"/>
  <c r="M20"/>
  <c r="M26" s="1"/>
  <c r="P19"/>
  <c r="O19"/>
  <c r="L19"/>
  <c r="E19"/>
  <c r="D19"/>
  <c r="K18"/>
  <c r="J18"/>
  <c r="I18"/>
  <c r="H18"/>
  <c r="G18"/>
  <c r="F18"/>
  <c r="E18"/>
  <c r="D18"/>
  <c r="M17"/>
  <c r="N17" s="1"/>
  <c r="M16"/>
  <c r="N16" s="1"/>
  <c r="M15"/>
  <c r="N15" s="1"/>
  <c r="M14"/>
  <c r="N14" s="1"/>
  <c r="M13"/>
  <c r="N13" s="1"/>
  <c r="M12"/>
  <c r="M18" s="1"/>
  <c r="P11"/>
  <c r="O11"/>
  <c r="N25" i="1" s="1"/>
  <c r="L11" i="25"/>
  <c r="E11"/>
  <c r="D11"/>
  <c r="K10"/>
  <c r="J10"/>
  <c r="I10"/>
  <c r="H10"/>
  <c r="G10"/>
  <c r="F10"/>
  <c r="E10"/>
  <c r="D10"/>
  <c r="M9"/>
  <c r="N9" s="1"/>
  <c r="M8"/>
  <c r="N8" s="1"/>
  <c r="M7"/>
  <c r="M6"/>
  <c r="N6" s="1"/>
  <c r="M5"/>
  <c r="N5" s="1"/>
  <c r="M4"/>
  <c r="B4"/>
  <c r="P251" i="24"/>
  <c r="O251"/>
  <c r="L251"/>
  <c r="E251"/>
  <c r="D251"/>
  <c r="K250"/>
  <c r="J250"/>
  <c r="I250"/>
  <c r="H250"/>
  <c r="G250"/>
  <c r="F250"/>
  <c r="E250"/>
  <c r="D250"/>
  <c r="M249"/>
  <c r="N249" s="1"/>
  <c r="M248"/>
  <c r="N248" s="1"/>
  <c r="M247"/>
  <c r="N247" s="1"/>
  <c r="M246"/>
  <c r="N246" s="1"/>
  <c r="M245"/>
  <c r="N245" s="1"/>
  <c r="M244"/>
  <c r="P243"/>
  <c r="O243"/>
  <c r="M243"/>
  <c r="L243"/>
  <c r="E243"/>
  <c r="D243"/>
  <c r="K242"/>
  <c r="J242"/>
  <c r="I242"/>
  <c r="H242"/>
  <c r="G242"/>
  <c r="F242"/>
  <c r="E242"/>
  <c r="D242"/>
  <c r="N241"/>
  <c r="M241"/>
  <c r="N240"/>
  <c r="M240"/>
  <c r="N239"/>
  <c r="M239"/>
  <c r="N238"/>
  <c r="M238"/>
  <c r="N237"/>
  <c r="M237"/>
  <c r="N236"/>
  <c r="M236"/>
  <c r="M242" s="1"/>
  <c r="P235"/>
  <c r="O235"/>
  <c r="M235"/>
  <c r="L235"/>
  <c r="E235"/>
  <c r="D235"/>
  <c r="K234"/>
  <c r="J234"/>
  <c r="I234"/>
  <c r="H234"/>
  <c r="G234"/>
  <c r="F235" s="1"/>
  <c r="F234"/>
  <c r="E234"/>
  <c r="D234"/>
  <c r="N233"/>
  <c r="M233"/>
  <c r="N232"/>
  <c r="M232"/>
  <c r="N231"/>
  <c r="M231"/>
  <c r="N230"/>
  <c r="M230"/>
  <c r="N229"/>
  <c r="M229"/>
  <c r="N228"/>
  <c r="M228"/>
  <c r="M234" s="1"/>
  <c r="P227"/>
  <c r="O227"/>
  <c r="M227"/>
  <c r="L227"/>
  <c r="E227"/>
  <c r="D227"/>
  <c r="K226"/>
  <c r="J226"/>
  <c r="I226"/>
  <c r="H226"/>
  <c r="G226"/>
  <c r="F227" s="1"/>
  <c r="F226"/>
  <c r="E226"/>
  <c r="D226"/>
  <c r="N225"/>
  <c r="M225"/>
  <c r="N224"/>
  <c r="M224"/>
  <c r="N223"/>
  <c r="M223"/>
  <c r="N222"/>
  <c r="M222"/>
  <c r="N221"/>
  <c r="M221"/>
  <c r="N220"/>
  <c r="M220"/>
  <c r="M226" s="1"/>
  <c r="P219"/>
  <c r="O219"/>
  <c r="L219"/>
  <c r="E219"/>
  <c r="D219"/>
  <c r="K218"/>
  <c r="J218"/>
  <c r="I218"/>
  <c r="H218"/>
  <c r="G218"/>
  <c r="F218"/>
  <c r="E218"/>
  <c r="D218"/>
  <c r="M217"/>
  <c r="N217" s="1"/>
  <c r="M216"/>
  <c r="N216" s="1"/>
  <c r="M215"/>
  <c r="N215" s="1"/>
  <c r="M214"/>
  <c r="N214" s="1"/>
  <c r="M213"/>
  <c r="N213" s="1"/>
  <c r="M212"/>
  <c r="M218" s="1"/>
  <c r="P211"/>
  <c r="O211"/>
  <c r="L211"/>
  <c r="E211"/>
  <c r="D211"/>
  <c r="K210"/>
  <c r="J210"/>
  <c r="I210"/>
  <c r="H210"/>
  <c r="G210"/>
  <c r="F211" s="1"/>
  <c r="F210"/>
  <c r="E210"/>
  <c r="D210"/>
  <c r="N209"/>
  <c r="M209"/>
  <c r="N208"/>
  <c r="M208"/>
  <c r="N207"/>
  <c r="M207"/>
  <c r="N206"/>
  <c r="M206"/>
  <c r="N205"/>
  <c r="M205"/>
  <c r="N204"/>
  <c r="M204"/>
  <c r="M210" s="1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M202" s="1"/>
  <c r="P195"/>
  <c r="O195"/>
  <c r="L195"/>
  <c r="E195"/>
  <c r="D195"/>
  <c r="K194"/>
  <c r="J194"/>
  <c r="I194"/>
  <c r="H194"/>
  <c r="G194"/>
  <c r="F195" s="1"/>
  <c r="F194"/>
  <c r="E194"/>
  <c r="D194"/>
  <c r="N193"/>
  <c r="M193"/>
  <c r="N192"/>
  <c r="M192"/>
  <c r="N191"/>
  <c r="M191"/>
  <c r="N190"/>
  <c r="M190"/>
  <c r="N189"/>
  <c r="M189"/>
  <c r="N188"/>
  <c r="M188"/>
  <c r="M194" s="1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M186" s="1"/>
  <c r="P179"/>
  <c r="O179"/>
  <c r="L179"/>
  <c r="E179"/>
  <c r="D179"/>
  <c r="K178"/>
  <c r="J178"/>
  <c r="I178"/>
  <c r="H178"/>
  <c r="G178"/>
  <c r="F179" s="1"/>
  <c r="F178"/>
  <c r="E178"/>
  <c r="D178"/>
  <c r="N177"/>
  <c r="M177"/>
  <c r="N176"/>
  <c r="M176"/>
  <c r="N175"/>
  <c r="M175"/>
  <c r="N174"/>
  <c r="M174"/>
  <c r="N173"/>
  <c r="M173"/>
  <c r="N172"/>
  <c r="M172"/>
  <c r="M178" s="1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M167"/>
  <c r="N167" s="1"/>
  <c r="M166"/>
  <c r="N166" s="1"/>
  <c r="M165"/>
  <c r="N165" s="1"/>
  <c r="M164"/>
  <c r="M170" s="1"/>
  <c r="P163"/>
  <c r="O163"/>
  <c r="L163"/>
  <c r="E163"/>
  <c r="D163"/>
  <c r="K162"/>
  <c r="J162"/>
  <c r="I162"/>
  <c r="H162"/>
  <c r="G162"/>
  <c r="F162"/>
  <c r="E162"/>
  <c r="D162"/>
  <c r="M161"/>
  <c r="N161" s="1"/>
  <c r="M160"/>
  <c r="N160" s="1"/>
  <c r="M159"/>
  <c r="N159" s="1"/>
  <c r="M158"/>
  <c r="N158" s="1"/>
  <c r="M157"/>
  <c r="N157" s="1"/>
  <c r="M156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N148"/>
  <c r="N154" s="1"/>
  <c r="M148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M141"/>
  <c r="N141" s="1"/>
  <c r="M140"/>
  <c r="M146" s="1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M135"/>
  <c r="N135" s="1"/>
  <c r="M134"/>
  <c r="N134" s="1"/>
  <c r="M133"/>
  <c r="N133" s="1"/>
  <c r="M132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M126"/>
  <c r="N126" s="1"/>
  <c r="M125"/>
  <c r="N125" s="1"/>
  <c r="M124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M122" s="1"/>
  <c r="P115"/>
  <c r="O115"/>
  <c r="L115"/>
  <c r="E115"/>
  <c r="D115"/>
  <c r="K114"/>
  <c r="J114"/>
  <c r="I114"/>
  <c r="H114"/>
  <c r="G114"/>
  <c r="F114"/>
  <c r="E114"/>
  <c r="D114"/>
  <c r="M113"/>
  <c r="N113" s="1"/>
  <c r="M112"/>
  <c r="N112" s="1"/>
  <c r="M111"/>
  <c r="N111" s="1"/>
  <c r="M110"/>
  <c r="N110" s="1"/>
  <c r="M109"/>
  <c r="N109" s="1"/>
  <c r="M108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M102"/>
  <c r="N102" s="1"/>
  <c r="M101"/>
  <c r="N101" s="1"/>
  <c r="M100"/>
  <c r="M106" s="1"/>
  <c r="P99"/>
  <c r="O99"/>
  <c r="L99"/>
  <c r="E99"/>
  <c r="D99"/>
  <c r="K98"/>
  <c r="J98"/>
  <c r="I98"/>
  <c r="H98"/>
  <c r="G98"/>
  <c r="F98"/>
  <c r="E98"/>
  <c r="D98"/>
  <c r="M97"/>
  <c r="N97" s="1"/>
  <c r="M96"/>
  <c r="N96" s="1"/>
  <c r="M95"/>
  <c r="N95" s="1"/>
  <c r="M94"/>
  <c r="N94" s="1"/>
  <c r="M93"/>
  <c r="N93" s="1"/>
  <c r="M92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M85"/>
  <c r="N85" s="1"/>
  <c r="M84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P59"/>
  <c r="O59"/>
  <c r="L59"/>
  <c r="E59"/>
  <c r="D59"/>
  <c r="K58"/>
  <c r="J58"/>
  <c r="I58"/>
  <c r="H58"/>
  <c r="G58"/>
  <c r="F58"/>
  <c r="E58"/>
  <c r="D58"/>
  <c r="M57"/>
  <c r="N57" s="1"/>
  <c r="M56"/>
  <c r="N56" s="1"/>
  <c r="M55"/>
  <c r="N55" s="1"/>
  <c r="M54"/>
  <c r="N54" s="1"/>
  <c r="M53"/>
  <c r="N53" s="1"/>
  <c r="M52"/>
  <c r="P51"/>
  <c r="O51"/>
  <c r="L51"/>
  <c r="D51"/>
  <c r="K50"/>
  <c r="J50"/>
  <c r="I50"/>
  <c r="H50"/>
  <c r="G50"/>
  <c r="F50"/>
  <c r="E50"/>
  <c r="D50"/>
  <c r="M49"/>
  <c r="N49" s="1"/>
  <c r="M48"/>
  <c r="N48" s="1"/>
  <c r="M47"/>
  <c r="N47" s="1"/>
  <c r="M46"/>
  <c r="N46" s="1"/>
  <c r="M45"/>
  <c r="N45" s="1"/>
  <c r="M44"/>
  <c r="P43"/>
  <c r="O43"/>
  <c r="L43"/>
  <c r="E43"/>
  <c r="D43"/>
  <c r="K42"/>
  <c r="J42"/>
  <c r="I42"/>
  <c r="H42"/>
  <c r="G42"/>
  <c r="F42"/>
  <c r="E42"/>
  <c r="D42"/>
  <c r="M41"/>
  <c r="N41" s="1"/>
  <c r="M40"/>
  <c r="N40" s="1"/>
  <c r="M39"/>
  <c r="N39" s="1"/>
  <c r="M38"/>
  <c r="N38" s="1"/>
  <c r="M37"/>
  <c r="N37" s="1"/>
  <c r="M36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P27"/>
  <c r="O27"/>
  <c r="L27"/>
  <c r="E27"/>
  <c r="D27"/>
  <c r="K26"/>
  <c r="J26"/>
  <c r="I26"/>
  <c r="H26"/>
  <c r="G26"/>
  <c r="F26"/>
  <c r="E26"/>
  <c r="D26"/>
  <c r="M25"/>
  <c r="N25" s="1"/>
  <c r="M24"/>
  <c r="N24" s="1"/>
  <c r="M23"/>
  <c r="N23" s="1"/>
  <c r="M22"/>
  <c r="N22" s="1"/>
  <c r="M21"/>
  <c r="N21" s="1"/>
  <c r="M20"/>
  <c r="M26" s="1"/>
  <c r="P19"/>
  <c r="O19"/>
  <c r="L19"/>
  <c r="E19"/>
  <c r="D19"/>
  <c r="K18"/>
  <c r="J18"/>
  <c r="I18"/>
  <c r="H18"/>
  <c r="G18"/>
  <c r="F18"/>
  <c r="E18"/>
  <c r="D18"/>
  <c r="M17"/>
  <c r="N17" s="1"/>
  <c r="M16"/>
  <c r="N16" s="1"/>
  <c r="M15"/>
  <c r="N15" s="1"/>
  <c r="M14"/>
  <c r="N14" s="1"/>
  <c r="M13"/>
  <c r="N13" s="1"/>
  <c r="M12"/>
  <c r="P11"/>
  <c r="O11"/>
  <c r="M25" i="1" s="1"/>
  <c r="L11" i="24"/>
  <c r="E11"/>
  <c r="D11"/>
  <c r="K10"/>
  <c r="J10"/>
  <c r="I10"/>
  <c r="H10"/>
  <c r="G10"/>
  <c r="F10"/>
  <c r="E10"/>
  <c r="D10"/>
  <c r="M9"/>
  <c r="N9" s="1"/>
  <c r="M8"/>
  <c r="N8" s="1"/>
  <c r="M7"/>
  <c r="M6"/>
  <c r="N6" s="1"/>
  <c r="M5"/>
  <c r="N5" s="1"/>
  <c r="M4"/>
  <c r="B4"/>
  <c r="P251" i="23"/>
  <c r="O251"/>
  <c r="L251"/>
  <c r="E251"/>
  <c r="D251"/>
  <c r="K250"/>
  <c r="J250"/>
  <c r="I250"/>
  <c r="H250"/>
  <c r="G250"/>
  <c r="F250"/>
  <c r="E250"/>
  <c r="D250"/>
  <c r="M249"/>
  <c r="N249" s="1"/>
  <c r="M248"/>
  <c r="N248" s="1"/>
  <c r="M247"/>
  <c r="N247" s="1"/>
  <c r="M246"/>
  <c r="N246" s="1"/>
  <c r="M245"/>
  <c r="N245" s="1"/>
  <c r="M244"/>
  <c r="P243"/>
  <c r="O243"/>
  <c r="L243"/>
  <c r="E243"/>
  <c r="D243"/>
  <c r="K242"/>
  <c r="J242"/>
  <c r="I242"/>
  <c r="H242"/>
  <c r="G242"/>
  <c r="F242"/>
  <c r="E242"/>
  <c r="D242"/>
  <c r="M241"/>
  <c r="N241" s="1"/>
  <c r="M240"/>
  <c r="N240" s="1"/>
  <c r="M239"/>
  <c r="N239" s="1"/>
  <c r="M238"/>
  <c r="N238" s="1"/>
  <c r="M237"/>
  <c r="N237" s="1"/>
  <c r="M236"/>
  <c r="P235"/>
  <c r="O235"/>
  <c r="L235"/>
  <c r="E235"/>
  <c r="D235"/>
  <c r="K234"/>
  <c r="J234"/>
  <c r="I234"/>
  <c r="H234"/>
  <c r="G234"/>
  <c r="F234"/>
  <c r="E234"/>
  <c r="D234"/>
  <c r="M233"/>
  <c r="N233" s="1"/>
  <c r="M232"/>
  <c r="N232" s="1"/>
  <c r="M231"/>
  <c r="N231" s="1"/>
  <c r="M230"/>
  <c r="N230" s="1"/>
  <c r="M229"/>
  <c r="N229" s="1"/>
  <c r="M228"/>
  <c r="P227"/>
  <c r="O227"/>
  <c r="L227"/>
  <c r="E227"/>
  <c r="D227"/>
  <c r="K226"/>
  <c r="J226"/>
  <c r="I226"/>
  <c r="H226"/>
  <c r="G226"/>
  <c r="F226"/>
  <c r="E226"/>
  <c r="D226"/>
  <c r="M225"/>
  <c r="N225" s="1"/>
  <c r="M224"/>
  <c r="N224" s="1"/>
  <c r="M223"/>
  <c r="N223" s="1"/>
  <c r="M222"/>
  <c r="N222" s="1"/>
  <c r="M221"/>
  <c r="N221" s="1"/>
  <c r="M220"/>
  <c r="P219"/>
  <c r="O219"/>
  <c r="L219"/>
  <c r="E219"/>
  <c r="D219"/>
  <c r="K218"/>
  <c r="J218"/>
  <c r="I218"/>
  <c r="H218"/>
  <c r="G218"/>
  <c r="F218"/>
  <c r="E218"/>
  <c r="D218"/>
  <c r="M217"/>
  <c r="N217" s="1"/>
  <c r="M216"/>
  <c r="N216" s="1"/>
  <c r="M215"/>
  <c r="N215" s="1"/>
  <c r="M214"/>
  <c r="N214" s="1"/>
  <c r="M213"/>
  <c r="N213" s="1"/>
  <c r="M212"/>
  <c r="M218" s="1"/>
  <c r="P211"/>
  <c r="O211"/>
  <c r="L211"/>
  <c r="E211"/>
  <c r="D211"/>
  <c r="K210"/>
  <c r="J210"/>
  <c r="I210"/>
  <c r="H210"/>
  <c r="G210"/>
  <c r="F210"/>
  <c r="E210"/>
  <c r="D210"/>
  <c r="M209"/>
  <c r="N209" s="1"/>
  <c r="M208"/>
  <c r="N208" s="1"/>
  <c r="M207"/>
  <c r="N207" s="1"/>
  <c r="M206"/>
  <c r="N206" s="1"/>
  <c r="M205"/>
  <c r="N205" s="1"/>
  <c r="M204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M202" s="1"/>
  <c r="P195"/>
  <c r="O195"/>
  <c r="L195"/>
  <c r="E195"/>
  <c r="D195"/>
  <c r="K194"/>
  <c r="J194"/>
  <c r="I194"/>
  <c r="H194"/>
  <c r="G194"/>
  <c r="F194"/>
  <c r="E194"/>
  <c r="D194"/>
  <c r="M193"/>
  <c r="N193" s="1"/>
  <c r="M192"/>
  <c r="N192" s="1"/>
  <c r="M191"/>
  <c r="N191" s="1"/>
  <c r="M190"/>
  <c r="N190" s="1"/>
  <c r="M189"/>
  <c r="N189" s="1"/>
  <c r="M188"/>
  <c r="M194" s="1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P179"/>
  <c r="O179"/>
  <c r="L179"/>
  <c r="E179"/>
  <c r="D179"/>
  <c r="K178"/>
  <c r="J178"/>
  <c r="I178"/>
  <c r="H178"/>
  <c r="G178"/>
  <c r="F178"/>
  <c r="E178"/>
  <c r="D178"/>
  <c r="M177"/>
  <c r="N177" s="1"/>
  <c r="M176"/>
  <c r="N176" s="1"/>
  <c r="M175"/>
  <c r="N175" s="1"/>
  <c r="M174"/>
  <c r="N174" s="1"/>
  <c r="M173"/>
  <c r="N173" s="1"/>
  <c r="M172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M167"/>
  <c r="N167" s="1"/>
  <c r="M166"/>
  <c r="N166" s="1"/>
  <c r="M165"/>
  <c r="N165" s="1"/>
  <c r="M164"/>
  <c r="P163"/>
  <c r="O163"/>
  <c r="L163"/>
  <c r="E163"/>
  <c r="D163"/>
  <c r="K162"/>
  <c r="J162"/>
  <c r="I162"/>
  <c r="H162"/>
  <c r="G162"/>
  <c r="F162"/>
  <c r="E162"/>
  <c r="D162"/>
  <c r="M161"/>
  <c r="N161" s="1"/>
  <c r="M160"/>
  <c r="N160" s="1"/>
  <c r="M159"/>
  <c r="N159" s="1"/>
  <c r="M158"/>
  <c r="N158" s="1"/>
  <c r="M157"/>
  <c r="N157" s="1"/>
  <c r="M156"/>
  <c r="M162" s="1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M148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M141"/>
  <c r="N141" s="1"/>
  <c r="M140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M135"/>
  <c r="N135" s="1"/>
  <c r="M134"/>
  <c r="N134" s="1"/>
  <c r="M133"/>
  <c r="N133" s="1"/>
  <c r="M132"/>
  <c r="M138" s="1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M126"/>
  <c r="N126" s="1"/>
  <c r="M125"/>
  <c r="N125" s="1"/>
  <c r="M124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P115"/>
  <c r="O115"/>
  <c r="L115"/>
  <c r="E115"/>
  <c r="D115"/>
  <c r="K114"/>
  <c r="J114"/>
  <c r="I114"/>
  <c r="H114"/>
  <c r="G114"/>
  <c r="F114"/>
  <c r="E114"/>
  <c r="D114"/>
  <c r="M113"/>
  <c r="N113" s="1"/>
  <c r="M112"/>
  <c r="N112" s="1"/>
  <c r="M111"/>
  <c r="N111" s="1"/>
  <c r="M110"/>
  <c r="N110" s="1"/>
  <c r="M109"/>
  <c r="N109" s="1"/>
  <c r="M108"/>
  <c r="M114" s="1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M102"/>
  <c r="N102" s="1"/>
  <c r="M101"/>
  <c r="N101" s="1"/>
  <c r="M100"/>
  <c r="P99"/>
  <c r="O99"/>
  <c r="L99"/>
  <c r="E99"/>
  <c r="D99"/>
  <c r="K98"/>
  <c r="J98"/>
  <c r="I98"/>
  <c r="H98"/>
  <c r="G98"/>
  <c r="F98"/>
  <c r="E98"/>
  <c r="D98"/>
  <c r="M97"/>
  <c r="N97" s="1"/>
  <c r="M96"/>
  <c r="N96" s="1"/>
  <c r="M95"/>
  <c r="N95" s="1"/>
  <c r="M94"/>
  <c r="N94" s="1"/>
  <c r="M93"/>
  <c r="N93" s="1"/>
  <c r="M92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M85"/>
  <c r="N85" s="1"/>
  <c r="M84"/>
  <c r="M90" s="1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M74" s="1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P59"/>
  <c r="O59"/>
  <c r="L59"/>
  <c r="E59"/>
  <c r="D59"/>
  <c r="K58"/>
  <c r="J58"/>
  <c r="I58"/>
  <c r="H58"/>
  <c r="G58"/>
  <c r="F58"/>
  <c r="E58"/>
  <c r="D58"/>
  <c r="M57"/>
  <c r="N57" s="1"/>
  <c r="M56"/>
  <c r="N56" s="1"/>
  <c r="M55"/>
  <c r="N55" s="1"/>
  <c r="M54"/>
  <c r="N54" s="1"/>
  <c r="M53"/>
  <c r="N53" s="1"/>
  <c r="M52"/>
  <c r="P51"/>
  <c r="O51"/>
  <c r="L51"/>
  <c r="D51"/>
  <c r="K50"/>
  <c r="J50"/>
  <c r="I50"/>
  <c r="H50"/>
  <c r="G50"/>
  <c r="F50"/>
  <c r="E50"/>
  <c r="D50"/>
  <c r="M49"/>
  <c r="N49" s="1"/>
  <c r="M48"/>
  <c r="N48" s="1"/>
  <c r="M47"/>
  <c r="N47" s="1"/>
  <c r="M46"/>
  <c r="N46" s="1"/>
  <c r="M45"/>
  <c r="N45" s="1"/>
  <c r="M44"/>
  <c r="P43"/>
  <c r="O43"/>
  <c r="L43"/>
  <c r="E43"/>
  <c r="D43"/>
  <c r="K42"/>
  <c r="J42"/>
  <c r="I42"/>
  <c r="H42"/>
  <c r="G42"/>
  <c r="F42"/>
  <c r="E42"/>
  <c r="D42"/>
  <c r="N41"/>
  <c r="M41"/>
  <c r="N40"/>
  <c r="M40"/>
  <c r="N39"/>
  <c r="M39"/>
  <c r="N38"/>
  <c r="M38"/>
  <c r="N37"/>
  <c r="M37"/>
  <c r="N36"/>
  <c r="M36"/>
  <c r="M42" s="1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M34" s="1"/>
  <c r="P27"/>
  <c r="O27"/>
  <c r="L27"/>
  <c r="E27"/>
  <c r="D27"/>
  <c r="K26"/>
  <c r="J26"/>
  <c r="I26"/>
  <c r="H26"/>
  <c r="G26"/>
  <c r="F27" s="1"/>
  <c r="F26"/>
  <c r="E26"/>
  <c r="D26"/>
  <c r="N25"/>
  <c r="M25"/>
  <c r="N24"/>
  <c r="M24"/>
  <c r="N23"/>
  <c r="M23"/>
  <c r="N22"/>
  <c r="M22"/>
  <c r="N21"/>
  <c r="M21"/>
  <c r="N20"/>
  <c r="M20"/>
  <c r="M26" s="1"/>
  <c r="P19"/>
  <c r="O19"/>
  <c r="L19"/>
  <c r="E19"/>
  <c r="D19"/>
  <c r="K18"/>
  <c r="J18"/>
  <c r="I18"/>
  <c r="H18"/>
  <c r="G18"/>
  <c r="F18"/>
  <c r="E18"/>
  <c r="D18"/>
  <c r="M17"/>
  <c r="N17" s="1"/>
  <c r="M16"/>
  <c r="N16" s="1"/>
  <c r="M15"/>
  <c r="N15" s="1"/>
  <c r="M14"/>
  <c r="N14" s="1"/>
  <c r="M13"/>
  <c r="N13" s="1"/>
  <c r="M12"/>
  <c r="M18" s="1"/>
  <c r="P11"/>
  <c r="O11"/>
  <c r="L25" i="1" s="1"/>
  <c r="L11" i="23"/>
  <c r="E11"/>
  <c r="D11"/>
  <c r="K10"/>
  <c r="J10"/>
  <c r="I10"/>
  <c r="H10"/>
  <c r="G10"/>
  <c r="F10"/>
  <c r="E10"/>
  <c r="D10"/>
  <c r="M9"/>
  <c r="N9" s="1"/>
  <c r="M8"/>
  <c r="N8" s="1"/>
  <c r="M7"/>
  <c r="M6"/>
  <c r="N6" s="1"/>
  <c r="M5"/>
  <c r="N5" s="1"/>
  <c r="M4"/>
  <c r="B4"/>
  <c r="P251" i="22"/>
  <c r="O251"/>
  <c r="L251"/>
  <c r="E251"/>
  <c r="D251"/>
  <c r="K250"/>
  <c r="J250"/>
  <c r="I250"/>
  <c r="H250"/>
  <c r="G250"/>
  <c r="F250"/>
  <c r="E250"/>
  <c r="D250"/>
  <c r="M249"/>
  <c r="N249" s="1"/>
  <c r="N248"/>
  <c r="N247"/>
  <c r="N246"/>
  <c r="N245"/>
  <c r="M244"/>
  <c r="P243"/>
  <c r="O243"/>
  <c r="L243"/>
  <c r="E243"/>
  <c r="D243"/>
  <c r="K242"/>
  <c r="J242"/>
  <c r="I242"/>
  <c r="H242"/>
  <c r="G242"/>
  <c r="F242"/>
  <c r="F243" s="1"/>
  <c r="E242"/>
  <c r="D242"/>
  <c r="M241"/>
  <c r="N241" s="1"/>
  <c r="M240"/>
  <c r="N240" s="1"/>
  <c r="M239"/>
  <c r="N239" s="1"/>
  <c r="M238"/>
  <c r="N238" s="1"/>
  <c r="M237"/>
  <c r="N237" s="1"/>
  <c r="M236"/>
  <c r="M242" s="1"/>
  <c r="P235"/>
  <c r="O235"/>
  <c r="L235"/>
  <c r="E235"/>
  <c r="D235"/>
  <c r="K234"/>
  <c r="J234"/>
  <c r="I234"/>
  <c r="H234"/>
  <c r="G234"/>
  <c r="F234"/>
  <c r="E234"/>
  <c r="D234"/>
  <c r="M233"/>
  <c r="N233" s="1"/>
  <c r="M232"/>
  <c r="N232" s="1"/>
  <c r="M231"/>
  <c r="N231" s="1"/>
  <c r="M230"/>
  <c r="N230" s="1"/>
  <c r="M229"/>
  <c r="N229" s="1"/>
  <c r="M228"/>
  <c r="P227"/>
  <c r="O227"/>
  <c r="L227"/>
  <c r="E227"/>
  <c r="D227"/>
  <c r="K226"/>
  <c r="J226"/>
  <c r="I226"/>
  <c r="H226"/>
  <c r="G226"/>
  <c r="F226"/>
  <c r="E226"/>
  <c r="D226"/>
  <c r="M225"/>
  <c r="N225" s="1"/>
  <c r="M224"/>
  <c r="N224" s="1"/>
  <c r="M223"/>
  <c r="N223" s="1"/>
  <c r="M222"/>
  <c r="N222" s="1"/>
  <c r="M221"/>
  <c r="N221" s="1"/>
  <c r="M220"/>
  <c r="M226" s="1"/>
  <c r="P219"/>
  <c r="O219"/>
  <c r="L219"/>
  <c r="E219"/>
  <c r="D219"/>
  <c r="K218"/>
  <c r="J218"/>
  <c r="I218"/>
  <c r="H218"/>
  <c r="G218"/>
  <c r="F218"/>
  <c r="E218"/>
  <c r="D218"/>
  <c r="N217"/>
  <c r="M217"/>
  <c r="N216"/>
  <c r="M216"/>
  <c r="N215"/>
  <c r="M215"/>
  <c r="N214"/>
  <c r="M214"/>
  <c r="N213"/>
  <c r="M212"/>
  <c r="N212" s="1"/>
  <c r="P211"/>
  <c r="O211"/>
  <c r="L211"/>
  <c r="E211"/>
  <c r="D211"/>
  <c r="K210"/>
  <c r="J210"/>
  <c r="I210"/>
  <c r="H210"/>
  <c r="G210"/>
  <c r="F210"/>
  <c r="E210"/>
  <c r="D210"/>
  <c r="M209"/>
  <c r="N209" s="1"/>
  <c r="M208"/>
  <c r="N208" s="1"/>
  <c r="M207"/>
  <c r="N207" s="1"/>
  <c r="M206"/>
  <c r="N206" s="1"/>
  <c r="M205"/>
  <c r="N205" s="1"/>
  <c r="M204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M202" s="1"/>
  <c r="P195"/>
  <c r="O195"/>
  <c r="L195"/>
  <c r="E195"/>
  <c r="D195"/>
  <c r="K194"/>
  <c r="J194"/>
  <c r="I194"/>
  <c r="H194"/>
  <c r="G194"/>
  <c r="F194"/>
  <c r="E194"/>
  <c r="D194"/>
  <c r="M193"/>
  <c r="N193" s="1"/>
  <c r="M192"/>
  <c r="N192" s="1"/>
  <c r="M191"/>
  <c r="N191" s="1"/>
  <c r="M190"/>
  <c r="N190" s="1"/>
  <c r="M189"/>
  <c r="N189" s="1"/>
  <c r="M188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P179"/>
  <c r="O179"/>
  <c r="L179"/>
  <c r="E179"/>
  <c r="D179"/>
  <c r="K178"/>
  <c r="J178"/>
  <c r="I178"/>
  <c r="H178"/>
  <c r="G178"/>
  <c r="F178"/>
  <c r="E178"/>
  <c r="D178"/>
  <c r="M177"/>
  <c r="N177" s="1"/>
  <c r="M176"/>
  <c r="N176" s="1"/>
  <c r="M175"/>
  <c r="N175" s="1"/>
  <c r="M174"/>
  <c r="N174" s="1"/>
  <c r="M173"/>
  <c r="N173" s="1"/>
  <c r="M172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M167"/>
  <c r="N167" s="1"/>
  <c r="M166"/>
  <c r="N166" s="1"/>
  <c r="M165"/>
  <c r="N165" s="1"/>
  <c r="M164"/>
  <c r="P163"/>
  <c r="O163"/>
  <c r="L163"/>
  <c r="E163"/>
  <c r="D163"/>
  <c r="K162"/>
  <c r="J162"/>
  <c r="I162"/>
  <c r="H162"/>
  <c r="G162"/>
  <c r="F162"/>
  <c r="E162"/>
  <c r="D162"/>
  <c r="M161"/>
  <c r="N161" s="1"/>
  <c r="M160"/>
  <c r="N160" s="1"/>
  <c r="M159"/>
  <c r="N159" s="1"/>
  <c r="M158"/>
  <c r="N158" s="1"/>
  <c r="M157"/>
  <c r="N157" s="1"/>
  <c r="M156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M148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M141"/>
  <c r="N141" s="1"/>
  <c r="M140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M135"/>
  <c r="N135" s="1"/>
  <c r="M134"/>
  <c r="N134" s="1"/>
  <c r="M133"/>
  <c r="N133" s="1"/>
  <c r="M132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M126"/>
  <c r="N126" s="1"/>
  <c r="M125"/>
  <c r="N125" s="1"/>
  <c r="M124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P115"/>
  <c r="O115"/>
  <c r="L115"/>
  <c r="E115"/>
  <c r="D115"/>
  <c r="K114"/>
  <c r="J114"/>
  <c r="I114"/>
  <c r="H114"/>
  <c r="G114"/>
  <c r="F114"/>
  <c r="E114"/>
  <c r="D114"/>
  <c r="M113"/>
  <c r="N113" s="1"/>
  <c r="M112"/>
  <c r="N112" s="1"/>
  <c r="M111"/>
  <c r="N111" s="1"/>
  <c r="M110"/>
  <c r="N110" s="1"/>
  <c r="M109"/>
  <c r="N109" s="1"/>
  <c r="M108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M102"/>
  <c r="N102" s="1"/>
  <c r="M101"/>
  <c r="N101" s="1"/>
  <c r="M100"/>
  <c r="P99"/>
  <c r="O99"/>
  <c r="L99"/>
  <c r="E99"/>
  <c r="D99"/>
  <c r="K98"/>
  <c r="J98"/>
  <c r="I98"/>
  <c r="H98"/>
  <c r="G98"/>
  <c r="F98"/>
  <c r="E98"/>
  <c r="D98"/>
  <c r="M97"/>
  <c r="N97" s="1"/>
  <c r="M96"/>
  <c r="N96" s="1"/>
  <c r="M95"/>
  <c r="N95" s="1"/>
  <c r="M94"/>
  <c r="N94" s="1"/>
  <c r="M93"/>
  <c r="N93" s="1"/>
  <c r="M92"/>
  <c r="N92" s="1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M85"/>
  <c r="N85" s="1"/>
  <c r="M84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M82" s="1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P59"/>
  <c r="O59"/>
  <c r="L59"/>
  <c r="E59"/>
  <c r="D59"/>
  <c r="K58"/>
  <c r="J58"/>
  <c r="I58"/>
  <c r="H58"/>
  <c r="G58"/>
  <c r="F58"/>
  <c r="E58"/>
  <c r="D58"/>
  <c r="M57"/>
  <c r="N57" s="1"/>
  <c r="M56"/>
  <c r="N56" s="1"/>
  <c r="M55"/>
  <c r="N55" s="1"/>
  <c r="M54"/>
  <c r="N54" s="1"/>
  <c r="M53"/>
  <c r="N53" s="1"/>
  <c r="M52"/>
  <c r="P51"/>
  <c r="O51"/>
  <c r="L51"/>
  <c r="D51"/>
  <c r="K50"/>
  <c r="J50"/>
  <c r="I50"/>
  <c r="H50"/>
  <c r="G50"/>
  <c r="F50"/>
  <c r="E50"/>
  <c r="D50"/>
  <c r="M49"/>
  <c r="N49" s="1"/>
  <c r="M48"/>
  <c r="N48" s="1"/>
  <c r="M47"/>
  <c r="N47" s="1"/>
  <c r="M46"/>
  <c r="N46" s="1"/>
  <c r="M45"/>
  <c r="N45" s="1"/>
  <c r="M44"/>
  <c r="N44" s="1"/>
  <c r="P43"/>
  <c r="O43"/>
  <c r="L43"/>
  <c r="E43"/>
  <c r="D43"/>
  <c r="K42"/>
  <c r="J42"/>
  <c r="I42"/>
  <c r="H42"/>
  <c r="G42"/>
  <c r="F42"/>
  <c r="E42"/>
  <c r="D42"/>
  <c r="M41"/>
  <c r="N41" s="1"/>
  <c r="M40"/>
  <c r="N40" s="1"/>
  <c r="M39"/>
  <c r="N39" s="1"/>
  <c r="M38"/>
  <c r="N38" s="1"/>
  <c r="M37"/>
  <c r="N37" s="1"/>
  <c r="M36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M34" s="1"/>
  <c r="P27"/>
  <c r="O27"/>
  <c r="L27"/>
  <c r="E27"/>
  <c r="D27"/>
  <c r="K26"/>
  <c r="J26"/>
  <c r="I26"/>
  <c r="H26"/>
  <c r="G26"/>
  <c r="F26"/>
  <c r="E26"/>
  <c r="D26"/>
  <c r="M25"/>
  <c r="N25" s="1"/>
  <c r="M24"/>
  <c r="N24" s="1"/>
  <c r="M23"/>
  <c r="N23" s="1"/>
  <c r="M22"/>
  <c r="N22" s="1"/>
  <c r="M21"/>
  <c r="N21" s="1"/>
  <c r="M20"/>
  <c r="P19"/>
  <c r="O19"/>
  <c r="L19"/>
  <c r="E19"/>
  <c r="D19"/>
  <c r="K18"/>
  <c r="J18"/>
  <c r="I18"/>
  <c r="H18"/>
  <c r="G18"/>
  <c r="F18"/>
  <c r="E18"/>
  <c r="D18"/>
  <c r="M17"/>
  <c r="N17" s="1"/>
  <c r="N16"/>
  <c r="M15"/>
  <c r="N15" s="1"/>
  <c r="M14"/>
  <c r="N14" s="1"/>
  <c r="M13"/>
  <c r="N13" s="1"/>
  <c r="M12"/>
  <c r="P11"/>
  <c r="O11"/>
  <c r="K25" i="1" s="1"/>
  <c r="L11" i="22"/>
  <c r="E11"/>
  <c r="D11"/>
  <c r="K10"/>
  <c r="J10"/>
  <c r="I10"/>
  <c r="H10"/>
  <c r="G10"/>
  <c r="F10"/>
  <c r="E10"/>
  <c r="D10"/>
  <c r="M9"/>
  <c r="N9" s="1"/>
  <c r="M8"/>
  <c r="N8" s="1"/>
  <c r="N7"/>
  <c r="N6"/>
  <c r="N5"/>
  <c r="M4"/>
  <c r="B4"/>
  <c r="J26" i="1"/>
  <c r="G26"/>
  <c r="G28"/>
  <c r="P251" i="21"/>
  <c r="O251"/>
  <c r="L251"/>
  <c r="E251"/>
  <c r="D251"/>
  <c r="K250"/>
  <c r="J250"/>
  <c r="I250"/>
  <c r="H250"/>
  <c r="G250"/>
  <c r="F250"/>
  <c r="E250"/>
  <c r="D250"/>
  <c r="M249"/>
  <c r="N249" s="1"/>
  <c r="M248"/>
  <c r="N248" s="1"/>
  <c r="M247"/>
  <c r="N247" s="1"/>
  <c r="M246"/>
  <c r="N246" s="1"/>
  <c r="M245"/>
  <c r="N245" s="1"/>
  <c r="M244"/>
  <c r="P243"/>
  <c r="O243"/>
  <c r="L243"/>
  <c r="E243"/>
  <c r="D243"/>
  <c r="K242"/>
  <c r="J242"/>
  <c r="I242"/>
  <c r="H242"/>
  <c r="G242"/>
  <c r="F242"/>
  <c r="E242"/>
  <c r="D242"/>
  <c r="N241"/>
  <c r="M241"/>
  <c r="N240"/>
  <c r="M240"/>
  <c r="N239"/>
  <c r="M239"/>
  <c r="N238"/>
  <c r="M238"/>
  <c r="N237"/>
  <c r="M237"/>
  <c r="N236"/>
  <c r="M236"/>
  <c r="M242" s="1"/>
  <c r="P235"/>
  <c r="O235"/>
  <c r="L235"/>
  <c r="E235"/>
  <c r="D235"/>
  <c r="K234"/>
  <c r="J234"/>
  <c r="I234"/>
  <c r="H234"/>
  <c r="G234"/>
  <c r="F234"/>
  <c r="E234"/>
  <c r="D234"/>
  <c r="M233"/>
  <c r="N233" s="1"/>
  <c r="M232"/>
  <c r="N232" s="1"/>
  <c r="M231"/>
  <c r="N231" s="1"/>
  <c r="M230"/>
  <c r="N230" s="1"/>
  <c r="M229"/>
  <c r="N229" s="1"/>
  <c r="M228"/>
  <c r="M234" s="1"/>
  <c r="P227"/>
  <c r="O227"/>
  <c r="L227"/>
  <c r="E227"/>
  <c r="D227"/>
  <c r="K226"/>
  <c r="J226"/>
  <c r="I226"/>
  <c r="H226"/>
  <c r="G226"/>
  <c r="F227" s="1"/>
  <c r="F226"/>
  <c r="E226"/>
  <c r="D226"/>
  <c r="N225"/>
  <c r="M225"/>
  <c r="N224"/>
  <c r="M224"/>
  <c r="N223"/>
  <c r="M223"/>
  <c r="N222"/>
  <c r="M222"/>
  <c r="N221"/>
  <c r="M221"/>
  <c r="N220"/>
  <c r="M220"/>
  <c r="M226" s="1"/>
  <c r="P219"/>
  <c r="O219"/>
  <c r="L219"/>
  <c r="E219"/>
  <c r="D219"/>
  <c r="K218"/>
  <c r="J218"/>
  <c r="I218"/>
  <c r="H218"/>
  <c r="G218"/>
  <c r="F218"/>
  <c r="E218"/>
  <c r="D218"/>
  <c r="M217"/>
  <c r="N217" s="1"/>
  <c r="M216"/>
  <c r="N216" s="1"/>
  <c r="M215"/>
  <c r="N215" s="1"/>
  <c r="M214"/>
  <c r="N214" s="1"/>
  <c r="M213"/>
  <c r="N213" s="1"/>
  <c r="M212"/>
  <c r="M218" s="1"/>
  <c r="P211"/>
  <c r="O211"/>
  <c r="L211"/>
  <c r="E211"/>
  <c r="D211"/>
  <c r="K210"/>
  <c r="J210"/>
  <c r="I210"/>
  <c r="H210"/>
  <c r="G210"/>
  <c r="F211" s="1"/>
  <c r="F210"/>
  <c r="E210"/>
  <c r="D210"/>
  <c r="N209"/>
  <c r="M209"/>
  <c r="N208"/>
  <c r="M208"/>
  <c r="N207"/>
  <c r="M207"/>
  <c r="N206"/>
  <c r="M206"/>
  <c r="N205"/>
  <c r="M205"/>
  <c r="N204"/>
  <c r="M204"/>
  <c r="M210" s="1"/>
  <c r="P203"/>
  <c r="O203"/>
  <c r="L203"/>
  <c r="E203"/>
  <c r="D203"/>
  <c r="K202"/>
  <c r="J202"/>
  <c r="I202"/>
  <c r="H202"/>
  <c r="G202"/>
  <c r="F202"/>
  <c r="E202"/>
  <c r="D202"/>
  <c r="M201"/>
  <c r="N201" s="1"/>
  <c r="M200"/>
  <c r="N200" s="1"/>
  <c r="M199"/>
  <c r="N199" s="1"/>
  <c r="M198"/>
  <c r="N198" s="1"/>
  <c r="M197"/>
  <c r="N197" s="1"/>
  <c r="M196"/>
  <c r="M202" s="1"/>
  <c r="P195"/>
  <c r="O195"/>
  <c r="L195"/>
  <c r="E195"/>
  <c r="D195"/>
  <c r="K194"/>
  <c r="J194"/>
  <c r="I194"/>
  <c r="H194"/>
  <c r="G194"/>
  <c r="F195" s="1"/>
  <c r="F194"/>
  <c r="E194"/>
  <c r="D194"/>
  <c r="N193"/>
  <c r="M193"/>
  <c r="N192"/>
  <c r="M192"/>
  <c r="N191"/>
  <c r="M191"/>
  <c r="N190"/>
  <c r="M190"/>
  <c r="N189"/>
  <c r="M189"/>
  <c r="N188"/>
  <c r="M188"/>
  <c r="M194" s="1"/>
  <c r="P187"/>
  <c r="O187"/>
  <c r="L187"/>
  <c r="E187"/>
  <c r="D187"/>
  <c r="K186"/>
  <c r="J186"/>
  <c r="I186"/>
  <c r="H186"/>
  <c r="G186"/>
  <c r="F186"/>
  <c r="E186"/>
  <c r="D186"/>
  <c r="M185"/>
  <c r="N185" s="1"/>
  <c r="M184"/>
  <c r="N184" s="1"/>
  <c r="M183"/>
  <c r="N183" s="1"/>
  <c r="M182"/>
  <c r="N182" s="1"/>
  <c r="M181"/>
  <c r="N181" s="1"/>
  <c r="M180"/>
  <c r="M186" s="1"/>
  <c r="P179"/>
  <c r="O179"/>
  <c r="L179"/>
  <c r="E179"/>
  <c r="D179"/>
  <c r="K178"/>
  <c r="J178"/>
  <c r="I178"/>
  <c r="H178"/>
  <c r="G178"/>
  <c r="F179" s="1"/>
  <c r="F178"/>
  <c r="E178"/>
  <c r="D178"/>
  <c r="N177"/>
  <c r="M177"/>
  <c r="N176"/>
  <c r="M176"/>
  <c r="N175"/>
  <c r="M175"/>
  <c r="N174"/>
  <c r="M174"/>
  <c r="N173"/>
  <c r="M173"/>
  <c r="N172"/>
  <c r="M172"/>
  <c r="M178" s="1"/>
  <c r="P171"/>
  <c r="O171"/>
  <c r="L171"/>
  <c r="E171"/>
  <c r="D171"/>
  <c r="K170"/>
  <c r="J170"/>
  <c r="I170"/>
  <c r="H170"/>
  <c r="G170"/>
  <c r="F170"/>
  <c r="E170"/>
  <c r="D170"/>
  <c r="M169"/>
  <c r="N169" s="1"/>
  <c r="M168"/>
  <c r="N168" s="1"/>
  <c r="M167"/>
  <c r="N167" s="1"/>
  <c r="M166"/>
  <c r="N166" s="1"/>
  <c r="M165"/>
  <c r="N165" s="1"/>
  <c r="M164"/>
  <c r="M170" s="1"/>
  <c r="P163"/>
  <c r="O163"/>
  <c r="L163"/>
  <c r="E163"/>
  <c r="D163"/>
  <c r="K162"/>
  <c r="J162"/>
  <c r="I162"/>
  <c r="H162"/>
  <c r="G162"/>
  <c r="F162"/>
  <c r="E162"/>
  <c r="D162"/>
  <c r="M161"/>
  <c r="N161" s="1"/>
  <c r="M160"/>
  <c r="N160" s="1"/>
  <c r="M159"/>
  <c r="N159" s="1"/>
  <c r="M158"/>
  <c r="N158" s="1"/>
  <c r="M157"/>
  <c r="N157" s="1"/>
  <c r="M156"/>
  <c r="P155"/>
  <c r="O155"/>
  <c r="L155"/>
  <c r="E155"/>
  <c r="D155"/>
  <c r="K154"/>
  <c r="J154"/>
  <c r="I154"/>
  <c r="H154"/>
  <c r="G154"/>
  <c r="F154"/>
  <c r="E154"/>
  <c r="D154"/>
  <c r="M153"/>
  <c r="N153" s="1"/>
  <c r="M152"/>
  <c r="N152" s="1"/>
  <c r="M151"/>
  <c r="N151" s="1"/>
  <c r="M150"/>
  <c r="N150" s="1"/>
  <c r="M149"/>
  <c r="N149" s="1"/>
  <c r="M148"/>
  <c r="M154" s="1"/>
  <c r="P147"/>
  <c r="O147"/>
  <c r="L147"/>
  <c r="E147"/>
  <c r="D147"/>
  <c r="K146"/>
  <c r="J146"/>
  <c r="I146"/>
  <c r="H146"/>
  <c r="G146"/>
  <c r="F146"/>
  <c r="E146"/>
  <c r="D146"/>
  <c r="M145"/>
  <c r="N145" s="1"/>
  <c r="M144"/>
  <c r="N144" s="1"/>
  <c r="M143"/>
  <c r="N143" s="1"/>
  <c r="M142"/>
  <c r="N142" s="1"/>
  <c r="M141"/>
  <c r="N141" s="1"/>
  <c r="M140"/>
  <c r="P139"/>
  <c r="O139"/>
  <c r="L139"/>
  <c r="E139"/>
  <c r="D139"/>
  <c r="K138"/>
  <c r="J138"/>
  <c r="I138"/>
  <c r="H138"/>
  <c r="G138"/>
  <c r="F138"/>
  <c r="E138"/>
  <c r="D138"/>
  <c r="M137"/>
  <c r="N137" s="1"/>
  <c r="M136"/>
  <c r="N136" s="1"/>
  <c r="M135"/>
  <c r="N135" s="1"/>
  <c r="M134"/>
  <c r="N134" s="1"/>
  <c r="M133"/>
  <c r="N133" s="1"/>
  <c r="M132"/>
  <c r="M138" s="1"/>
  <c r="P131"/>
  <c r="O131"/>
  <c r="L131"/>
  <c r="E131"/>
  <c r="D131"/>
  <c r="K130"/>
  <c r="J130"/>
  <c r="I130"/>
  <c r="H130"/>
  <c r="G130"/>
  <c r="F130"/>
  <c r="D130"/>
  <c r="M129"/>
  <c r="N129" s="1"/>
  <c r="M128"/>
  <c r="N128" s="1"/>
  <c r="M127"/>
  <c r="N127" s="1"/>
  <c r="N126"/>
  <c r="M126"/>
  <c r="N125"/>
  <c r="M125"/>
  <c r="N124"/>
  <c r="N130" s="1"/>
  <c r="M124"/>
  <c r="P123"/>
  <c r="O123"/>
  <c r="L123"/>
  <c r="E123"/>
  <c r="D123"/>
  <c r="K122"/>
  <c r="J122"/>
  <c r="I122"/>
  <c r="H122"/>
  <c r="G122"/>
  <c r="F122"/>
  <c r="E122"/>
  <c r="D122"/>
  <c r="M121"/>
  <c r="N121" s="1"/>
  <c r="M120"/>
  <c r="N120" s="1"/>
  <c r="M119"/>
  <c r="N119" s="1"/>
  <c r="M118"/>
  <c r="N118" s="1"/>
  <c r="M117"/>
  <c r="N117" s="1"/>
  <c r="M116"/>
  <c r="M122" s="1"/>
  <c r="P115"/>
  <c r="O115"/>
  <c r="L115"/>
  <c r="E115"/>
  <c r="D115"/>
  <c r="K114"/>
  <c r="J114"/>
  <c r="I114"/>
  <c r="H114"/>
  <c r="G114"/>
  <c r="F114"/>
  <c r="E114"/>
  <c r="D114"/>
  <c r="N113"/>
  <c r="M113"/>
  <c r="N112"/>
  <c r="M112"/>
  <c r="N111"/>
  <c r="M111"/>
  <c r="N110"/>
  <c r="M110"/>
  <c r="N109"/>
  <c r="M109"/>
  <c r="N108"/>
  <c r="M108"/>
  <c r="M114" s="1"/>
  <c r="P107"/>
  <c r="O107"/>
  <c r="L107"/>
  <c r="E107"/>
  <c r="D107"/>
  <c r="K106"/>
  <c r="J106"/>
  <c r="I106"/>
  <c r="H106"/>
  <c r="G106"/>
  <c r="F106"/>
  <c r="E106"/>
  <c r="D106"/>
  <c r="M105"/>
  <c r="N105" s="1"/>
  <c r="M104"/>
  <c r="N104" s="1"/>
  <c r="M103"/>
  <c r="N103" s="1"/>
  <c r="N102"/>
  <c r="M102"/>
  <c r="N101"/>
  <c r="M101"/>
  <c r="N100"/>
  <c r="N106" s="1"/>
  <c r="M100"/>
  <c r="P99"/>
  <c r="O99"/>
  <c r="L99"/>
  <c r="E99"/>
  <c r="D99"/>
  <c r="K98"/>
  <c r="J98"/>
  <c r="I98"/>
  <c r="H98"/>
  <c r="G98"/>
  <c r="F98"/>
  <c r="E98"/>
  <c r="D98"/>
  <c r="M97"/>
  <c r="N97" s="1"/>
  <c r="M96"/>
  <c r="N96" s="1"/>
  <c r="M95"/>
  <c r="N95" s="1"/>
  <c r="M94"/>
  <c r="N94" s="1"/>
  <c r="M93"/>
  <c r="N93" s="1"/>
  <c r="M92"/>
  <c r="M98" s="1"/>
  <c r="P91"/>
  <c r="O91"/>
  <c r="L91"/>
  <c r="E91"/>
  <c r="D91"/>
  <c r="K90"/>
  <c r="J90"/>
  <c r="I90"/>
  <c r="H90"/>
  <c r="G90"/>
  <c r="F90"/>
  <c r="E90"/>
  <c r="D90"/>
  <c r="M89"/>
  <c r="N89" s="1"/>
  <c r="M88"/>
  <c r="N88" s="1"/>
  <c r="M87"/>
  <c r="N87" s="1"/>
  <c r="M86"/>
  <c r="N86" s="1"/>
  <c r="N85"/>
  <c r="M85"/>
  <c r="N84"/>
  <c r="N90" s="1"/>
  <c r="M84"/>
  <c r="P83"/>
  <c r="O83"/>
  <c r="L83"/>
  <c r="E83"/>
  <c r="D83"/>
  <c r="K82"/>
  <c r="J82"/>
  <c r="I82"/>
  <c r="H82"/>
  <c r="G82"/>
  <c r="F82"/>
  <c r="E82"/>
  <c r="D82"/>
  <c r="M81"/>
  <c r="N81" s="1"/>
  <c r="M80"/>
  <c r="N80" s="1"/>
  <c r="M79"/>
  <c r="N79" s="1"/>
  <c r="M78"/>
  <c r="N78" s="1"/>
  <c r="M77"/>
  <c r="N77" s="1"/>
  <c r="M76"/>
  <c r="P75"/>
  <c r="O75"/>
  <c r="L75"/>
  <c r="E75"/>
  <c r="D75"/>
  <c r="K74"/>
  <c r="J74"/>
  <c r="I74"/>
  <c r="H74"/>
  <c r="G74"/>
  <c r="F74"/>
  <c r="E74"/>
  <c r="D74"/>
  <c r="M73"/>
  <c r="N73" s="1"/>
  <c r="M72"/>
  <c r="N72" s="1"/>
  <c r="M71"/>
  <c r="N71" s="1"/>
  <c r="M70"/>
  <c r="N70" s="1"/>
  <c r="M69"/>
  <c r="N69" s="1"/>
  <c r="M68"/>
  <c r="P67"/>
  <c r="O67"/>
  <c r="L67"/>
  <c r="E67"/>
  <c r="D67"/>
  <c r="K66"/>
  <c r="J66"/>
  <c r="I66"/>
  <c r="H66"/>
  <c r="G66"/>
  <c r="F66"/>
  <c r="E66"/>
  <c r="D66"/>
  <c r="M65"/>
  <c r="N65" s="1"/>
  <c r="M64"/>
  <c r="N64" s="1"/>
  <c r="M63"/>
  <c r="N63" s="1"/>
  <c r="M62"/>
  <c r="N62" s="1"/>
  <c r="M61"/>
  <c r="N61" s="1"/>
  <c r="M60"/>
  <c r="M66" s="1"/>
  <c r="P59"/>
  <c r="O59"/>
  <c r="L59"/>
  <c r="E59"/>
  <c r="D59"/>
  <c r="K58"/>
  <c r="J58"/>
  <c r="I58"/>
  <c r="H58"/>
  <c r="G58"/>
  <c r="F59" s="1"/>
  <c r="F58"/>
  <c r="E58"/>
  <c r="D58"/>
  <c r="N57"/>
  <c r="M57"/>
  <c r="N56"/>
  <c r="M56"/>
  <c r="N55"/>
  <c r="M55"/>
  <c r="N54"/>
  <c r="M54"/>
  <c r="N53"/>
  <c r="M53"/>
  <c r="N52"/>
  <c r="M52"/>
  <c r="M58" s="1"/>
  <c r="P51"/>
  <c r="O51"/>
  <c r="L51"/>
  <c r="D51"/>
  <c r="K50"/>
  <c r="J50"/>
  <c r="I50"/>
  <c r="H50"/>
  <c r="G50"/>
  <c r="F50"/>
  <c r="E50"/>
  <c r="M49"/>
  <c r="N49" s="1"/>
  <c r="M48"/>
  <c r="N48" s="1"/>
  <c r="M47"/>
  <c r="N47" s="1"/>
  <c r="M46"/>
  <c r="N46" s="1"/>
  <c r="M45"/>
  <c r="N45" s="1"/>
  <c r="M44"/>
  <c r="M51" s="1"/>
  <c r="P43"/>
  <c r="O43"/>
  <c r="L43"/>
  <c r="E43"/>
  <c r="D43"/>
  <c r="K42"/>
  <c r="J42"/>
  <c r="I42"/>
  <c r="H42"/>
  <c r="G42"/>
  <c r="F43" s="1"/>
  <c r="F42"/>
  <c r="E42"/>
  <c r="D42"/>
  <c r="M41"/>
  <c r="N41" s="1"/>
  <c r="M40"/>
  <c r="N40" s="1"/>
  <c r="M39"/>
  <c r="N39" s="1"/>
  <c r="M38"/>
  <c r="N38" s="1"/>
  <c r="M37"/>
  <c r="N37" s="1"/>
  <c r="M36"/>
  <c r="P35"/>
  <c r="O35"/>
  <c r="L35"/>
  <c r="E35"/>
  <c r="D35"/>
  <c r="K34"/>
  <c r="J34"/>
  <c r="I34"/>
  <c r="H34"/>
  <c r="G34"/>
  <c r="F34"/>
  <c r="E34"/>
  <c r="D34"/>
  <c r="M33"/>
  <c r="N33" s="1"/>
  <c r="M32"/>
  <c r="N32" s="1"/>
  <c r="M31"/>
  <c r="N31" s="1"/>
  <c r="M30"/>
  <c r="N30" s="1"/>
  <c r="M29"/>
  <c r="N29" s="1"/>
  <c r="M28"/>
  <c r="P27"/>
  <c r="O27"/>
  <c r="L27"/>
  <c r="E27"/>
  <c r="D27"/>
  <c r="K26"/>
  <c r="J26"/>
  <c r="I26"/>
  <c r="H26"/>
  <c r="G26"/>
  <c r="F26"/>
  <c r="E26"/>
  <c r="D26"/>
  <c r="M25"/>
  <c r="N25" s="1"/>
  <c r="M24"/>
  <c r="N24" s="1"/>
  <c r="M23"/>
  <c r="N23" s="1"/>
  <c r="M22"/>
  <c r="N22" s="1"/>
  <c r="M21"/>
  <c r="N21" s="1"/>
  <c r="M20"/>
  <c r="P19"/>
  <c r="O19"/>
  <c r="L19"/>
  <c r="E19"/>
  <c r="D19"/>
  <c r="K18"/>
  <c r="J18"/>
  <c r="I18"/>
  <c r="H18"/>
  <c r="G18"/>
  <c r="F18"/>
  <c r="E18"/>
  <c r="D18"/>
  <c r="M17"/>
  <c r="N17" s="1"/>
  <c r="M16"/>
  <c r="N16" s="1"/>
  <c r="M15"/>
  <c r="N15" s="1"/>
  <c r="M14"/>
  <c r="N14" s="1"/>
  <c r="M13"/>
  <c r="N13" s="1"/>
  <c r="M12"/>
  <c r="P11"/>
  <c r="O11"/>
  <c r="J25" i="1" s="1"/>
  <c r="L11" i="21"/>
  <c r="E11"/>
  <c r="D11"/>
  <c r="K10"/>
  <c r="J10"/>
  <c r="I10"/>
  <c r="H10"/>
  <c r="G10"/>
  <c r="F10"/>
  <c r="E10"/>
  <c r="D10"/>
  <c r="N9"/>
  <c r="M9"/>
  <c r="N8"/>
  <c r="M8"/>
  <c r="M7"/>
  <c r="M6"/>
  <c r="N6" s="1"/>
  <c r="M5"/>
  <c r="N5" s="1"/>
  <c r="M4"/>
  <c r="N4" s="1"/>
  <c r="B4"/>
  <c r="E51" i="20"/>
  <c r="K13" i="31"/>
  <c r="C18" i="1"/>
  <c r="C14"/>
  <c r="C16"/>
  <c r="C9"/>
  <c r="N13" i="31"/>
  <c r="E17" i="28"/>
  <c r="C10" i="1"/>
  <c r="L13" i="31"/>
  <c r="AE12" i="30"/>
  <c r="C8" i="1"/>
  <c r="C15"/>
  <c r="M13" i="31"/>
  <c r="C12" i="1"/>
  <c r="I13" i="31"/>
  <c r="C17" i="1"/>
  <c r="O13" i="31"/>
  <c r="C7" i="1"/>
  <c r="C13"/>
  <c r="J13" i="31"/>
  <c r="M26" i="21" l="1"/>
  <c r="M42"/>
  <c r="M90"/>
  <c r="M106"/>
  <c r="N228"/>
  <c r="F235"/>
  <c r="M26" i="22"/>
  <c r="N28"/>
  <c r="F35"/>
  <c r="M42"/>
  <c r="M66"/>
  <c r="N138" i="26"/>
  <c r="N162"/>
  <c r="M178"/>
  <c r="M74" i="22"/>
  <c r="N76"/>
  <c r="F83"/>
  <c r="M90"/>
  <c r="M122"/>
  <c r="M146"/>
  <c r="M162"/>
  <c r="M178"/>
  <c r="M194"/>
  <c r="N196"/>
  <c r="F203"/>
  <c r="M210"/>
  <c r="M10" i="23"/>
  <c r="N68"/>
  <c r="N84"/>
  <c r="M106"/>
  <c r="N108"/>
  <c r="M122"/>
  <c r="N132"/>
  <c r="N138" s="1"/>
  <c r="M154"/>
  <c r="N156"/>
  <c r="F163"/>
  <c r="M170"/>
  <c r="M186"/>
  <c r="N188"/>
  <c r="N194" s="1"/>
  <c r="N196"/>
  <c r="M210"/>
  <c r="N212"/>
  <c r="F219"/>
  <c r="M226"/>
  <c r="M243"/>
  <c r="F243"/>
  <c r="M18" i="24"/>
  <c r="N20"/>
  <c r="N26" s="1"/>
  <c r="M42"/>
  <c r="M66"/>
  <c r="M82"/>
  <c r="M98"/>
  <c r="F219" i="22"/>
  <c r="M218"/>
  <c r="M50"/>
  <c r="M51"/>
  <c r="N99"/>
  <c r="N98"/>
  <c r="N75" i="23"/>
  <c r="N74"/>
  <c r="N91"/>
  <c r="N90"/>
  <c r="M50" i="24"/>
  <c r="M51"/>
  <c r="N163" i="25"/>
  <c r="N162"/>
  <c r="M18" i="21"/>
  <c r="N36"/>
  <c r="N42" s="1"/>
  <c r="M74"/>
  <c r="F243"/>
  <c r="D253"/>
  <c r="F253"/>
  <c r="H253"/>
  <c r="J253"/>
  <c r="M18" i="22"/>
  <c r="M58"/>
  <c r="N60"/>
  <c r="N66" s="1"/>
  <c r="M114"/>
  <c r="F131"/>
  <c r="M138"/>
  <c r="D253"/>
  <c r="F253"/>
  <c r="K28" i="1" s="1"/>
  <c r="H253" i="22"/>
  <c r="K30" i="1" s="1"/>
  <c r="J253" i="22"/>
  <c r="K32" i="1" s="1"/>
  <c r="M66" i="23"/>
  <c r="F75"/>
  <c r="M82"/>
  <c r="F91"/>
  <c r="M98"/>
  <c r="M130"/>
  <c r="M146"/>
  <c r="M178"/>
  <c r="D253"/>
  <c r="F253"/>
  <c r="L28" i="1" s="1"/>
  <c r="H253" i="23"/>
  <c r="L30" i="1" s="1"/>
  <c r="J253" i="23"/>
  <c r="L32" i="1" s="1"/>
  <c r="M10" i="24"/>
  <c r="M58"/>
  <c r="M90"/>
  <c r="N92"/>
  <c r="N98" s="1"/>
  <c r="M130"/>
  <c r="F243"/>
  <c r="D253"/>
  <c r="F253"/>
  <c r="M28" i="1" s="1"/>
  <c r="H253" i="24"/>
  <c r="M30" i="1" s="1"/>
  <c r="J253" i="24"/>
  <c r="M32" i="1" s="1"/>
  <c r="M10" i="25"/>
  <c r="M42"/>
  <c r="N52"/>
  <c r="F59"/>
  <c r="M66"/>
  <c r="N68"/>
  <c r="N74" s="1"/>
  <c r="M82"/>
  <c r="M98"/>
  <c r="M114"/>
  <c r="N116"/>
  <c r="N122" s="1"/>
  <c r="N132"/>
  <c r="F139"/>
  <c r="M146"/>
  <c r="N148"/>
  <c r="F155"/>
  <c r="M178"/>
  <c r="N180"/>
  <c r="N186" s="1"/>
  <c r="D253"/>
  <c r="F253"/>
  <c r="N28" i="1" s="1"/>
  <c r="H253" i="25"/>
  <c r="N30" i="1" s="1"/>
  <c r="J253" i="25"/>
  <c r="N32" i="1" s="1"/>
  <c r="N98" i="26"/>
  <c r="N130"/>
  <c r="D253"/>
  <c r="F253"/>
  <c r="O28" i="1" s="1"/>
  <c r="H253" i="26"/>
  <c r="O30" i="1" s="1"/>
  <c r="J253" i="26"/>
  <c r="O32" i="1" s="1"/>
  <c r="M10" i="27"/>
  <c r="M26"/>
  <c r="M42"/>
  <c r="N44"/>
  <c r="N52"/>
  <c r="N58" s="1"/>
  <c r="M74"/>
  <c r="M90"/>
  <c r="N106"/>
  <c r="F243"/>
  <c r="D253"/>
  <c r="F253"/>
  <c r="P28" i="1" s="1"/>
  <c r="H253" i="27"/>
  <c r="P30" i="1" s="1"/>
  <c r="J253" i="27"/>
  <c r="P32" i="1" s="1"/>
  <c r="N59" i="21"/>
  <c r="N58"/>
  <c r="N115"/>
  <c r="N114"/>
  <c r="N179"/>
  <c r="N178"/>
  <c r="N195"/>
  <c r="N194"/>
  <c r="N211"/>
  <c r="N210"/>
  <c r="N227"/>
  <c r="N226"/>
  <c r="N235"/>
  <c r="N234"/>
  <c r="N243"/>
  <c r="N242"/>
  <c r="N35" i="22"/>
  <c r="N34"/>
  <c r="N50"/>
  <c r="N51"/>
  <c r="N83"/>
  <c r="N82"/>
  <c r="N203"/>
  <c r="N202"/>
  <c r="N219"/>
  <c r="N218"/>
  <c r="N27" i="23"/>
  <c r="N26"/>
  <c r="N43"/>
  <c r="N42"/>
  <c r="M50"/>
  <c r="M51"/>
  <c r="N115"/>
  <c r="N114"/>
  <c r="N163"/>
  <c r="N162"/>
  <c r="N203"/>
  <c r="N202"/>
  <c r="N219"/>
  <c r="N218"/>
  <c r="N179" i="24"/>
  <c r="N178"/>
  <c r="N195"/>
  <c r="N194"/>
  <c r="N211"/>
  <c r="N210"/>
  <c r="N227"/>
  <c r="N226"/>
  <c r="N235"/>
  <c r="N234"/>
  <c r="N243"/>
  <c r="N242"/>
  <c r="N27" i="25"/>
  <c r="N26"/>
  <c r="N235"/>
  <c r="N234"/>
  <c r="N27" i="26"/>
  <c r="N26"/>
  <c r="N43"/>
  <c r="N42"/>
  <c r="N163" i="27"/>
  <c r="N162"/>
  <c r="N227"/>
  <c r="N226"/>
  <c r="N235"/>
  <c r="N234"/>
  <c r="N243"/>
  <c r="N242"/>
  <c r="J30" i="1"/>
  <c r="M227" i="21"/>
  <c r="M235"/>
  <c r="M243"/>
  <c r="E253"/>
  <c r="G253"/>
  <c r="J29" i="1" s="1"/>
  <c r="I253" i="21"/>
  <c r="J31" i="1" s="1"/>
  <c r="K253" i="21"/>
  <c r="J33" i="1" s="1"/>
  <c r="E253" i="22"/>
  <c r="E254" s="1"/>
  <c r="K24" i="1" s="1"/>
  <c r="G253" i="22"/>
  <c r="K29" i="1" s="1"/>
  <c r="I253" i="22"/>
  <c r="K253"/>
  <c r="K33" i="1" s="1"/>
  <c r="E253" i="23"/>
  <c r="G253"/>
  <c r="L29" i="1" s="1"/>
  <c r="I253" i="23"/>
  <c r="L31" i="1" s="1"/>
  <c r="K253" i="23"/>
  <c r="L33" i="1" s="1"/>
  <c r="E253" i="24"/>
  <c r="G253"/>
  <c r="M29" i="1" s="1"/>
  <c r="I253" i="24"/>
  <c r="M31" i="1" s="1"/>
  <c r="K253" i="24"/>
  <c r="M33" i="1" s="1"/>
  <c r="E253" i="25"/>
  <c r="G253"/>
  <c r="N29" i="1" s="1"/>
  <c r="I253" i="25"/>
  <c r="N31" i="1" s="1"/>
  <c r="K253" i="25"/>
  <c r="N33" i="1" s="1"/>
  <c r="E253" i="26"/>
  <c r="G253"/>
  <c r="O29" i="1" s="1"/>
  <c r="I253" i="26"/>
  <c r="O31" i="1" s="1"/>
  <c r="K253" i="26"/>
  <c r="O33" i="1" s="1"/>
  <c r="E253" i="27"/>
  <c r="G253"/>
  <c r="I253"/>
  <c r="K253"/>
  <c r="N12" i="21"/>
  <c r="M82"/>
  <c r="M130" i="22"/>
  <c r="N100" i="24"/>
  <c r="N106" s="1"/>
  <c r="N124"/>
  <c r="N130" s="1"/>
  <c r="M154"/>
  <c r="M10" i="26"/>
  <c r="N52"/>
  <c r="F59"/>
  <c r="M66"/>
  <c r="M82"/>
  <c r="M114"/>
  <c r="P29" i="1"/>
  <c r="M98" i="27"/>
  <c r="M122"/>
  <c r="M146"/>
  <c r="N43" i="21"/>
  <c r="N68"/>
  <c r="N74" s="1"/>
  <c r="N12" i="22"/>
  <c r="N18" s="1"/>
  <c r="N67"/>
  <c r="M106"/>
  <c r="M154"/>
  <c r="M170"/>
  <c r="N44" i="23"/>
  <c r="M58"/>
  <c r="N27" i="24"/>
  <c r="M34"/>
  <c r="N36"/>
  <c r="N42" s="1"/>
  <c r="N44"/>
  <c r="N60"/>
  <c r="N66" s="1"/>
  <c r="M74"/>
  <c r="M114"/>
  <c r="N123" i="25"/>
  <c r="F123"/>
  <c r="M130"/>
  <c r="K31" i="1"/>
  <c r="F19" i="22"/>
  <c r="N19"/>
  <c r="M10"/>
  <c r="I14" i="31"/>
  <c r="K14"/>
  <c r="J14"/>
  <c r="L14"/>
  <c r="M14"/>
  <c r="N14"/>
  <c r="O14"/>
  <c r="L254" i="21"/>
  <c r="L254" i="23"/>
  <c r="V13" i="1" s="1"/>
  <c r="N92" i="21"/>
  <c r="N98" s="1"/>
  <c r="N100" i="22"/>
  <c r="N106" s="1"/>
  <c r="N108"/>
  <c r="N114" s="1"/>
  <c r="N172"/>
  <c r="F179"/>
  <c r="M186"/>
  <c r="N52" i="24"/>
  <c r="N58" s="1"/>
  <c r="N155"/>
  <c r="M162"/>
  <c r="N100" i="25"/>
  <c r="N106" s="1"/>
  <c r="N108"/>
  <c r="N114" s="1"/>
  <c r="N172"/>
  <c r="N178" s="1"/>
  <c r="M122" i="26"/>
  <c r="M186"/>
  <c r="N188"/>
  <c r="F195"/>
  <c r="M202"/>
  <c r="N204"/>
  <c r="F211"/>
  <c r="M218"/>
  <c r="N220"/>
  <c r="F227"/>
  <c r="M234"/>
  <c r="N236"/>
  <c r="P31" i="1"/>
  <c r="P33"/>
  <c r="P25"/>
  <c r="M18" i="27"/>
  <c r="M34"/>
  <c r="M50"/>
  <c r="M66"/>
  <c r="M82"/>
  <c r="N84"/>
  <c r="N90" s="1"/>
  <c r="N92"/>
  <c r="N98" s="1"/>
  <c r="M106"/>
  <c r="N116"/>
  <c r="N122" s="1"/>
  <c r="N124"/>
  <c r="N132"/>
  <c r="N138" s="1"/>
  <c r="N140"/>
  <c r="N146" s="1"/>
  <c r="N148"/>
  <c r="N154" s="1"/>
  <c r="M178"/>
  <c r="M194"/>
  <c r="M210"/>
  <c r="L254" i="22"/>
  <c r="V12" i="1" s="1"/>
  <c r="L254" i="24"/>
  <c r="V14" i="1" s="1"/>
  <c r="L254" i="25"/>
  <c r="V15" i="1" s="1"/>
  <c r="L254" i="26"/>
  <c r="V16" i="1" s="1"/>
  <c r="L254" i="27"/>
  <c r="P34" i="1" s="1"/>
  <c r="M34" i="21"/>
  <c r="N75"/>
  <c r="N132"/>
  <c r="M146"/>
  <c r="N148"/>
  <c r="M162"/>
  <c r="F67" i="22"/>
  <c r="N124"/>
  <c r="N148"/>
  <c r="N156"/>
  <c r="N162" s="1"/>
  <c r="N100" i="23"/>
  <c r="N106" s="1"/>
  <c r="F115"/>
  <c r="M138" i="24"/>
  <c r="N12" i="25"/>
  <c r="N18" s="1"/>
  <c r="N36"/>
  <c r="N42" s="1"/>
  <c r="M50"/>
  <c r="F43" i="26"/>
  <c r="M50"/>
  <c r="N76"/>
  <c r="N82" s="1"/>
  <c r="N84"/>
  <c r="N90" s="1"/>
  <c r="B10" i="28"/>
  <c r="I16" s="1"/>
  <c r="M50" i="21"/>
  <c r="M83" i="22"/>
  <c r="N116"/>
  <c r="N122" s="1"/>
  <c r="N164"/>
  <c r="N180"/>
  <c r="N186" s="1"/>
  <c r="M234"/>
  <c r="M250"/>
  <c r="N52" i="23"/>
  <c r="N58" s="1"/>
  <c r="N60"/>
  <c r="N66" s="1"/>
  <c r="N116"/>
  <c r="N122" s="1"/>
  <c r="N124"/>
  <c r="N130" s="1"/>
  <c r="N12" i="24"/>
  <c r="N18" s="1"/>
  <c r="N43"/>
  <c r="N68"/>
  <c r="N74" s="1"/>
  <c r="N76"/>
  <c r="N82" s="1"/>
  <c r="N84"/>
  <c r="N90" s="1"/>
  <c r="N108"/>
  <c r="N114" s="1"/>
  <c r="N116"/>
  <c r="N122" s="1"/>
  <c r="N132"/>
  <c r="N138" s="1"/>
  <c r="N140"/>
  <c r="N146" s="1"/>
  <c r="N156"/>
  <c r="N162" s="1"/>
  <c r="N164"/>
  <c r="N170" s="1"/>
  <c r="N4" i="25"/>
  <c r="N115"/>
  <c r="N20" i="27"/>
  <c r="N26" s="1"/>
  <c r="N28"/>
  <c r="N34" s="1"/>
  <c r="N36"/>
  <c r="N42" s="1"/>
  <c r="N59"/>
  <c r="N68"/>
  <c r="N74" s="1"/>
  <c r="N76"/>
  <c r="N82" s="1"/>
  <c r="M114"/>
  <c r="N44" i="21"/>
  <c r="N116"/>
  <c r="N122" s="1"/>
  <c r="M130"/>
  <c r="N140"/>
  <c r="N146" s="1"/>
  <c r="N156"/>
  <c r="N162" s="1"/>
  <c r="N164"/>
  <c r="F171"/>
  <c r="F51" i="22"/>
  <c r="N115"/>
  <c r="N132"/>
  <c r="N138" s="1"/>
  <c r="N140"/>
  <c r="N146" s="1"/>
  <c r="N12" i="23"/>
  <c r="N18" s="1"/>
  <c r="N140"/>
  <c r="N146" s="1"/>
  <c r="N148"/>
  <c r="N154" s="1"/>
  <c r="N172"/>
  <c r="N178" s="1"/>
  <c r="N180"/>
  <c r="N186" s="1"/>
  <c r="M234"/>
  <c r="N44" i="25"/>
  <c r="N76"/>
  <c r="N82" s="1"/>
  <c r="N84"/>
  <c r="N90" s="1"/>
  <c r="N164"/>
  <c r="N170" s="1"/>
  <c r="N188"/>
  <c r="F195"/>
  <c r="M202"/>
  <c r="N204"/>
  <c r="F211"/>
  <c r="M218"/>
  <c r="N220"/>
  <c r="F227"/>
  <c r="N236"/>
  <c r="M18" i="26"/>
  <c r="N44"/>
  <c r="N60"/>
  <c r="N66" s="1"/>
  <c r="N68"/>
  <c r="N74" s="1"/>
  <c r="M98"/>
  <c r="M106"/>
  <c r="N108"/>
  <c r="N114" s="1"/>
  <c r="N116"/>
  <c r="M130"/>
  <c r="M146"/>
  <c r="N148"/>
  <c r="M162"/>
  <c r="M170"/>
  <c r="N172"/>
  <c r="N178" s="1"/>
  <c r="N180"/>
  <c r="N186" s="1"/>
  <c r="N228"/>
  <c r="F235"/>
  <c r="N172" i="27"/>
  <c r="F179"/>
  <c r="M186"/>
  <c r="N188"/>
  <c r="F195"/>
  <c r="M202"/>
  <c r="N204"/>
  <c r="F211"/>
  <c r="M211"/>
  <c r="M98" i="22"/>
  <c r="M99"/>
  <c r="F19" i="21"/>
  <c r="N20"/>
  <c r="N28"/>
  <c r="F35"/>
  <c r="M35"/>
  <c r="F51"/>
  <c r="N60"/>
  <c r="F67"/>
  <c r="M67"/>
  <c r="N76"/>
  <c r="F83"/>
  <c r="M83"/>
  <c r="N99"/>
  <c r="F99"/>
  <c r="M99"/>
  <c r="F115"/>
  <c r="M115"/>
  <c r="N131"/>
  <c r="F131"/>
  <c r="M131"/>
  <c r="N147"/>
  <c r="F147"/>
  <c r="M147"/>
  <c r="N163"/>
  <c r="F163"/>
  <c r="M163"/>
  <c r="M179"/>
  <c r="M195"/>
  <c r="M211"/>
  <c r="N4" i="22"/>
  <c r="N20"/>
  <c r="F27"/>
  <c r="M27"/>
  <c r="N36"/>
  <c r="F43"/>
  <c r="M43"/>
  <c r="N52"/>
  <c r="F59"/>
  <c r="M59"/>
  <c r="N68"/>
  <c r="F75"/>
  <c r="M75"/>
  <c r="N84"/>
  <c r="F91"/>
  <c r="M91"/>
  <c r="J28" i="1"/>
  <c r="M43" i="21"/>
  <c r="M59"/>
  <c r="F75"/>
  <c r="M75"/>
  <c r="N91"/>
  <c r="F91"/>
  <c r="M91"/>
  <c r="N107"/>
  <c r="F107"/>
  <c r="M107"/>
  <c r="N123"/>
  <c r="F123"/>
  <c r="M123"/>
  <c r="F139"/>
  <c r="M139"/>
  <c r="F155"/>
  <c r="M155"/>
  <c r="M171"/>
  <c r="N180"/>
  <c r="F187"/>
  <c r="M187"/>
  <c r="N196"/>
  <c r="F203"/>
  <c r="M203"/>
  <c r="N212"/>
  <c r="F219"/>
  <c r="M219"/>
  <c r="M251"/>
  <c r="F251"/>
  <c r="M19" i="22"/>
  <c r="M35"/>
  <c r="M67"/>
  <c r="N107"/>
  <c r="F107"/>
  <c r="M107"/>
  <c r="N123"/>
  <c r="F123"/>
  <c r="M123"/>
  <c r="N139"/>
  <c r="F139"/>
  <c r="M139"/>
  <c r="F155"/>
  <c r="M155"/>
  <c r="F171"/>
  <c r="M171"/>
  <c r="N187"/>
  <c r="F187"/>
  <c r="M187"/>
  <c r="M203"/>
  <c r="M219"/>
  <c r="N19" i="23"/>
  <c r="F19"/>
  <c r="M19"/>
  <c r="N28"/>
  <c r="F35"/>
  <c r="M35"/>
  <c r="F51"/>
  <c r="N67"/>
  <c r="F67"/>
  <c r="M67"/>
  <c r="N76"/>
  <c r="F83"/>
  <c r="M83"/>
  <c r="N92"/>
  <c r="F99"/>
  <c r="M99"/>
  <c r="M115"/>
  <c r="N131"/>
  <c r="F131"/>
  <c r="M131"/>
  <c r="N147"/>
  <c r="F147"/>
  <c r="M147"/>
  <c r="M163"/>
  <c r="N179"/>
  <c r="F179"/>
  <c r="M179"/>
  <c r="N195"/>
  <c r="F195"/>
  <c r="M195"/>
  <c r="N204"/>
  <c r="F211"/>
  <c r="M211"/>
  <c r="N220"/>
  <c r="F227"/>
  <c r="M227"/>
  <c r="N228"/>
  <c r="F235"/>
  <c r="M235"/>
  <c r="N236"/>
  <c r="M251"/>
  <c r="F251"/>
  <c r="N4" i="24"/>
  <c r="M11"/>
  <c r="F27"/>
  <c r="M27"/>
  <c r="F43"/>
  <c r="M43"/>
  <c r="N59"/>
  <c r="F59"/>
  <c r="M59"/>
  <c r="N75"/>
  <c r="F75"/>
  <c r="M75"/>
  <c r="N91"/>
  <c r="F91"/>
  <c r="M91"/>
  <c r="N107"/>
  <c r="F107"/>
  <c r="M107"/>
  <c r="N123"/>
  <c r="F123"/>
  <c r="M123"/>
  <c r="N139"/>
  <c r="F139"/>
  <c r="M139"/>
  <c r="F155"/>
  <c r="M155"/>
  <c r="N171"/>
  <c r="F171"/>
  <c r="M171"/>
  <c r="N180"/>
  <c r="F187"/>
  <c r="M187"/>
  <c r="N196"/>
  <c r="F203"/>
  <c r="M203"/>
  <c r="N212"/>
  <c r="F219"/>
  <c r="M219"/>
  <c r="M251"/>
  <c r="F251"/>
  <c r="N19" i="25"/>
  <c r="F19"/>
  <c r="M19"/>
  <c r="N28"/>
  <c r="F35"/>
  <c r="M35"/>
  <c r="F51"/>
  <c r="N60"/>
  <c r="F67"/>
  <c r="M67"/>
  <c r="N83"/>
  <c r="F83"/>
  <c r="M83"/>
  <c r="N99"/>
  <c r="F99"/>
  <c r="M99"/>
  <c r="F115"/>
  <c r="M115"/>
  <c r="N124"/>
  <c r="F131"/>
  <c r="M131"/>
  <c r="N140"/>
  <c r="F147"/>
  <c r="M147"/>
  <c r="M162"/>
  <c r="M163"/>
  <c r="F99" i="22"/>
  <c r="F115"/>
  <c r="M115"/>
  <c r="M131"/>
  <c r="N147"/>
  <c r="F147"/>
  <c r="M147"/>
  <c r="N163"/>
  <c r="F163"/>
  <c r="M163"/>
  <c r="M179"/>
  <c r="N188"/>
  <c r="F195"/>
  <c r="M195"/>
  <c r="N204"/>
  <c r="F211"/>
  <c r="M211"/>
  <c r="N220"/>
  <c r="F227"/>
  <c r="M227"/>
  <c r="N228"/>
  <c r="F235"/>
  <c r="M235"/>
  <c r="N236"/>
  <c r="M243"/>
  <c r="N244"/>
  <c r="F251"/>
  <c r="M251"/>
  <c r="N4" i="23"/>
  <c r="M11"/>
  <c r="M27"/>
  <c r="F43"/>
  <c r="M43"/>
  <c r="N59"/>
  <c r="F59"/>
  <c r="M59"/>
  <c r="M75"/>
  <c r="M91"/>
  <c r="N107"/>
  <c r="F107"/>
  <c r="M107"/>
  <c r="N123"/>
  <c r="F123"/>
  <c r="M123"/>
  <c r="N139"/>
  <c r="F139"/>
  <c r="M139"/>
  <c r="N155"/>
  <c r="F155"/>
  <c r="M155"/>
  <c r="N164"/>
  <c r="F171"/>
  <c r="M171"/>
  <c r="N187"/>
  <c r="F187"/>
  <c r="M187"/>
  <c r="F203"/>
  <c r="M203"/>
  <c r="M219"/>
  <c r="N19" i="24"/>
  <c r="F19"/>
  <c r="M19"/>
  <c r="N28"/>
  <c r="F35"/>
  <c r="M35"/>
  <c r="F51"/>
  <c r="N67"/>
  <c r="F67"/>
  <c r="M67"/>
  <c r="N83"/>
  <c r="F83"/>
  <c r="M83"/>
  <c r="N99"/>
  <c r="F99"/>
  <c r="M99"/>
  <c r="N115"/>
  <c r="F115"/>
  <c r="M115"/>
  <c r="N131"/>
  <c r="F131"/>
  <c r="M131"/>
  <c r="N147"/>
  <c r="F147"/>
  <c r="M147"/>
  <c r="N163"/>
  <c r="F163"/>
  <c r="M163"/>
  <c r="M179"/>
  <c r="M195"/>
  <c r="M211"/>
  <c r="M11" i="25"/>
  <c r="M27"/>
  <c r="N43"/>
  <c r="F43"/>
  <c r="M43"/>
  <c r="M59"/>
  <c r="N75"/>
  <c r="F75"/>
  <c r="M75"/>
  <c r="N91"/>
  <c r="F91"/>
  <c r="M91"/>
  <c r="N107"/>
  <c r="F107"/>
  <c r="M107"/>
  <c r="M123"/>
  <c r="M139"/>
  <c r="M155"/>
  <c r="F163"/>
  <c r="N179"/>
  <c r="F179"/>
  <c r="M179"/>
  <c r="M195"/>
  <c r="M211"/>
  <c r="M227"/>
  <c r="M235"/>
  <c r="M243"/>
  <c r="N19" i="26"/>
  <c r="F19"/>
  <c r="M19"/>
  <c r="N28"/>
  <c r="F35"/>
  <c r="M35"/>
  <c r="F51"/>
  <c r="N67"/>
  <c r="F67"/>
  <c r="M67"/>
  <c r="N83"/>
  <c r="F83"/>
  <c r="M83"/>
  <c r="N99"/>
  <c r="F99"/>
  <c r="M99"/>
  <c r="N115"/>
  <c r="F115"/>
  <c r="M115"/>
  <c r="N131"/>
  <c r="F131"/>
  <c r="M131"/>
  <c r="N147"/>
  <c r="F147"/>
  <c r="M147"/>
  <c r="N163"/>
  <c r="F163"/>
  <c r="M163"/>
  <c r="N179"/>
  <c r="F179"/>
  <c r="M179"/>
  <c r="M195"/>
  <c r="M211"/>
  <c r="M227"/>
  <c r="M235"/>
  <c r="M243"/>
  <c r="N4" i="27"/>
  <c r="M11"/>
  <c r="N27"/>
  <c r="F27"/>
  <c r="M27"/>
  <c r="N43"/>
  <c r="F43"/>
  <c r="M43"/>
  <c r="F59"/>
  <c r="M59"/>
  <c r="N75"/>
  <c r="F75"/>
  <c r="M75"/>
  <c r="N91"/>
  <c r="F91"/>
  <c r="M91"/>
  <c r="N107"/>
  <c r="F107"/>
  <c r="M107"/>
  <c r="N123"/>
  <c r="F123"/>
  <c r="M123"/>
  <c r="N139"/>
  <c r="F139"/>
  <c r="M139"/>
  <c r="N155"/>
  <c r="F155"/>
  <c r="M155"/>
  <c r="N164"/>
  <c r="F171"/>
  <c r="M171"/>
  <c r="N180"/>
  <c r="F187"/>
  <c r="M187"/>
  <c r="N196"/>
  <c r="F203"/>
  <c r="M203"/>
  <c r="N212"/>
  <c r="F219"/>
  <c r="M219"/>
  <c r="M251"/>
  <c r="F251"/>
  <c r="N171" i="25"/>
  <c r="F171"/>
  <c r="M171"/>
  <c r="N187"/>
  <c r="F187"/>
  <c r="M187"/>
  <c r="N196"/>
  <c r="F203"/>
  <c r="M203"/>
  <c r="N212"/>
  <c r="F219"/>
  <c r="M219"/>
  <c r="M251"/>
  <c r="F251"/>
  <c r="N4" i="26"/>
  <c r="M11"/>
  <c r="M27"/>
  <c r="M43"/>
  <c r="M59"/>
  <c r="N75"/>
  <c r="F75"/>
  <c r="M75"/>
  <c r="N91"/>
  <c r="F91"/>
  <c r="M91"/>
  <c r="N107"/>
  <c r="F107"/>
  <c r="M107"/>
  <c r="F123"/>
  <c r="M123"/>
  <c r="N139"/>
  <c r="F139"/>
  <c r="M139"/>
  <c r="F155"/>
  <c r="M155"/>
  <c r="N171"/>
  <c r="F171"/>
  <c r="M171"/>
  <c r="N187"/>
  <c r="F187"/>
  <c r="M187"/>
  <c r="N196"/>
  <c r="F203"/>
  <c r="M203"/>
  <c r="N212"/>
  <c r="F219"/>
  <c r="M219"/>
  <c r="M251"/>
  <c r="F251"/>
  <c r="N19" i="27"/>
  <c r="F19"/>
  <c r="M19"/>
  <c r="N35"/>
  <c r="F35"/>
  <c r="M35"/>
  <c r="F51"/>
  <c r="N67"/>
  <c r="F67"/>
  <c r="M67"/>
  <c r="N83"/>
  <c r="F83"/>
  <c r="M83"/>
  <c r="N99"/>
  <c r="F99"/>
  <c r="M99"/>
  <c r="N108"/>
  <c r="F115"/>
  <c r="M115"/>
  <c r="F131"/>
  <c r="M131"/>
  <c r="N147"/>
  <c r="F147"/>
  <c r="M147"/>
  <c r="M163"/>
  <c r="M179"/>
  <c r="M195"/>
  <c r="J32" i="1"/>
  <c r="E254" i="27"/>
  <c r="P24" i="1" s="1"/>
  <c r="N7" i="27"/>
  <c r="N11" s="1"/>
  <c r="M250"/>
  <c r="M253" s="1"/>
  <c r="F11"/>
  <c r="N244"/>
  <c r="E254" i="26"/>
  <c r="O24" i="1" s="1"/>
  <c r="N7" i="26"/>
  <c r="N11" s="1"/>
  <c r="M250"/>
  <c r="M253" s="1"/>
  <c r="F11"/>
  <c r="F254" s="1"/>
  <c r="O27" i="1" s="1"/>
  <c r="N244" i="26"/>
  <c r="E254" i="25"/>
  <c r="N24" i="1" s="1"/>
  <c r="N7" i="25"/>
  <c r="N11" s="1"/>
  <c r="M250"/>
  <c r="M253" s="1"/>
  <c r="F11"/>
  <c r="F254" s="1"/>
  <c r="N27" i="1" s="1"/>
  <c r="N244" i="25"/>
  <c r="E254" i="24"/>
  <c r="M24" i="1" s="1"/>
  <c r="F254" i="24"/>
  <c r="M27" i="1" s="1"/>
  <c r="N7" i="24"/>
  <c r="N11" s="1"/>
  <c r="M250"/>
  <c r="M253" s="1"/>
  <c r="F11"/>
  <c r="N244"/>
  <c r="E254" i="23"/>
  <c r="L24" i="1" s="1"/>
  <c r="N7" i="23"/>
  <c r="N11" s="1"/>
  <c r="M242"/>
  <c r="M250"/>
  <c r="M253" s="1"/>
  <c r="F11"/>
  <c r="F254" s="1"/>
  <c r="L27" i="1" s="1"/>
  <c r="N244" i="23"/>
  <c r="F11" i="22"/>
  <c r="M11"/>
  <c r="F27" i="21"/>
  <c r="M27"/>
  <c r="M19"/>
  <c r="M11"/>
  <c r="M10"/>
  <c r="E254"/>
  <c r="J24" i="1" s="1"/>
  <c r="N7" i="21"/>
  <c r="N11" s="1"/>
  <c r="M250"/>
  <c r="M253" s="1"/>
  <c r="F11"/>
  <c r="N244"/>
  <c r="E82" i="20"/>
  <c r="L243"/>
  <c r="L235"/>
  <c r="L227"/>
  <c r="L219"/>
  <c r="L211"/>
  <c r="L203"/>
  <c r="L195"/>
  <c r="L187"/>
  <c r="L179"/>
  <c r="L171"/>
  <c r="L163"/>
  <c r="L155"/>
  <c r="L147"/>
  <c r="L139"/>
  <c r="L131"/>
  <c r="L123"/>
  <c r="L115"/>
  <c r="L107"/>
  <c r="L99"/>
  <c r="L91"/>
  <c r="L83"/>
  <c r="L75"/>
  <c r="L67"/>
  <c r="L59"/>
  <c r="L51"/>
  <c r="L43"/>
  <c r="L35"/>
  <c r="L27"/>
  <c r="L19"/>
  <c r="L11"/>
  <c r="K18"/>
  <c r="J18"/>
  <c r="I18"/>
  <c r="H18"/>
  <c r="G18"/>
  <c r="F18"/>
  <c r="E18"/>
  <c r="D18"/>
  <c r="M249"/>
  <c r="N249" s="1"/>
  <c r="M248"/>
  <c r="M247"/>
  <c r="M246"/>
  <c r="M245"/>
  <c r="M244"/>
  <c r="M241"/>
  <c r="M240"/>
  <c r="M239"/>
  <c r="M238"/>
  <c r="M237"/>
  <c r="M236"/>
  <c r="M233"/>
  <c r="N233" s="1"/>
  <c r="M232"/>
  <c r="N232" s="1"/>
  <c r="M231"/>
  <c r="N231" s="1"/>
  <c r="M230"/>
  <c r="N230" s="1"/>
  <c r="M229"/>
  <c r="N229" s="1"/>
  <c r="M228"/>
  <c r="N228" s="1"/>
  <c r="M225"/>
  <c r="N225" s="1"/>
  <c r="M224"/>
  <c r="N224" s="1"/>
  <c r="M223"/>
  <c r="N223" s="1"/>
  <c r="M222"/>
  <c r="N222" s="1"/>
  <c r="M221"/>
  <c r="N221" s="1"/>
  <c r="M220"/>
  <c r="N220" s="1"/>
  <c r="M217"/>
  <c r="M216"/>
  <c r="N216" s="1"/>
  <c r="M215"/>
  <c r="M214"/>
  <c r="M213"/>
  <c r="M212"/>
  <c r="M209"/>
  <c r="N209" s="1"/>
  <c r="M208"/>
  <c r="N208" s="1"/>
  <c r="M207"/>
  <c r="M206"/>
  <c r="N206" s="1"/>
  <c r="M205"/>
  <c r="N205" s="1"/>
  <c r="M204"/>
  <c r="M201"/>
  <c r="N201" s="1"/>
  <c r="M200"/>
  <c r="N200" s="1"/>
  <c r="M199"/>
  <c r="N199" s="1"/>
  <c r="M198"/>
  <c r="N198" s="1"/>
  <c r="M197"/>
  <c r="N197" s="1"/>
  <c r="M196"/>
  <c r="M193"/>
  <c r="N193" s="1"/>
  <c r="M192"/>
  <c r="M191"/>
  <c r="M190"/>
  <c r="M189"/>
  <c r="N189" s="1"/>
  <c r="M188"/>
  <c r="M185"/>
  <c r="N185" s="1"/>
  <c r="M184"/>
  <c r="N184" s="1"/>
  <c r="M183"/>
  <c r="N183" s="1"/>
  <c r="M182"/>
  <c r="N182" s="1"/>
  <c r="M181"/>
  <c r="N181" s="1"/>
  <c r="M180"/>
  <c r="N180" s="1"/>
  <c r="M177"/>
  <c r="N177" s="1"/>
  <c r="M176"/>
  <c r="N176" s="1"/>
  <c r="M175"/>
  <c r="M174"/>
  <c r="M173"/>
  <c r="M172"/>
  <c r="M169"/>
  <c r="N169" s="1"/>
  <c r="M168"/>
  <c r="N168" s="1"/>
  <c r="M167"/>
  <c r="N167" s="1"/>
  <c r="M166"/>
  <c r="N166" s="1"/>
  <c r="M165"/>
  <c r="M164"/>
  <c r="M161"/>
  <c r="M160"/>
  <c r="M159"/>
  <c r="M158"/>
  <c r="M157"/>
  <c r="M156"/>
  <c r="M153"/>
  <c r="N153" s="1"/>
  <c r="M152"/>
  <c r="N152" s="1"/>
  <c r="M151"/>
  <c r="N151" s="1"/>
  <c r="M150"/>
  <c r="N150" s="1"/>
  <c r="M149"/>
  <c r="N149" s="1"/>
  <c r="M148"/>
  <c r="M145"/>
  <c r="M144"/>
  <c r="N144" s="1"/>
  <c r="M143"/>
  <c r="N143" s="1"/>
  <c r="M142"/>
  <c r="N142" s="1"/>
  <c r="M141"/>
  <c r="M140"/>
  <c r="M137"/>
  <c r="N137" s="1"/>
  <c r="M136"/>
  <c r="N136" s="1"/>
  <c r="M135"/>
  <c r="N135" s="1"/>
  <c r="M134"/>
  <c r="M133"/>
  <c r="N133" s="1"/>
  <c r="M132"/>
  <c r="M129"/>
  <c r="M128"/>
  <c r="M127"/>
  <c r="M126"/>
  <c r="M125"/>
  <c r="M124"/>
  <c r="M121"/>
  <c r="N121" s="1"/>
  <c r="M120"/>
  <c r="N120" s="1"/>
  <c r="M119"/>
  <c r="N119" s="1"/>
  <c r="M118"/>
  <c r="N118" s="1"/>
  <c r="M117"/>
  <c r="N117" s="1"/>
  <c r="M116"/>
  <c r="M113"/>
  <c r="N113" s="1"/>
  <c r="M112"/>
  <c r="N112" s="1"/>
  <c r="M111"/>
  <c r="N111" s="1"/>
  <c r="M110"/>
  <c r="N110" s="1"/>
  <c r="M109"/>
  <c r="N109" s="1"/>
  <c r="M108"/>
  <c r="M105"/>
  <c r="M104"/>
  <c r="M103"/>
  <c r="M102"/>
  <c r="M101"/>
  <c r="M100"/>
  <c r="M97"/>
  <c r="N97" s="1"/>
  <c r="M96"/>
  <c r="N96" s="1"/>
  <c r="M95"/>
  <c r="M94"/>
  <c r="N94" s="1"/>
  <c r="M93"/>
  <c r="N93" s="1"/>
  <c r="M92"/>
  <c r="M89"/>
  <c r="N89" s="1"/>
  <c r="M88"/>
  <c r="N88" s="1"/>
  <c r="M87"/>
  <c r="N87" s="1"/>
  <c r="M86"/>
  <c r="N86" s="1"/>
  <c r="M85"/>
  <c r="N85" s="1"/>
  <c r="M84"/>
  <c r="N84" s="1"/>
  <c r="M81"/>
  <c r="N81" s="1"/>
  <c r="M80"/>
  <c r="N80" s="1"/>
  <c r="M79"/>
  <c r="M78"/>
  <c r="M77"/>
  <c r="N77" s="1"/>
  <c r="M76"/>
  <c r="N76" s="1"/>
  <c r="M73"/>
  <c r="N73" s="1"/>
  <c r="M72"/>
  <c r="N72" s="1"/>
  <c r="M71"/>
  <c r="N71" s="1"/>
  <c r="M70"/>
  <c r="N70" s="1"/>
  <c r="M69"/>
  <c r="N69" s="1"/>
  <c r="M68"/>
  <c r="N68" s="1"/>
  <c r="M65"/>
  <c r="N65" s="1"/>
  <c r="M64"/>
  <c r="N64" s="1"/>
  <c r="M63"/>
  <c r="N63" s="1"/>
  <c r="M62"/>
  <c r="M61"/>
  <c r="M60"/>
  <c r="M57"/>
  <c r="N57" s="1"/>
  <c r="M56"/>
  <c r="N56" s="1"/>
  <c r="M55"/>
  <c r="N55" s="1"/>
  <c r="M54"/>
  <c r="N54" s="1"/>
  <c r="M53"/>
  <c r="N53" s="1"/>
  <c r="M52"/>
  <c r="N52" s="1"/>
  <c r="M49"/>
  <c r="N49" s="1"/>
  <c r="M48"/>
  <c r="N48" s="1"/>
  <c r="M47"/>
  <c r="M46"/>
  <c r="M45"/>
  <c r="M44"/>
  <c r="M41"/>
  <c r="N41" s="1"/>
  <c r="M40"/>
  <c r="N40" s="1"/>
  <c r="M39"/>
  <c r="N39" s="1"/>
  <c r="M38"/>
  <c r="N38" s="1"/>
  <c r="M37"/>
  <c r="N37" s="1"/>
  <c r="M36"/>
  <c r="M33"/>
  <c r="M32"/>
  <c r="M31"/>
  <c r="M30"/>
  <c r="M29"/>
  <c r="M28"/>
  <c r="M25"/>
  <c r="N25" s="1"/>
  <c r="M24"/>
  <c r="N24" s="1"/>
  <c r="M23"/>
  <c r="N23" s="1"/>
  <c r="M22"/>
  <c r="N22" s="1"/>
  <c r="M21"/>
  <c r="N21" s="1"/>
  <c r="M20"/>
  <c r="M17"/>
  <c r="N17" s="1"/>
  <c r="M16"/>
  <c r="N16" s="1"/>
  <c r="M15"/>
  <c r="M14"/>
  <c r="N14" s="1"/>
  <c r="M13"/>
  <c r="N13" s="1"/>
  <c r="M12"/>
  <c r="M9"/>
  <c r="N9" s="1"/>
  <c r="M8"/>
  <c r="N8" s="1"/>
  <c r="M7"/>
  <c r="N7" s="1"/>
  <c r="M6"/>
  <c r="N6" s="1"/>
  <c r="M5"/>
  <c r="N5" s="1"/>
  <c r="M4"/>
  <c r="N4" s="1"/>
  <c r="M249" i="19"/>
  <c r="M248"/>
  <c r="N248" s="1"/>
  <c r="M247"/>
  <c r="N247" s="1"/>
  <c r="M246"/>
  <c r="M245"/>
  <c r="N245" s="1"/>
  <c r="M244"/>
  <c r="N244" s="1"/>
  <c r="M241"/>
  <c r="N241" s="1"/>
  <c r="M240"/>
  <c r="N240" s="1"/>
  <c r="M239"/>
  <c r="N239" s="1"/>
  <c r="M238"/>
  <c r="M237"/>
  <c r="N237" s="1"/>
  <c r="M236"/>
  <c r="N236" s="1"/>
  <c r="M233"/>
  <c r="N233" s="1"/>
  <c r="M232"/>
  <c r="N232" s="1"/>
  <c r="M231"/>
  <c r="N231" s="1"/>
  <c r="M230"/>
  <c r="N230" s="1"/>
  <c r="M229"/>
  <c r="N229" s="1"/>
  <c r="M228"/>
  <c r="N228" s="1"/>
  <c r="M225"/>
  <c r="N225" s="1"/>
  <c r="M224"/>
  <c r="N224" s="1"/>
  <c r="M223"/>
  <c r="M222"/>
  <c r="M221"/>
  <c r="M220"/>
  <c r="M217"/>
  <c r="M216"/>
  <c r="N216" s="1"/>
  <c r="M215"/>
  <c r="N215" s="1"/>
  <c r="M214"/>
  <c r="N214" s="1"/>
  <c r="M213"/>
  <c r="N213" s="1"/>
  <c r="M212"/>
  <c r="N212" s="1"/>
  <c r="M209"/>
  <c r="N209" s="1"/>
  <c r="M208"/>
  <c r="N208" s="1"/>
  <c r="M207"/>
  <c r="N207" s="1"/>
  <c r="M206"/>
  <c r="N206" s="1"/>
  <c r="M205"/>
  <c r="N205" s="1"/>
  <c r="M204"/>
  <c r="N204" s="1"/>
  <c r="M201"/>
  <c r="N201" s="1"/>
  <c r="M200"/>
  <c r="M199"/>
  <c r="N199" s="1"/>
  <c r="M198"/>
  <c r="N198" s="1"/>
  <c r="M197"/>
  <c r="N197" s="1"/>
  <c r="M196"/>
  <c r="M193"/>
  <c r="N193" s="1"/>
  <c r="M192"/>
  <c r="N192" s="1"/>
  <c r="M191"/>
  <c r="N191" s="1"/>
  <c r="M190"/>
  <c r="N190" s="1"/>
  <c r="M189"/>
  <c r="N189" s="1"/>
  <c r="M188"/>
  <c r="N188" s="1"/>
  <c r="M185"/>
  <c r="N185" s="1"/>
  <c r="M184"/>
  <c r="N184" s="1"/>
  <c r="M183"/>
  <c r="N183" s="1"/>
  <c r="M182"/>
  <c r="N182" s="1"/>
  <c r="M181"/>
  <c r="N181" s="1"/>
  <c r="M180"/>
  <c r="M177"/>
  <c r="N177" s="1"/>
  <c r="M176"/>
  <c r="N176" s="1"/>
  <c r="M175"/>
  <c r="M174"/>
  <c r="M173"/>
  <c r="N173" s="1"/>
  <c r="M172"/>
  <c r="N172" s="1"/>
  <c r="M169"/>
  <c r="N169" s="1"/>
  <c r="M168"/>
  <c r="N168" s="1"/>
  <c r="M167"/>
  <c r="N167" s="1"/>
  <c r="M166"/>
  <c r="N166" s="1"/>
  <c r="M165"/>
  <c r="N165" s="1"/>
  <c r="M164"/>
  <c r="N164" s="1"/>
  <c r="M161"/>
  <c r="N161" s="1"/>
  <c r="M160"/>
  <c r="N160" s="1"/>
  <c r="M159"/>
  <c r="M158"/>
  <c r="M157"/>
  <c r="M156"/>
  <c r="M153"/>
  <c r="N153" s="1"/>
  <c r="M152"/>
  <c r="N152" s="1"/>
  <c r="M151"/>
  <c r="N151" s="1"/>
  <c r="M150"/>
  <c r="N150" s="1"/>
  <c r="M149"/>
  <c r="N149" s="1"/>
  <c r="M148"/>
  <c r="N148" s="1"/>
  <c r="M145"/>
  <c r="M144"/>
  <c r="M143"/>
  <c r="M142"/>
  <c r="M141"/>
  <c r="M140"/>
  <c r="M137"/>
  <c r="N137" s="1"/>
  <c r="M136"/>
  <c r="N136" s="1"/>
  <c r="M135"/>
  <c r="N135" s="1"/>
  <c r="M134"/>
  <c r="N134" s="1"/>
  <c r="M133"/>
  <c r="N133" s="1"/>
  <c r="M132"/>
  <c r="M129"/>
  <c r="M128"/>
  <c r="N128" s="1"/>
  <c r="M127"/>
  <c r="N127" s="1"/>
  <c r="M126"/>
  <c r="N126" s="1"/>
  <c r="M125"/>
  <c r="N125" s="1"/>
  <c r="M124"/>
  <c r="M121"/>
  <c r="N121" s="1"/>
  <c r="M120"/>
  <c r="N120" s="1"/>
  <c r="M119"/>
  <c r="N119" s="1"/>
  <c r="M118"/>
  <c r="N118" s="1"/>
  <c r="M117"/>
  <c r="M116"/>
  <c r="N116" s="1"/>
  <c r="M113"/>
  <c r="N113" s="1"/>
  <c r="M112"/>
  <c r="N112" s="1"/>
  <c r="M111"/>
  <c r="N111" s="1"/>
  <c r="M110"/>
  <c r="N110" s="1"/>
  <c r="M109"/>
  <c r="N109" s="1"/>
  <c r="M108"/>
  <c r="N108" s="1"/>
  <c r="N114" s="1"/>
  <c r="M105"/>
  <c r="N105" s="1"/>
  <c r="M104"/>
  <c r="N104" s="1"/>
  <c r="M103"/>
  <c r="N103" s="1"/>
  <c r="M102"/>
  <c r="N102" s="1"/>
  <c r="M101"/>
  <c r="M100"/>
  <c r="M97"/>
  <c r="N97" s="1"/>
  <c r="M96"/>
  <c r="N96" s="1"/>
  <c r="M95"/>
  <c r="N95" s="1"/>
  <c r="M94"/>
  <c r="N94" s="1"/>
  <c r="M93"/>
  <c r="N93" s="1"/>
  <c r="M92"/>
  <c r="M89"/>
  <c r="N89" s="1"/>
  <c r="M88"/>
  <c r="N88" s="1"/>
  <c r="M87"/>
  <c r="N87" s="1"/>
  <c r="M86"/>
  <c r="N86" s="1"/>
  <c r="M85"/>
  <c r="N85" s="1"/>
  <c r="M84"/>
  <c r="M81"/>
  <c r="N81" s="1"/>
  <c r="M80"/>
  <c r="N80" s="1"/>
  <c r="M79"/>
  <c r="N79" s="1"/>
  <c r="M78"/>
  <c r="N78" s="1"/>
  <c r="M77"/>
  <c r="N77" s="1"/>
  <c r="M76"/>
  <c r="N76" s="1"/>
  <c r="N82" s="1"/>
  <c r="M73"/>
  <c r="N73" s="1"/>
  <c r="M72"/>
  <c r="N72" s="1"/>
  <c r="M71"/>
  <c r="N71" s="1"/>
  <c r="M70"/>
  <c r="N70" s="1"/>
  <c r="M69"/>
  <c r="M68"/>
  <c r="M65"/>
  <c r="N65" s="1"/>
  <c r="M64"/>
  <c r="N64" s="1"/>
  <c r="M63"/>
  <c r="N63" s="1"/>
  <c r="M62"/>
  <c r="N62" s="1"/>
  <c r="M61"/>
  <c r="N61" s="1"/>
  <c r="M60"/>
  <c r="M57"/>
  <c r="N57" s="1"/>
  <c r="M56"/>
  <c r="N56" s="1"/>
  <c r="M55"/>
  <c r="N55" s="1"/>
  <c r="M54"/>
  <c r="N54" s="1"/>
  <c r="M53"/>
  <c r="M52"/>
  <c r="N52" s="1"/>
  <c r="M49"/>
  <c r="N49" s="1"/>
  <c r="M48"/>
  <c r="N48" s="1"/>
  <c r="M47"/>
  <c r="N47" s="1"/>
  <c r="M46"/>
  <c r="N46" s="1"/>
  <c r="M45"/>
  <c r="N45" s="1"/>
  <c r="M44"/>
  <c r="M51" s="1"/>
  <c r="M41"/>
  <c r="N41" s="1"/>
  <c r="M40"/>
  <c r="M39"/>
  <c r="N39" s="1"/>
  <c r="M38"/>
  <c r="N38" s="1"/>
  <c r="M37"/>
  <c r="N37" s="1"/>
  <c r="M36"/>
  <c r="N36" s="1"/>
  <c r="M33"/>
  <c r="N33" s="1"/>
  <c r="M32"/>
  <c r="N32" s="1"/>
  <c r="M31"/>
  <c r="N31" s="1"/>
  <c r="M30"/>
  <c r="N30" s="1"/>
  <c r="M29"/>
  <c r="N29" s="1"/>
  <c r="M28"/>
  <c r="M25"/>
  <c r="N25" s="1"/>
  <c r="M24"/>
  <c r="N24" s="1"/>
  <c r="M23"/>
  <c r="N23" s="1"/>
  <c r="M22"/>
  <c r="N22" s="1"/>
  <c r="M21"/>
  <c r="N21" s="1"/>
  <c r="M20"/>
  <c r="N20" s="1"/>
  <c r="M17"/>
  <c r="N17" s="1"/>
  <c r="M16"/>
  <c r="N16" s="1"/>
  <c r="M15"/>
  <c r="M14"/>
  <c r="N14" s="1"/>
  <c r="M13"/>
  <c r="N13" s="1"/>
  <c r="M12"/>
  <c r="M6"/>
  <c r="N6" s="1"/>
  <c r="M7"/>
  <c r="N7" s="1"/>
  <c r="M8"/>
  <c r="N8" s="1"/>
  <c r="M5"/>
  <c r="N5" s="1"/>
  <c r="M4"/>
  <c r="P251" i="20"/>
  <c r="O251"/>
  <c r="L251"/>
  <c r="E251"/>
  <c r="D251"/>
  <c r="K250"/>
  <c r="J250"/>
  <c r="I250"/>
  <c r="H250"/>
  <c r="G250"/>
  <c r="F250"/>
  <c r="E250"/>
  <c r="D250"/>
  <c r="N248"/>
  <c r="N247"/>
  <c r="N246"/>
  <c r="N245"/>
  <c r="N244"/>
  <c r="N250" s="1"/>
  <c r="P243"/>
  <c r="O243"/>
  <c r="E243"/>
  <c r="D243"/>
  <c r="K242"/>
  <c r="J242"/>
  <c r="I242"/>
  <c r="H242"/>
  <c r="G242"/>
  <c r="F242"/>
  <c r="F243" s="1"/>
  <c r="E242"/>
  <c r="D242"/>
  <c r="N241"/>
  <c r="N240"/>
  <c r="N239"/>
  <c r="N238"/>
  <c r="N237"/>
  <c r="N236"/>
  <c r="N242" s="1"/>
  <c r="P235"/>
  <c r="O235"/>
  <c r="E235"/>
  <c r="D235"/>
  <c r="K234"/>
  <c r="J234"/>
  <c r="I234"/>
  <c r="H234"/>
  <c r="G234"/>
  <c r="F234"/>
  <c r="F235" s="1"/>
  <c r="E234"/>
  <c r="D234"/>
  <c r="P227"/>
  <c r="O227"/>
  <c r="E227"/>
  <c r="K226"/>
  <c r="J226"/>
  <c r="I226"/>
  <c r="H226"/>
  <c r="G226"/>
  <c r="F226"/>
  <c r="E226"/>
  <c r="D226"/>
  <c r="P219"/>
  <c r="O219"/>
  <c r="E219"/>
  <c r="D219"/>
  <c r="K218"/>
  <c r="J218"/>
  <c r="I218"/>
  <c r="H218"/>
  <c r="G218"/>
  <c r="F218"/>
  <c r="E218"/>
  <c r="D218"/>
  <c r="N217"/>
  <c r="N215"/>
  <c r="N214"/>
  <c r="N213"/>
  <c r="N212"/>
  <c r="N218" s="1"/>
  <c r="P211"/>
  <c r="O211"/>
  <c r="E211"/>
  <c r="D211"/>
  <c r="K210"/>
  <c r="J210"/>
  <c r="I210"/>
  <c r="H210"/>
  <c r="G210"/>
  <c r="F210"/>
  <c r="E210"/>
  <c r="D210"/>
  <c r="P203"/>
  <c r="O203"/>
  <c r="E203"/>
  <c r="D203"/>
  <c r="K202"/>
  <c r="J202"/>
  <c r="I202"/>
  <c r="H202"/>
  <c r="G202"/>
  <c r="F202"/>
  <c r="E202"/>
  <c r="D202"/>
  <c r="N196"/>
  <c r="N202" s="1"/>
  <c r="P195"/>
  <c r="O195"/>
  <c r="E195"/>
  <c r="D195"/>
  <c r="K194"/>
  <c r="J194"/>
  <c r="I194"/>
  <c r="H194"/>
  <c r="G194"/>
  <c r="F194"/>
  <c r="E194"/>
  <c r="D194"/>
  <c r="N192"/>
  <c r="N191"/>
  <c r="N190"/>
  <c r="N188"/>
  <c r="P187"/>
  <c r="O187"/>
  <c r="E187"/>
  <c r="D187"/>
  <c r="K186"/>
  <c r="J186"/>
  <c r="I186"/>
  <c r="H186"/>
  <c r="G186"/>
  <c r="F186"/>
  <c r="E186"/>
  <c r="D186"/>
  <c r="P179"/>
  <c r="O179"/>
  <c r="E179"/>
  <c r="D179"/>
  <c r="K178"/>
  <c r="J178"/>
  <c r="I178"/>
  <c r="H178"/>
  <c r="G178"/>
  <c r="F178"/>
  <c r="E178"/>
  <c r="D178"/>
  <c r="N175"/>
  <c r="N174"/>
  <c r="N173"/>
  <c r="N172"/>
  <c r="P171"/>
  <c r="O171"/>
  <c r="E171"/>
  <c r="D171"/>
  <c r="K170"/>
  <c r="J170"/>
  <c r="I170"/>
  <c r="H170"/>
  <c r="G170"/>
  <c r="F170"/>
  <c r="E170"/>
  <c r="D170"/>
  <c r="N165"/>
  <c r="N164"/>
  <c r="P163"/>
  <c r="O163"/>
  <c r="E163"/>
  <c r="D163"/>
  <c r="K162"/>
  <c r="J162"/>
  <c r="I162"/>
  <c r="H162"/>
  <c r="G162"/>
  <c r="F162"/>
  <c r="E162"/>
  <c r="D162"/>
  <c r="N161"/>
  <c r="N160"/>
  <c r="N159"/>
  <c r="N158"/>
  <c r="N157"/>
  <c r="N156"/>
  <c r="P155"/>
  <c r="O155"/>
  <c r="E155"/>
  <c r="D155"/>
  <c r="K154"/>
  <c r="J154"/>
  <c r="I154"/>
  <c r="H154"/>
  <c r="G154"/>
  <c r="F154"/>
  <c r="E154"/>
  <c r="D154"/>
  <c r="P147"/>
  <c r="O147"/>
  <c r="E147"/>
  <c r="D147"/>
  <c r="K146"/>
  <c r="J146"/>
  <c r="I146"/>
  <c r="H146"/>
  <c r="G146"/>
  <c r="F146"/>
  <c r="E146"/>
  <c r="D146"/>
  <c r="N145"/>
  <c r="N141"/>
  <c r="N140"/>
  <c r="N146" s="1"/>
  <c r="P139"/>
  <c r="O139"/>
  <c r="E139"/>
  <c r="D139"/>
  <c r="K138"/>
  <c r="J138"/>
  <c r="I138"/>
  <c r="H138"/>
  <c r="G138"/>
  <c r="F138"/>
  <c r="E138"/>
  <c r="D138"/>
  <c r="N134"/>
  <c r="P131"/>
  <c r="O131"/>
  <c r="E131"/>
  <c r="D131"/>
  <c r="K130"/>
  <c r="J130"/>
  <c r="I130"/>
  <c r="H130"/>
  <c r="G130"/>
  <c r="F130"/>
  <c r="E130"/>
  <c r="D130"/>
  <c r="N129"/>
  <c r="N128"/>
  <c r="N127"/>
  <c r="N126"/>
  <c r="N125"/>
  <c r="N124"/>
  <c r="P123"/>
  <c r="O123"/>
  <c r="E123"/>
  <c r="D123"/>
  <c r="K122"/>
  <c r="J122"/>
  <c r="I122"/>
  <c r="H122"/>
  <c r="G122"/>
  <c r="F122"/>
  <c r="E122"/>
  <c r="D122"/>
  <c r="N116"/>
  <c r="N122" s="1"/>
  <c r="P115"/>
  <c r="O115"/>
  <c r="E115"/>
  <c r="D115"/>
  <c r="K114"/>
  <c r="J114"/>
  <c r="I114"/>
  <c r="H114"/>
  <c r="G114"/>
  <c r="F114"/>
  <c r="E114"/>
  <c r="D114"/>
  <c r="P107"/>
  <c r="O107"/>
  <c r="E107"/>
  <c r="D107"/>
  <c r="K106"/>
  <c r="J106"/>
  <c r="I106"/>
  <c r="H106"/>
  <c r="G106"/>
  <c r="F106"/>
  <c r="E106"/>
  <c r="D106"/>
  <c r="N105"/>
  <c r="N104"/>
  <c r="N103"/>
  <c r="N102"/>
  <c r="N101"/>
  <c r="N100"/>
  <c r="N106" s="1"/>
  <c r="P99"/>
  <c r="O99"/>
  <c r="E99"/>
  <c r="D99"/>
  <c r="K98"/>
  <c r="J98"/>
  <c r="I98"/>
  <c r="H98"/>
  <c r="G98"/>
  <c r="F98"/>
  <c r="E98"/>
  <c r="D98"/>
  <c r="P91"/>
  <c r="O91"/>
  <c r="E91"/>
  <c r="D91"/>
  <c r="K90"/>
  <c r="J90"/>
  <c r="I90"/>
  <c r="H90"/>
  <c r="G90"/>
  <c r="F90"/>
  <c r="E90"/>
  <c r="D90"/>
  <c r="P83"/>
  <c r="O83"/>
  <c r="E83"/>
  <c r="D83"/>
  <c r="K82"/>
  <c r="J82"/>
  <c r="I82"/>
  <c r="H82"/>
  <c r="G82"/>
  <c r="F82"/>
  <c r="D82"/>
  <c r="N79"/>
  <c r="N78"/>
  <c r="P75"/>
  <c r="O75"/>
  <c r="E75"/>
  <c r="D75"/>
  <c r="K74"/>
  <c r="J74"/>
  <c r="I74"/>
  <c r="H74"/>
  <c r="G74"/>
  <c r="F74"/>
  <c r="E74"/>
  <c r="D74"/>
  <c r="P67"/>
  <c r="O67"/>
  <c r="E67"/>
  <c r="D67"/>
  <c r="K66"/>
  <c r="J66"/>
  <c r="I66"/>
  <c r="H66"/>
  <c r="G66"/>
  <c r="F66"/>
  <c r="E66"/>
  <c r="D66"/>
  <c r="N62"/>
  <c r="N61"/>
  <c r="N60"/>
  <c r="N66" s="1"/>
  <c r="P59"/>
  <c r="O59"/>
  <c r="E59"/>
  <c r="D59"/>
  <c r="K58"/>
  <c r="J58"/>
  <c r="I58"/>
  <c r="H58"/>
  <c r="G58"/>
  <c r="F58"/>
  <c r="E58"/>
  <c r="D58"/>
  <c r="P51"/>
  <c r="O51"/>
  <c r="D51"/>
  <c r="K50"/>
  <c r="J50"/>
  <c r="I50"/>
  <c r="H50"/>
  <c r="G50"/>
  <c r="F50"/>
  <c r="E50"/>
  <c r="D50"/>
  <c r="N46"/>
  <c r="N45"/>
  <c r="N44"/>
  <c r="P43"/>
  <c r="O43"/>
  <c r="E43"/>
  <c r="D43"/>
  <c r="K42"/>
  <c r="J42"/>
  <c r="I42"/>
  <c r="H42"/>
  <c r="G42"/>
  <c r="F42"/>
  <c r="E42"/>
  <c r="D42"/>
  <c r="N36"/>
  <c r="N42" s="1"/>
  <c r="P35"/>
  <c r="O35"/>
  <c r="E35"/>
  <c r="D35"/>
  <c r="K34"/>
  <c r="J34"/>
  <c r="I34"/>
  <c r="H34"/>
  <c r="G34"/>
  <c r="F34"/>
  <c r="E34"/>
  <c r="D34"/>
  <c r="N33"/>
  <c r="N32"/>
  <c r="N31"/>
  <c r="N30"/>
  <c r="N29"/>
  <c r="N28"/>
  <c r="P27"/>
  <c r="O27"/>
  <c r="E27"/>
  <c r="D27"/>
  <c r="K26"/>
  <c r="J26"/>
  <c r="I26"/>
  <c r="H26"/>
  <c r="G26"/>
  <c r="F26"/>
  <c r="E26"/>
  <c r="D26"/>
  <c r="P19"/>
  <c r="O19"/>
  <c r="E19"/>
  <c r="D19"/>
  <c r="P11"/>
  <c r="O11"/>
  <c r="E11"/>
  <c r="D11"/>
  <c r="K10"/>
  <c r="J10"/>
  <c r="I10"/>
  <c r="H10"/>
  <c r="G10"/>
  <c r="F10"/>
  <c r="E10"/>
  <c r="D10"/>
  <c r="D253" s="1"/>
  <c r="B4"/>
  <c r="K250" i="19"/>
  <c r="J250"/>
  <c r="I250"/>
  <c r="H250"/>
  <c r="G250"/>
  <c r="F250"/>
  <c r="E250"/>
  <c r="D250"/>
  <c r="K242"/>
  <c r="J242"/>
  <c r="I242"/>
  <c r="H242"/>
  <c r="G242"/>
  <c r="F242"/>
  <c r="E242"/>
  <c r="D242"/>
  <c r="K234"/>
  <c r="J234"/>
  <c r="I234"/>
  <c r="H234"/>
  <c r="G234"/>
  <c r="F234"/>
  <c r="E234"/>
  <c r="D234"/>
  <c r="K226"/>
  <c r="J226"/>
  <c r="I226"/>
  <c r="H226"/>
  <c r="G226"/>
  <c r="F226"/>
  <c r="E226"/>
  <c r="D226"/>
  <c r="K218"/>
  <c r="J218"/>
  <c r="I218"/>
  <c r="H218"/>
  <c r="G218"/>
  <c r="F218"/>
  <c r="E218"/>
  <c r="D218"/>
  <c r="K210"/>
  <c r="J210"/>
  <c r="I210"/>
  <c r="H210"/>
  <c r="G210"/>
  <c r="F210"/>
  <c r="E210"/>
  <c r="D210"/>
  <c r="K202"/>
  <c r="J202"/>
  <c r="I202"/>
  <c r="H202"/>
  <c r="G202"/>
  <c r="F202"/>
  <c r="E202"/>
  <c r="D202"/>
  <c r="K194"/>
  <c r="J194"/>
  <c r="I194"/>
  <c r="H194"/>
  <c r="G194"/>
  <c r="F194"/>
  <c r="E194"/>
  <c r="D194"/>
  <c r="K186"/>
  <c r="J186"/>
  <c r="I186"/>
  <c r="H186"/>
  <c r="G186"/>
  <c r="F186"/>
  <c r="E186"/>
  <c r="D186"/>
  <c r="K178"/>
  <c r="J178"/>
  <c r="I178"/>
  <c r="H178"/>
  <c r="G178"/>
  <c r="F178"/>
  <c r="E178"/>
  <c r="D178"/>
  <c r="K170"/>
  <c r="J170"/>
  <c r="I170"/>
  <c r="H170"/>
  <c r="G170"/>
  <c r="F170"/>
  <c r="E170"/>
  <c r="D170"/>
  <c r="K162"/>
  <c r="J162"/>
  <c r="I162"/>
  <c r="H162"/>
  <c r="G162"/>
  <c r="F162"/>
  <c r="E162"/>
  <c r="D162"/>
  <c r="K154"/>
  <c r="J154"/>
  <c r="I154"/>
  <c r="H154"/>
  <c r="G154"/>
  <c r="F154"/>
  <c r="E154"/>
  <c r="D154"/>
  <c r="K146"/>
  <c r="J146"/>
  <c r="I146"/>
  <c r="H146"/>
  <c r="G146"/>
  <c r="F146"/>
  <c r="E146"/>
  <c r="D146"/>
  <c r="K138"/>
  <c r="J138"/>
  <c r="I138"/>
  <c r="H138"/>
  <c r="G138"/>
  <c r="F138"/>
  <c r="E138"/>
  <c r="D138"/>
  <c r="K130"/>
  <c r="J130"/>
  <c r="I130"/>
  <c r="H130"/>
  <c r="G130"/>
  <c r="F130"/>
  <c r="D130"/>
  <c r="K122"/>
  <c r="J122"/>
  <c r="I122"/>
  <c r="H122"/>
  <c r="G122"/>
  <c r="F122"/>
  <c r="E122"/>
  <c r="D122"/>
  <c r="K114"/>
  <c r="J114"/>
  <c r="I114"/>
  <c r="H114"/>
  <c r="G114"/>
  <c r="F114"/>
  <c r="E114"/>
  <c r="D114"/>
  <c r="K106"/>
  <c r="J106"/>
  <c r="I106"/>
  <c r="H106"/>
  <c r="G106"/>
  <c r="F106"/>
  <c r="E106"/>
  <c r="D106"/>
  <c r="K98"/>
  <c r="J98"/>
  <c r="I98"/>
  <c r="H98"/>
  <c r="G98"/>
  <c r="F98"/>
  <c r="E98"/>
  <c r="D98"/>
  <c r="K90"/>
  <c r="J90"/>
  <c r="I90"/>
  <c r="H90"/>
  <c r="G90"/>
  <c r="F90"/>
  <c r="E90"/>
  <c r="D90"/>
  <c r="K82"/>
  <c r="J82"/>
  <c r="I82"/>
  <c r="H82"/>
  <c r="G82"/>
  <c r="F82"/>
  <c r="E82"/>
  <c r="D82"/>
  <c r="K74"/>
  <c r="J74"/>
  <c r="I74"/>
  <c r="H74"/>
  <c r="G74"/>
  <c r="F74"/>
  <c r="E74"/>
  <c r="D74"/>
  <c r="K66"/>
  <c r="J66"/>
  <c r="I66"/>
  <c r="H66"/>
  <c r="G66"/>
  <c r="F66"/>
  <c r="E66"/>
  <c r="D66"/>
  <c r="K58"/>
  <c r="J58"/>
  <c r="I58"/>
  <c r="H58"/>
  <c r="G58"/>
  <c r="F58"/>
  <c r="E58"/>
  <c r="D58"/>
  <c r="K50"/>
  <c r="J50"/>
  <c r="I50"/>
  <c r="H50"/>
  <c r="G50"/>
  <c r="F50"/>
  <c r="E50"/>
  <c r="K42"/>
  <c r="J42"/>
  <c r="I42"/>
  <c r="H42"/>
  <c r="G42"/>
  <c r="F42"/>
  <c r="E42"/>
  <c r="D42"/>
  <c r="K34"/>
  <c r="J34"/>
  <c r="I34"/>
  <c r="H34"/>
  <c r="G34"/>
  <c r="F34"/>
  <c r="E34"/>
  <c r="D34"/>
  <c r="K26"/>
  <c r="J26"/>
  <c r="I26"/>
  <c r="H26"/>
  <c r="G26"/>
  <c r="F26"/>
  <c r="E26"/>
  <c r="D26"/>
  <c r="K18"/>
  <c r="J18"/>
  <c r="I18"/>
  <c r="H18"/>
  <c r="G18"/>
  <c r="F18"/>
  <c r="D18"/>
  <c r="K10"/>
  <c r="G10"/>
  <c r="H10"/>
  <c r="I10"/>
  <c r="J10"/>
  <c r="F10"/>
  <c r="D10"/>
  <c r="P251"/>
  <c r="O251"/>
  <c r="L251"/>
  <c r="E251"/>
  <c r="D251"/>
  <c r="P243"/>
  <c r="O243"/>
  <c r="L243"/>
  <c r="E243"/>
  <c r="D243"/>
  <c r="N238"/>
  <c r="P235"/>
  <c r="O235"/>
  <c r="L235"/>
  <c r="E235"/>
  <c r="D235"/>
  <c r="P227"/>
  <c r="O227"/>
  <c r="L227"/>
  <c r="E227"/>
  <c r="D227"/>
  <c r="N223"/>
  <c r="N222"/>
  <c r="N221"/>
  <c r="N220"/>
  <c r="P219"/>
  <c r="O219"/>
  <c r="L219"/>
  <c r="E219"/>
  <c r="D219"/>
  <c r="P211"/>
  <c r="O211"/>
  <c r="L211"/>
  <c r="E211"/>
  <c r="D211"/>
  <c r="P203"/>
  <c r="O203"/>
  <c r="L203"/>
  <c r="E203"/>
  <c r="D203"/>
  <c r="P195"/>
  <c r="O195"/>
  <c r="L195"/>
  <c r="E195"/>
  <c r="D195"/>
  <c r="P187"/>
  <c r="O187"/>
  <c r="L187"/>
  <c r="E187"/>
  <c r="D187"/>
  <c r="P179"/>
  <c r="O179"/>
  <c r="L179"/>
  <c r="E179"/>
  <c r="D179"/>
  <c r="N175"/>
  <c r="N174"/>
  <c r="P171"/>
  <c r="O171"/>
  <c r="L171"/>
  <c r="E171"/>
  <c r="D171"/>
  <c r="P163"/>
  <c r="O163"/>
  <c r="L163"/>
  <c r="E163"/>
  <c r="D163"/>
  <c r="N159"/>
  <c r="N158"/>
  <c r="N157"/>
  <c r="N156"/>
  <c r="P155"/>
  <c r="O155"/>
  <c r="L155"/>
  <c r="E155"/>
  <c r="D155"/>
  <c r="P147"/>
  <c r="O147"/>
  <c r="L147"/>
  <c r="E147"/>
  <c r="D147"/>
  <c r="N145"/>
  <c r="N144"/>
  <c r="N143"/>
  <c r="N142"/>
  <c r="N141"/>
  <c r="N140"/>
  <c r="P139"/>
  <c r="O139"/>
  <c r="L139"/>
  <c r="E139"/>
  <c r="D139"/>
  <c r="P131"/>
  <c r="O131"/>
  <c r="L131"/>
  <c r="E131"/>
  <c r="D131"/>
  <c r="P123"/>
  <c r="O123"/>
  <c r="L123"/>
  <c r="E123"/>
  <c r="D123"/>
  <c r="N117"/>
  <c r="P115"/>
  <c r="O115"/>
  <c r="L115"/>
  <c r="E115"/>
  <c r="D115"/>
  <c r="P107"/>
  <c r="O107"/>
  <c r="L107"/>
  <c r="E107"/>
  <c r="D107"/>
  <c r="N101"/>
  <c r="N100"/>
  <c r="P99"/>
  <c r="O99"/>
  <c r="L99"/>
  <c r="E99"/>
  <c r="D99"/>
  <c r="P91"/>
  <c r="O91"/>
  <c r="L91"/>
  <c r="E91"/>
  <c r="D91"/>
  <c r="P83"/>
  <c r="O83"/>
  <c r="L83"/>
  <c r="E83"/>
  <c r="D83"/>
  <c r="P75"/>
  <c r="O75"/>
  <c r="L75"/>
  <c r="E75"/>
  <c r="D75"/>
  <c r="N69"/>
  <c r="N68"/>
  <c r="P67"/>
  <c r="O67"/>
  <c r="L67"/>
  <c r="E67"/>
  <c r="D67"/>
  <c r="P59"/>
  <c r="O59"/>
  <c r="L59"/>
  <c r="E59"/>
  <c r="D59"/>
  <c r="N53"/>
  <c r="P51"/>
  <c r="O51"/>
  <c r="L51"/>
  <c r="P43"/>
  <c r="O43"/>
  <c r="L43"/>
  <c r="E43"/>
  <c r="D43"/>
  <c r="P35"/>
  <c r="O35"/>
  <c r="L35"/>
  <c r="E35"/>
  <c r="D35"/>
  <c r="P27"/>
  <c r="O27"/>
  <c r="L27"/>
  <c r="E27"/>
  <c r="D27"/>
  <c r="P19"/>
  <c r="O19"/>
  <c r="L19"/>
  <c r="D19"/>
  <c r="P11"/>
  <c r="O11"/>
  <c r="L11"/>
  <c r="D11"/>
  <c r="B4"/>
  <c r="P12" i="18"/>
  <c r="N28"/>
  <c r="N29"/>
  <c r="N18"/>
  <c r="N19"/>
  <c r="N9"/>
  <c r="H12" i="30"/>
  <c r="K12"/>
  <c r="H13" i="31"/>
  <c r="AH13" i="30"/>
  <c r="J12"/>
  <c r="J12" i="31"/>
  <c r="C11" i="1"/>
  <c r="Q12" i="30"/>
  <c r="M12"/>
  <c r="W12"/>
  <c r="P12"/>
  <c r="F12"/>
  <c r="AG12"/>
  <c r="AA12"/>
  <c r="T12"/>
  <c r="O12"/>
  <c r="N12" i="31"/>
  <c r="L12" i="30"/>
  <c r="L12" i="31"/>
  <c r="AF12" i="30"/>
  <c r="AB12"/>
  <c r="K12" i="31"/>
  <c r="O12"/>
  <c r="AD12" i="30"/>
  <c r="Z12"/>
  <c r="Y12"/>
  <c r="I12" i="31"/>
  <c r="D5" i="28"/>
  <c r="AC12" i="30"/>
  <c r="I12"/>
  <c r="D12"/>
  <c r="AH12"/>
  <c r="AG13"/>
  <c r="E12"/>
  <c r="U12"/>
  <c r="N12"/>
  <c r="G12"/>
  <c r="AE13"/>
  <c r="R12"/>
  <c r="B5" i="28"/>
  <c r="AD13" i="30"/>
  <c r="M12" i="31"/>
  <c r="AF13" i="30"/>
  <c r="S12"/>
  <c r="X12"/>
  <c r="V12"/>
  <c r="J34" i="1" l="1"/>
  <c r="V11"/>
  <c r="F243" i="19"/>
  <c r="N12"/>
  <c r="M19"/>
  <c r="N251" i="26"/>
  <c r="N250"/>
  <c r="N219"/>
  <c r="N218"/>
  <c r="N203" i="25"/>
  <c r="N202"/>
  <c r="N203" i="27"/>
  <c r="N202"/>
  <c r="N171"/>
  <c r="N170"/>
  <c r="N251" i="22"/>
  <c r="N250"/>
  <c r="N243"/>
  <c r="N242"/>
  <c r="N227"/>
  <c r="N226"/>
  <c r="N195"/>
  <c r="N194"/>
  <c r="N147" i="25"/>
  <c r="N146"/>
  <c r="N67"/>
  <c r="N66"/>
  <c r="N35"/>
  <c r="N34"/>
  <c r="N219" i="24"/>
  <c r="N218"/>
  <c r="N187"/>
  <c r="N186"/>
  <c r="N243" i="23"/>
  <c r="N242"/>
  <c r="N227"/>
  <c r="N226"/>
  <c r="N99"/>
  <c r="N98"/>
  <c r="N35"/>
  <c r="N34"/>
  <c r="N219" i="21"/>
  <c r="N218"/>
  <c r="N187"/>
  <c r="N186"/>
  <c r="N91" i="22"/>
  <c r="N90"/>
  <c r="N59"/>
  <c r="N58"/>
  <c r="N27"/>
  <c r="N26"/>
  <c r="N67" i="21"/>
  <c r="N66"/>
  <c r="N35"/>
  <c r="N34"/>
  <c r="N195" i="27"/>
  <c r="N194"/>
  <c r="N155" i="26"/>
  <c r="N154"/>
  <c r="N211" i="25"/>
  <c r="N210"/>
  <c r="N51" i="21"/>
  <c r="N50"/>
  <c r="N171" i="22"/>
  <c r="N170"/>
  <c r="N155"/>
  <c r="N154"/>
  <c r="N155" i="21"/>
  <c r="N154"/>
  <c r="N139"/>
  <c r="N138"/>
  <c r="N131" i="27"/>
  <c r="N130"/>
  <c r="N227" i="26"/>
  <c r="N226"/>
  <c r="N195"/>
  <c r="N194"/>
  <c r="N51" i="23"/>
  <c r="N50"/>
  <c r="N59" i="26"/>
  <c r="N58"/>
  <c r="N155" i="25"/>
  <c r="N154"/>
  <c r="N74" i="19"/>
  <c r="N106"/>
  <c r="N146"/>
  <c r="N162"/>
  <c r="N226"/>
  <c r="E253"/>
  <c r="G253"/>
  <c r="I253"/>
  <c r="K253"/>
  <c r="N34" i="20"/>
  <c r="N130"/>
  <c r="N162"/>
  <c r="N170"/>
  <c r="N178"/>
  <c r="N194"/>
  <c r="F253"/>
  <c r="H253"/>
  <c r="J253"/>
  <c r="N26" i="19"/>
  <c r="N58"/>
  <c r="N122"/>
  <c r="N154"/>
  <c r="N170"/>
  <c r="N178"/>
  <c r="N194"/>
  <c r="N210"/>
  <c r="N234"/>
  <c r="N242"/>
  <c r="N10" i="20"/>
  <c r="N58"/>
  <c r="N74"/>
  <c r="N82"/>
  <c r="N90"/>
  <c r="N186"/>
  <c r="N226"/>
  <c r="N234"/>
  <c r="F254" i="27"/>
  <c r="P27" i="1" s="1"/>
  <c r="N10" i="26"/>
  <c r="N10" i="27"/>
  <c r="N251" i="21"/>
  <c r="N250"/>
  <c r="N251" i="23"/>
  <c r="N250"/>
  <c r="N251" i="24"/>
  <c r="N250"/>
  <c r="N251" i="25"/>
  <c r="N250"/>
  <c r="N251" i="27"/>
  <c r="N250"/>
  <c r="N115"/>
  <c r="N114"/>
  <c r="N203" i="26"/>
  <c r="N202"/>
  <c r="N219" i="25"/>
  <c r="N218"/>
  <c r="N219" i="27"/>
  <c r="N218"/>
  <c r="N187"/>
  <c r="N186"/>
  <c r="N35" i="26"/>
  <c r="N34"/>
  <c r="N35" i="24"/>
  <c r="N34"/>
  <c r="N171" i="23"/>
  <c r="N170"/>
  <c r="N235" i="22"/>
  <c r="N234"/>
  <c r="N211"/>
  <c r="N210"/>
  <c r="N131" i="25"/>
  <c r="N130"/>
  <c r="N203" i="24"/>
  <c r="N202"/>
  <c r="N235" i="23"/>
  <c r="N234"/>
  <c r="N211"/>
  <c r="N210"/>
  <c r="N83"/>
  <c r="N82"/>
  <c r="N203" i="21"/>
  <c r="N202"/>
  <c r="N75" i="22"/>
  <c r="N74"/>
  <c r="N43"/>
  <c r="N42"/>
  <c r="N11"/>
  <c r="N10"/>
  <c r="N83" i="21"/>
  <c r="N82"/>
  <c r="N27"/>
  <c r="N26"/>
  <c r="N211" i="27"/>
  <c r="N210"/>
  <c r="N179"/>
  <c r="N178"/>
  <c r="N235" i="26"/>
  <c r="N234"/>
  <c r="N123"/>
  <c r="N122"/>
  <c r="N50"/>
  <c r="N51"/>
  <c r="N243" i="25"/>
  <c r="N242"/>
  <c r="N227"/>
  <c r="N226"/>
  <c r="N195"/>
  <c r="N194"/>
  <c r="N51"/>
  <c r="N50"/>
  <c r="N171" i="21"/>
  <c r="N170"/>
  <c r="N131" i="22"/>
  <c r="N130"/>
  <c r="N243" i="26"/>
  <c r="N242"/>
  <c r="N211"/>
  <c r="N210"/>
  <c r="N179" i="22"/>
  <c r="N178"/>
  <c r="N50" i="24"/>
  <c r="N51"/>
  <c r="N19" i="21"/>
  <c r="N18"/>
  <c r="N51" i="27"/>
  <c r="N50"/>
  <c r="N139" i="25"/>
  <c r="N138"/>
  <c r="N59"/>
  <c r="N58"/>
  <c r="D253" i="19"/>
  <c r="F253"/>
  <c r="H253"/>
  <c r="J253"/>
  <c r="G253" i="20"/>
  <c r="I253"/>
  <c r="K253"/>
  <c r="N10" i="23"/>
  <c r="N10" i="24"/>
  <c r="N10" i="25"/>
  <c r="M253" i="22"/>
  <c r="N10" i="21"/>
  <c r="M99" i="19"/>
  <c r="M123"/>
  <c r="F51"/>
  <c r="F227"/>
  <c r="F139"/>
  <c r="M66"/>
  <c r="F131"/>
  <c r="M50"/>
  <c r="M27"/>
  <c r="F59"/>
  <c r="F155"/>
  <c r="M131"/>
  <c r="M43"/>
  <c r="M106"/>
  <c r="M115"/>
  <c r="F147"/>
  <c r="M35"/>
  <c r="M98"/>
  <c r="M218"/>
  <c r="M74"/>
  <c r="AH14" i="30"/>
  <c r="AD14"/>
  <c r="AF14"/>
  <c r="AE14"/>
  <c r="AG14"/>
  <c r="F19" i="19"/>
  <c r="F163"/>
  <c r="F171"/>
  <c r="F179"/>
  <c r="F187"/>
  <c r="F195"/>
  <c r="F11" i="20"/>
  <c r="F27"/>
  <c r="F35"/>
  <c r="F51"/>
  <c r="F67"/>
  <c r="F75"/>
  <c r="F123"/>
  <c r="F131"/>
  <c r="F147"/>
  <c r="M59" i="19"/>
  <c r="F67"/>
  <c r="F75"/>
  <c r="F254" i="22"/>
  <c r="K27" i="1" s="1"/>
  <c r="H14" i="31"/>
  <c r="D254" i="21"/>
  <c r="J23" i="1" s="1"/>
  <c r="D254" i="26"/>
  <c r="O23" i="1" s="1"/>
  <c r="D254" i="25"/>
  <c r="N23" i="1" s="1"/>
  <c r="D254" i="23"/>
  <c r="L23" i="1" s="1"/>
  <c r="N34"/>
  <c r="K34"/>
  <c r="L34"/>
  <c r="F27" i="19"/>
  <c r="F35"/>
  <c r="F43"/>
  <c r="F155" i="20"/>
  <c r="F163"/>
  <c r="F171"/>
  <c r="F179"/>
  <c r="F187"/>
  <c r="F195"/>
  <c r="F219"/>
  <c r="F227"/>
  <c r="M91" i="19"/>
  <c r="M138"/>
  <c r="M146"/>
  <c r="M163"/>
  <c r="M178"/>
  <c r="M186"/>
  <c r="M195"/>
  <c r="M202"/>
  <c r="M211"/>
  <c r="M226"/>
  <c r="M243"/>
  <c r="M27" i="20"/>
  <c r="M42"/>
  <c r="M107"/>
  <c r="M138"/>
  <c r="M155"/>
  <c r="M170"/>
  <c r="M203"/>
  <c r="M219"/>
  <c r="L254"/>
  <c r="V10" i="1" s="1"/>
  <c r="D254" i="27"/>
  <c r="P23" i="1" s="1"/>
  <c r="D254" i="24"/>
  <c r="M23" i="1" s="1"/>
  <c r="D254" i="22"/>
  <c r="K23" i="1" s="1"/>
  <c r="O34"/>
  <c r="M34"/>
  <c r="F83" i="19"/>
  <c r="F91"/>
  <c r="F99"/>
  <c r="F107"/>
  <c r="F115"/>
  <c r="F123"/>
  <c r="M251" i="20"/>
  <c r="F19"/>
  <c r="F203" i="19"/>
  <c r="F211"/>
  <c r="F219"/>
  <c r="E253" i="20"/>
  <c r="F11" i="19"/>
  <c r="F235"/>
  <c r="F251"/>
  <c r="F43" i="20"/>
  <c r="F59"/>
  <c r="F83"/>
  <c r="F91"/>
  <c r="F99"/>
  <c r="F107"/>
  <c r="F115"/>
  <c r="F139"/>
  <c r="F203"/>
  <c r="F211"/>
  <c r="F251"/>
  <c r="M51"/>
  <c r="F254" i="21"/>
  <c r="J27" i="1" s="1"/>
  <c r="N147" i="19"/>
  <c r="M42"/>
  <c r="M203"/>
  <c r="M250"/>
  <c r="M10" i="20"/>
  <c r="M58"/>
  <c r="M74"/>
  <c r="M90"/>
  <c r="M106"/>
  <c r="M186"/>
  <c r="M202"/>
  <c r="M218"/>
  <c r="M234"/>
  <c r="M250"/>
  <c r="D254" i="19"/>
  <c r="M18"/>
  <c r="M130"/>
  <c r="M162"/>
  <c r="M210"/>
  <c r="M219"/>
  <c r="M251"/>
  <c r="M11" i="20"/>
  <c r="M59"/>
  <c r="M75"/>
  <c r="M91"/>
  <c r="M99"/>
  <c r="M187"/>
  <c r="M235"/>
  <c r="I25" i="1"/>
  <c r="I26"/>
  <c r="M242" i="20"/>
  <c r="M243"/>
  <c r="M226"/>
  <c r="M227"/>
  <c r="M210"/>
  <c r="N204"/>
  <c r="M211"/>
  <c r="M195"/>
  <c r="M194"/>
  <c r="M179"/>
  <c r="M178"/>
  <c r="M171"/>
  <c r="M163"/>
  <c r="M162"/>
  <c r="N148"/>
  <c r="M154"/>
  <c r="M146"/>
  <c r="M147"/>
  <c r="M139"/>
  <c r="N132"/>
  <c r="M131"/>
  <c r="M130"/>
  <c r="M122"/>
  <c r="M123"/>
  <c r="M114"/>
  <c r="N108"/>
  <c r="N114" s="1"/>
  <c r="M98"/>
  <c r="N92"/>
  <c r="M83"/>
  <c r="M82"/>
  <c r="M66"/>
  <c r="M50"/>
  <c r="N47"/>
  <c r="N51" s="1"/>
  <c r="M43"/>
  <c r="M35"/>
  <c r="M34"/>
  <c r="N20"/>
  <c r="M26"/>
  <c r="I31" i="1"/>
  <c r="I28"/>
  <c r="M19" i="20"/>
  <c r="N15"/>
  <c r="M18"/>
  <c r="N12"/>
  <c r="I33" i="1"/>
  <c r="I30"/>
  <c r="I29"/>
  <c r="E254" i="20"/>
  <c r="I24" i="1" s="1"/>
  <c r="I32"/>
  <c r="F254" i="20"/>
  <c r="I27" i="1" s="1"/>
  <c r="N59" i="20"/>
  <c r="N187"/>
  <c r="N75"/>
  <c r="N203"/>
  <c r="N67"/>
  <c r="N91"/>
  <c r="N123"/>
  <c r="N11"/>
  <c r="N235"/>
  <c r="N227"/>
  <c r="N163"/>
  <c r="N107"/>
  <c r="N219"/>
  <c r="N95"/>
  <c r="N207"/>
  <c r="M67"/>
  <c r="M115"/>
  <c r="N243"/>
  <c r="N115"/>
  <c r="N179"/>
  <c r="N195"/>
  <c r="N251"/>
  <c r="N171"/>
  <c r="N83"/>
  <c r="N131"/>
  <c r="N43"/>
  <c r="N35"/>
  <c r="N147"/>
  <c r="N249" i="19"/>
  <c r="N246"/>
  <c r="N250" s="1"/>
  <c r="M242"/>
  <c r="N235"/>
  <c r="M235"/>
  <c r="M234"/>
  <c r="M227"/>
  <c r="N227"/>
  <c r="N217"/>
  <c r="N219" s="1"/>
  <c r="N211"/>
  <c r="N200"/>
  <c r="N196"/>
  <c r="N202" s="1"/>
  <c r="M194"/>
  <c r="N195"/>
  <c r="M187"/>
  <c r="N180"/>
  <c r="M179"/>
  <c r="N179"/>
  <c r="N171"/>
  <c r="M171"/>
  <c r="M170"/>
  <c r="N163"/>
  <c r="N155"/>
  <c r="M155"/>
  <c r="M154"/>
  <c r="M147"/>
  <c r="M139"/>
  <c r="N132"/>
  <c r="N129"/>
  <c r="N124"/>
  <c r="N130" s="1"/>
  <c r="N123"/>
  <c r="M122"/>
  <c r="N115"/>
  <c r="M114"/>
  <c r="M107"/>
  <c r="N107"/>
  <c r="N92"/>
  <c r="N84"/>
  <c r="M90"/>
  <c r="N83"/>
  <c r="M83"/>
  <c r="M82"/>
  <c r="M75"/>
  <c r="N75"/>
  <c r="M67"/>
  <c r="N60"/>
  <c r="M58"/>
  <c r="N59"/>
  <c r="N44"/>
  <c r="N40"/>
  <c r="N43" s="1"/>
  <c r="N28"/>
  <c r="M34"/>
  <c r="N27"/>
  <c r="M26"/>
  <c r="N15"/>
  <c r="N19" s="1"/>
  <c r="M10"/>
  <c r="N4"/>
  <c r="M11"/>
  <c r="E254"/>
  <c r="L254"/>
  <c r="N243"/>
  <c r="G11" i="18"/>
  <c r="H11"/>
  <c r="I11"/>
  <c r="J11"/>
  <c r="K11"/>
  <c r="F11"/>
  <c r="G183"/>
  <c r="H183"/>
  <c r="I183"/>
  <c r="J183"/>
  <c r="K183"/>
  <c r="G175"/>
  <c r="H175"/>
  <c r="I175"/>
  <c r="J175"/>
  <c r="K175"/>
  <c r="F175"/>
  <c r="G151"/>
  <c r="H151"/>
  <c r="I151"/>
  <c r="J151"/>
  <c r="K151"/>
  <c r="F151"/>
  <c r="G215"/>
  <c r="H215"/>
  <c r="I215"/>
  <c r="J215"/>
  <c r="K215"/>
  <c r="F215"/>
  <c r="G207"/>
  <c r="H207"/>
  <c r="I207"/>
  <c r="J207"/>
  <c r="K207"/>
  <c r="F207"/>
  <c r="G199"/>
  <c r="H199"/>
  <c r="I199"/>
  <c r="J199"/>
  <c r="K199"/>
  <c r="F199"/>
  <c r="G191"/>
  <c r="H191"/>
  <c r="I191"/>
  <c r="J191"/>
  <c r="K191"/>
  <c r="F191"/>
  <c r="K247"/>
  <c r="J247"/>
  <c r="I247"/>
  <c r="H247"/>
  <c r="G247"/>
  <c r="F247"/>
  <c r="K239"/>
  <c r="J239"/>
  <c r="I239"/>
  <c r="H239"/>
  <c r="G239"/>
  <c r="F239"/>
  <c r="K231"/>
  <c r="J231"/>
  <c r="I231"/>
  <c r="H231"/>
  <c r="G231"/>
  <c r="F231"/>
  <c r="K223"/>
  <c r="J223"/>
  <c r="I223"/>
  <c r="H223"/>
  <c r="G223"/>
  <c r="F223"/>
  <c r="F183"/>
  <c r="F184" s="1"/>
  <c r="K167"/>
  <c r="J167"/>
  <c r="I167"/>
  <c r="H167"/>
  <c r="G167"/>
  <c r="F167"/>
  <c r="K159"/>
  <c r="J159"/>
  <c r="I159"/>
  <c r="H159"/>
  <c r="G159"/>
  <c r="F159"/>
  <c r="L152"/>
  <c r="K143"/>
  <c r="J143"/>
  <c r="I143"/>
  <c r="H143"/>
  <c r="G143"/>
  <c r="F143"/>
  <c r="K135"/>
  <c r="J135"/>
  <c r="I135"/>
  <c r="H135"/>
  <c r="G135"/>
  <c r="F135"/>
  <c r="K127"/>
  <c r="J127"/>
  <c r="I127"/>
  <c r="H127"/>
  <c r="G127"/>
  <c r="F127"/>
  <c r="K119"/>
  <c r="J119"/>
  <c r="I119"/>
  <c r="H119"/>
  <c r="G119"/>
  <c r="F119"/>
  <c r="K111"/>
  <c r="J111"/>
  <c r="I111"/>
  <c r="H111"/>
  <c r="G111"/>
  <c r="F111"/>
  <c r="K103"/>
  <c r="J103"/>
  <c r="I103"/>
  <c r="H103"/>
  <c r="G103"/>
  <c r="F103"/>
  <c r="K95"/>
  <c r="J95"/>
  <c r="I95"/>
  <c r="H95"/>
  <c r="G95"/>
  <c r="F95"/>
  <c r="K87"/>
  <c r="J87"/>
  <c r="I87"/>
  <c r="H87"/>
  <c r="G87"/>
  <c r="F87"/>
  <c r="K79"/>
  <c r="J79"/>
  <c r="I79"/>
  <c r="H79"/>
  <c r="G79"/>
  <c r="F79"/>
  <c r="K71"/>
  <c r="J71"/>
  <c r="I71"/>
  <c r="H71"/>
  <c r="G71"/>
  <c r="F71"/>
  <c r="K63"/>
  <c r="J63"/>
  <c r="I63"/>
  <c r="H63"/>
  <c r="G63"/>
  <c r="F63"/>
  <c r="K55"/>
  <c r="J55"/>
  <c r="I55"/>
  <c r="H55"/>
  <c r="G55"/>
  <c r="F55"/>
  <c r="K47"/>
  <c r="J47"/>
  <c r="I47"/>
  <c r="H47"/>
  <c r="G47"/>
  <c r="F47"/>
  <c r="K39"/>
  <c r="J39"/>
  <c r="I39"/>
  <c r="H39"/>
  <c r="G39"/>
  <c r="F39"/>
  <c r="K31"/>
  <c r="J31"/>
  <c r="I31"/>
  <c r="H31"/>
  <c r="G31"/>
  <c r="F31"/>
  <c r="L21"/>
  <c r="K21"/>
  <c r="J21"/>
  <c r="I21"/>
  <c r="H21"/>
  <c r="G21"/>
  <c r="F21"/>
  <c r="F22" s="1"/>
  <c r="P256"/>
  <c r="O256"/>
  <c r="L256"/>
  <c r="N254"/>
  <c r="N253"/>
  <c r="N252"/>
  <c r="N251"/>
  <c r="N250"/>
  <c r="N249"/>
  <c r="P248"/>
  <c r="O248"/>
  <c r="L248"/>
  <c r="N246"/>
  <c r="N245"/>
  <c r="N244"/>
  <c r="N243"/>
  <c r="N242"/>
  <c r="N241"/>
  <c r="P240"/>
  <c r="O240"/>
  <c r="L240"/>
  <c r="N238"/>
  <c r="N237"/>
  <c r="N236"/>
  <c r="N235"/>
  <c r="N234"/>
  <c r="N233"/>
  <c r="P232"/>
  <c r="O232"/>
  <c r="L232"/>
  <c r="N230"/>
  <c r="N229"/>
  <c r="N228"/>
  <c r="N227"/>
  <c r="N226"/>
  <c r="N225"/>
  <c r="P224"/>
  <c r="O224"/>
  <c r="L224"/>
  <c r="N222"/>
  <c r="N221"/>
  <c r="N220"/>
  <c r="N219"/>
  <c r="N218"/>
  <c r="N217"/>
  <c r="P216"/>
  <c r="O216"/>
  <c r="L216"/>
  <c r="N214"/>
  <c r="N213"/>
  <c r="N212"/>
  <c r="N211"/>
  <c r="N210"/>
  <c r="N209"/>
  <c r="P208"/>
  <c r="O208"/>
  <c r="L208"/>
  <c r="N206"/>
  <c r="N205"/>
  <c r="N204"/>
  <c r="N203"/>
  <c r="N202"/>
  <c r="N201"/>
  <c r="P200"/>
  <c r="O200"/>
  <c r="L200"/>
  <c r="N198"/>
  <c r="N197"/>
  <c r="N196"/>
  <c r="N195"/>
  <c r="N194"/>
  <c r="N193"/>
  <c r="P192"/>
  <c r="O192"/>
  <c r="L192"/>
  <c r="N190"/>
  <c r="N189"/>
  <c r="N188"/>
  <c r="N187"/>
  <c r="N186"/>
  <c r="N185"/>
  <c r="P184"/>
  <c r="O184"/>
  <c r="L184"/>
  <c r="N182"/>
  <c r="N181"/>
  <c r="N180"/>
  <c r="N179"/>
  <c r="N178"/>
  <c r="N177"/>
  <c r="P176"/>
  <c r="O176"/>
  <c r="L176"/>
  <c r="N174"/>
  <c r="N173"/>
  <c r="N172"/>
  <c r="N171"/>
  <c r="N170"/>
  <c r="N169"/>
  <c r="P168"/>
  <c r="O168"/>
  <c r="L168"/>
  <c r="N166"/>
  <c r="N165"/>
  <c r="N164"/>
  <c r="N163"/>
  <c r="N162"/>
  <c r="N161"/>
  <c r="P160"/>
  <c r="O160"/>
  <c r="L160"/>
  <c r="N158"/>
  <c r="N157"/>
  <c r="N156"/>
  <c r="N155"/>
  <c r="N154"/>
  <c r="N153"/>
  <c r="P152"/>
  <c r="O152"/>
  <c r="N150"/>
  <c r="N149"/>
  <c r="N148"/>
  <c r="N147"/>
  <c r="N146"/>
  <c r="N145"/>
  <c r="P144"/>
  <c r="O144"/>
  <c r="L144"/>
  <c r="N142"/>
  <c r="N141"/>
  <c r="N140"/>
  <c r="N139"/>
  <c r="N138"/>
  <c r="N137"/>
  <c r="P136"/>
  <c r="O136"/>
  <c r="L136"/>
  <c r="N134"/>
  <c r="N133"/>
  <c r="N132"/>
  <c r="N131"/>
  <c r="N130"/>
  <c r="N129"/>
  <c r="P128"/>
  <c r="O128"/>
  <c r="L128"/>
  <c r="N126"/>
  <c r="N125"/>
  <c r="N124"/>
  <c r="N123"/>
  <c r="N122"/>
  <c r="N121"/>
  <c r="P120"/>
  <c r="O120"/>
  <c r="L120"/>
  <c r="N118"/>
  <c r="N117"/>
  <c r="N116"/>
  <c r="N115"/>
  <c r="N114"/>
  <c r="N113"/>
  <c r="P112"/>
  <c r="O112"/>
  <c r="L112"/>
  <c r="N110"/>
  <c r="N109"/>
  <c r="N108"/>
  <c r="N107"/>
  <c r="N106"/>
  <c r="N105"/>
  <c r="P104"/>
  <c r="O104"/>
  <c r="L104"/>
  <c r="N102"/>
  <c r="N101"/>
  <c r="N100"/>
  <c r="N99"/>
  <c r="N98"/>
  <c r="N97"/>
  <c r="P96"/>
  <c r="O96"/>
  <c r="L96"/>
  <c r="N94"/>
  <c r="N93"/>
  <c r="N92"/>
  <c r="N91"/>
  <c r="N90"/>
  <c r="N89"/>
  <c r="P88"/>
  <c r="O88"/>
  <c r="L88"/>
  <c r="N86"/>
  <c r="N85"/>
  <c r="N84"/>
  <c r="N83"/>
  <c r="N82"/>
  <c r="N81"/>
  <c r="P80"/>
  <c r="O80"/>
  <c r="L80"/>
  <c r="N78"/>
  <c r="N77"/>
  <c r="N76"/>
  <c r="N75"/>
  <c r="N74"/>
  <c r="N73"/>
  <c r="L72"/>
  <c r="N70"/>
  <c r="N69"/>
  <c r="N68"/>
  <c r="N67"/>
  <c r="N66"/>
  <c r="N65"/>
  <c r="L64"/>
  <c r="N62"/>
  <c r="N61"/>
  <c r="N60"/>
  <c r="N59"/>
  <c r="N58"/>
  <c r="N57"/>
  <c r="L56"/>
  <c r="N54"/>
  <c r="N53"/>
  <c r="N52"/>
  <c r="N51"/>
  <c r="N50"/>
  <c r="N49"/>
  <c r="L48"/>
  <c r="N46"/>
  <c r="N45"/>
  <c r="N44"/>
  <c r="N43"/>
  <c r="N42"/>
  <c r="N41"/>
  <c r="P40"/>
  <c r="O40"/>
  <c r="L40"/>
  <c r="N38"/>
  <c r="N37"/>
  <c r="N36"/>
  <c r="N35"/>
  <c r="N34"/>
  <c r="N33"/>
  <c r="L32"/>
  <c r="N30"/>
  <c r="N27"/>
  <c r="N26"/>
  <c r="N25"/>
  <c r="N24"/>
  <c r="N23"/>
  <c r="N20"/>
  <c r="N17"/>
  <c r="N16"/>
  <c r="N15"/>
  <c r="N14"/>
  <c r="N13"/>
  <c r="O12"/>
  <c r="L12"/>
  <c r="N10"/>
  <c r="N8"/>
  <c r="N7"/>
  <c r="N6"/>
  <c r="N5"/>
  <c r="N4"/>
  <c r="B4"/>
  <c r="H12" i="31"/>
  <c r="F32" i="18" l="1"/>
  <c r="F40"/>
  <c r="F48"/>
  <c r="F56"/>
  <c r="F64"/>
  <c r="F72"/>
  <c r="F80"/>
  <c r="F88"/>
  <c r="F96"/>
  <c r="F104"/>
  <c r="F112"/>
  <c r="F120"/>
  <c r="F128"/>
  <c r="F136"/>
  <c r="F224"/>
  <c r="F232"/>
  <c r="F240"/>
  <c r="F12"/>
  <c r="N39"/>
  <c r="N40"/>
  <c r="N55"/>
  <c r="N56"/>
  <c r="N71"/>
  <c r="N72"/>
  <c r="N87"/>
  <c r="N88"/>
  <c r="N103"/>
  <c r="N104"/>
  <c r="N119"/>
  <c r="N120"/>
  <c r="N135"/>
  <c r="N136"/>
  <c r="N151"/>
  <c r="N152"/>
  <c r="N159"/>
  <c r="N160"/>
  <c r="N175"/>
  <c r="N176"/>
  <c r="N191"/>
  <c r="N192"/>
  <c r="N207"/>
  <c r="N208"/>
  <c r="N223"/>
  <c r="N224"/>
  <c r="N239"/>
  <c r="N240"/>
  <c r="N67" i="19"/>
  <c r="N66"/>
  <c r="N91"/>
  <c r="N90"/>
  <c r="N139"/>
  <c r="N138"/>
  <c r="N187"/>
  <c r="N186"/>
  <c r="N19" i="20"/>
  <c r="N18"/>
  <c r="N139"/>
  <c r="N138"/>
  <c r="N98"/>
  <c r="N210"/>
  <c r="M253" i="19"/>
  <c r="N50" i="20"/>
  <c r="N18" i="19"/>
  <c r="N11" i="18"/>
  <c r="N12"/>
  <c r="N21"/>
  <c r="N22"/>
  <c r="N31"/>
  <c r="N32"/>
  <c r="N47"/>
  <c r="N48"/>
  <c r="N63"/>
  <c r="N64"/>
  <c r="N79"/>
  <c r="N80"/>
  <c r="N95"/>
  <c r="N96"/>
  <c r="N111"/>
  <c r="N112"/>
  <c r="N127"/>
  <c r="N128"/>
  <c r="N143"/>
  <c r="N144"/>
  <c r="N167"/>
  <c r="N168"/>
  <c r="N183"/>
  <c r="N184"/>
  <c r="N199"/>
  <c r="N200"/>
  <c r="N215"/>
  <c r="N216"/>
  <c r="N231"/>
  <c r="N232"/>
  <c r="N247"/>
  <c r="N248"/>
  <c r="L22"/>
  <c r="L258"/>
  <c r="N11" i="19"/>
  <c r="N10"/>
  <c r="N35"/>
  <c r="N34"/>
  <c r="N50"/>
  <c r="N51"/>
  <c r="N99"/>
  <c r="N98"/>
  <c r="N27" i="20"/>
  <c r="N26"/>
  <c r="N155"/>
  <c r="N154"/>
  <c r="M253"/>
  <c r="N253" i="27"/>
  <c r="N253" i="25"/>
  <c r="N253" i="24"/>
  <c r="N253" i="23"/>
  <c r="N253" i="21"/>
  <c r="N253" i="20"/>
  <c r="N218" i="19"/>
  <c r="N253" s="1"/>
  <c r="N42"/>
  <c r="N253" i="22"/>
  <c r="N253" i="26"/>
  <c r="I34" i="1"/>
  <c r="N255" i="18"/>
  <c r="N258" s="1"/>
  <c r="N256"/>
  <c r="D254" i="20"/>
  <c r="I23" i="1" s="1"/>
  <c r="F248" i="18"/>
  <c r="F144"/>
  <c r="F160"/>
  <c r="F168"/>
  <c r="G258"/>
  <c r="H29" i="1" s="1"/>
  <c r="I258" i="18"/>
  <c r="H31" i="1" s="1"/>
  <c r="K258" i="18"/>
  <c r="H33" i="1" s="1"/>
  <c r="N203" i="19"/>
  <c r="N251"/>
  <c r="F254"/>
  <c r="H258" i="18"/>
  <c r="H30" i="1" s="1"/>
  <c r="J258" i="18"/>
  <c r="H32" i="1" s="1"/>
  <c r="F258" i="18"/>
  <c r="H28" i="1" s="1"/>
  <c r="N211" i="20"/>
  <c r="N99"/>
  <c r="N131" i="19"/>
  <c r="H26" i="1"/>
  <c r="H25"/>
  <c r="F176" i="18"/>
  <c r="F152"/>
  <c r="F192"/>
  <c r="F200" s="1"/>
  <c r="E259"/>
  <c r="H24" i="1" s="1"/>
  <c r="L147" i="17"/>
  <c r="L171"/>
  <c r="L187"/>
  <c r="L203"/>
  <c r="L195"/>
  <c r="G33" i="1"/>
  <c r="G32"/>
  <c r="G31"/>
  <c r="G30"/>
  <c r="G29"/>
  <c r="P251" i="17"/>
  <c r="O251"/>
  <c r="L251"/>
  <c r="N249"/>
  <c r="N248"/>
  <c r="N247"/>
  <c r="N246"/>
  <c r="N245"/>
  <c r="N244"/>
  <c r="P243"/>
  <c r="O243"/>
  <c r="L243"/>
  <c r="N241"/>
  <c r="N240"/>
  <c r="N239"/>
  <c r="N238"/>
  <c r="N237"/>
  <c r="N236"/>
  <c r="P235"/>
  <c r="O235"/>
  <c r="L235"/>
  <c r="N233"/>
  <c r="N232"/>
  <c r="N231"/>
  <c r="N230"/>
  <c r="N229"/>
  <c r="N228"/>
  <c r="P227"/>
  <c r="O227"/>
  <c r="L227"/>
  <c r="N225"/>
  <c r="N224"/>
  <c r="N223"/>
  <c r="N222"/>
  <c r="N221"/>
  <c r="N220"/>
  <c r="P219"/>
  <c r="O219"/>
  <c r="L219"/>
  <c r="N217"/>
  <c r="N216"/>
  <c r="N215"/>
  <c r="N214"/>
  <c r="N213"/>
  <c r="N212"/>
  <c r="P211"/>
  <c r="O211"/>
  <c r="L211"/>
  <c r="N209"/>
  <c r="N208"/>
  <c r="N207"/>
  <c r="N206"/>
  <c r="N205"/>
  <c r="N204"/>
  <c r="P203"/>
  <c r="O203"/>
  <c r="N201"/>
  <c r="N200"/>
  <c r="N199"/>
  <c r="N198"/>
  <c r="N197"/>
  <c r="N196"/>
  <c r="P195"/>
  <c r="O195"/>
  <c r="N193"/>
  <c r="N192"/>
  <c r="N191"/>
  <c r="N190"/>
  <c r="N189"/>
  <c r="N188"/>
  <c r="P187"/>
  <c r="O187"/>
  <c r="N185"/>
  <c r="N184"/>
  <c r="N183"/>
  <c r="N182"/>
  <c r="N181"/>
  <c r="N180"/>
  <c r="P179"/>
  <c r="O179"/>
  <c r="L179"/>
  <c r="N177"/>
  <c r="N176"/>
  <c r="N175"/>
  <c r="N174"/>
  <c r="N173"/>
  <c r="N172"/>
  <c r="P171"/>
  <c r="O171"/>
  <c r="N169"/>
  <c r="N168"/>
  <c r="N167"/>
  <c r="N166"/>
  <c r="N165"/>
  <c r="N164"/>
  <c r="P163"/>
  <c r="O163"/>
  <c r="L163"/>
  <c r="N161"/>
  <c r="N160"/>
  <c r="N159"/>
  <c r="N158"/>
  <c r="N157"/>
  <c r="N156"/>
  <c r="P155"/>
  <c r="O155"/>
  <c r="L155"/>
  <c r="N153"/>
  <c r="N152"/>
  <c r="N151"/>
  <c r="N150"/>
  <c r="N149"/>
  <c r="N148"/>
  <c r="P147"/>
  <c r="O147"/>
  <c r="N145"/>
  <c r="N144"/>
  <c r="N143"/>
  <c r="N142"/>
  <c r="N141"/>
  <c r="N140"/>
  <c r="P139"/>
  <c r="O139"/>
  <c r="L139"/>
  <c r="N137"/>
  <c r="N136"/>
  <c r="N135"/>
  <c r="N134"/>
  <c r="N133"/>
  <c r="N132"/>
  <c r="P131"/>
  <c r="O131"/>
  <c r="L131"/>
  <c r="N129"/>
  <c r="N128"/>
  <c r="N127"/>
  <c r="N126"/>
  <c r="N125"/>
  <c r="N124"/>
  <c r="P123"/>
  <c r="O123"/>
  <c r="L123"/>
  <c r="N121"/>
  <c r="N120"/>
  <c r="N119"/>
  <c r="N118"/>
  <c r="N117"/>
  <c r="N116"/>
  <c r="P115"/>
  <c r="O115"/>
  <c r="L115"/>
  <c r="N113"/>
  <c r="N112"/>
  <c r="N111"/>
  <c r="N110"/>
  <c r="N109"/>
  <c r="N108"/>
  <c r="P107"/>
  <c r="O107"/>
  <c r="L107"/>
  <c r="N105"/>
  <c r="N104"/>
  <c r="N103"/>
  <c r="N102"/>
  <c r="N101"/>
  <c r="N100"/>
  <c r="P99"/>
  <c r="O99"/>
  <c r="L99"/>
  <c r="N97"/>
  <c r="N96"/>
  <c r="N95"/>
  <c r="N94"/>
  <c r="N93"/>
  <c r="N92"/>
  <c r="P91"/>
  <c r="O91"/>
  <c r="L91"/>
  <c r="N89"/>
  <c r="N88"/>
  <c r="N87"/>
  <c r="N86"/>
  <c r="N85"/>
  <c r="N84"/>
  <c r="P83"/>
  <c r="O83"/>
  <c r="L83"/>
  <c r="N81"/>
  <c r="N80"/>
  <c r="N79"/>
  <c r="N78"/>
  <c r="N77"/>
  <c r="N76"/>
  <c r="P75"/>
  <c r="O75"/>
  <c r="L75"/>
  <c r="N73"/>
  <c r="N72"/>
  <c r="N71"/>
  <c r="N70"/>
  <c r="N69"/>
  <c r="N68"/>
  <c r="P67"/>
  <c r="O67"/>
  <c r="L67"/>
  <c r="N65"/>
  <c r="N64"/>
  <c r="N63"/>
  <c r="N62"/>
  <c r="N61"/>
  <c r="N60"/>
  <c r="P59"/>
  <c r="O59"/>
  <c r="L59"/>
  <c r="N57"/>
  <c r="N56"/>
  <c r="N55"/>
  <c r="N54"/>
  <c r="N53"/>
  <c r="N52"/>
  <c r="P51"/>
  <c r="O51"/>
  <c r="L51"/>
  <c r="N49"/>
  <c r="N48"/>
  <c r="N47"/>
  <c r="N46"/>
  <c r="N45"/>
  <c r="N44"/>
  <c r="P43"/>
  <c r="O43"/>
  <c r="L43"/>
  <c r="E43"/>
  <c r="N41"/>
  <c r="N40"/>
  <c r="N39"/>
  <c r="N38"/>
  <c r="N37"/>
  <c r="N36"/>
  <c r="P35"/>
  <c r="O35"/>
  <c r="L35"/>
  <c r="N33"/>
  <c r="N32"/>
  <c r="N31"/>
  <c r="N30"/>
  <c r="N29"/>
  <c r="N28"/>
  <c r="P27"/>
  <c r="O27"/>
  <c r="L27"/>
  <c r="N25"/>
  <c r="N24"/>
  <c r="N23"/>
  <c r="N22"/>
  <c r="N21"/>
  <c r="N20"/>
  <c r="P19"/>
  <c r="O19"/>
  <c r="L19"/>
  <c r="N17"/>
  <c r="N16"/>
  <c r="N15"/>
  <c r="N14"/>
  <c r="N13"/>
  <c r="N12"/>
  <c r="P11"/>
  <c r="O11"/>
  <c r="G25" i="1" s="1"/>
  <c r="L11" i="17"/>
  <c r="N9"/>
  <c r="N8"/>
  <c r="N7"/>
  <c r="N6"/>
  <c r="N5"/>
  <c r="N4"/>
  <c r="B4"/>
  <c r="D29" i="9"/>
  <c r="F30"/>
  <c r="G30"/>
  <c r="G29"/>
  <c r="L29"/>
  <c r="M29"/>
  <c r="N30"/>
  <c r="O29"/>
  <c r="P30"/>
  <c r="Q30"/>
  <c r="R30"/>
  <c r="R29"/>
  <c r="S29"/>
  <c r="T29"/>
  <c r="X30"/>
  <c r="Y30"/>
  <c r="Z30"/>
  <c r="AC29"/>
  <c r="AD30"/>
  <c r="AD29"/>
  <c r="AF29"/>
  <c r="P251" i="14"/>
  <c r="O251"/>
  <c r="L251"/>
  <c r="N249"/>
  <c r="N248"/>
  <c r="P243"/>
  <c r="O243"/>
  <c r="L243"/>
  <c r="N241"/>
  <c r="N240"/>
  <c r="N239"/>
  <c r="P235"/>
  <c r="O235"/>
  <c r="L235"/>
  <c r="N233"/>
  <c r="N232"/>
  <c r="N231"/>
  <c r="N230"/>
  <c r="N229"/>
  <c r="N228"/>
  <c r="P227"/>
  <c r="O227"/>
  <c r="L227"/>
  <c r="N225"/>
  <c r="N224"/>
  <c r="N223"/>
  <c r="N222"/>
  <c r="N221"/>
  <c r="N220"/>
  <c r="P219"/>
  <c r="O219"/>
  <c r="L219"/>
  <c r="N217"/>
  <c r="N216"/>
  <c r="N215"/>
  <c r="N214"/>
  <c r="N213"/>
  <c r="N212"/>
  <c r="P211"/>
  <c r="O211"/>
  <c r="N209"/>
  <c r="N208"/>
  <c r="N207"/>
  <c r="N206"/>
  <c r="N205"/>
  <c r="N204"/>
  <c r="P203"/>
  <c r="O203"/>
  <c r="N201"/>
  <c r="N200"/>
  <c r="N199"/>
  <c r="N198"/>
  <c r="N197"/>
  <c r="N196"/>
  <c r="P195"/>
  <c r="O195"/>
  <c r="N193"/>
  <c r="N192"/>
  <c r="N191"/>
  <c r="N190"/>
  <c r="N189"/>
  <c r="N188"/>
  <c r="P187"/>
  <c r="O187"/>
  <c r="N185"/>
  <c r="N184"/>
  <c r="N183"/>
  <c r="N182"/>
  <c r="N181"/>
  <c r="N180"/>
  <c r="P179"/>
  <c r="O179"/>
  <c r="N177"/>
  <c r="N176"/>
  <c r="N175"/>
  <c r="N174"/>
  <c r="N173"/>
  <c r="N172"/>
  <c r="P171"/>
  <c r="O171"/>
  <c r="N169"/>
  <c r="N168"/>
  <c r="N167"/>
  <c r="N166"/>
  <c r="N165"/>
  <c r="N164"/>
  <c r="P163"/>
  <c r="O163"/>
  <c r="N161"/>
  <c r="N160"/>
  <c r="N159"/>
  <c r="N158"/>
  <c r="N157"/>
  <c r="N156"/>
  <c r="P155"/>
  <c r="O155"/>
  <c r="N153"/>
  <c r="N152"/>
  <c r="N151"/>
  <c r="N150"/>
  <c r="N149"/>
  <c r="N148"/>
  <c r="P147"/>
  <c r="O147"/>
  <c r="N145"/>
  <c r="N144"/>
  <c r="N143"/>
  <c r="N142"/>
  <c r="N141"/>
  <c r="N140"/>
  <c r="P139"/>
  <c r="O139"/>
  <c r="N137"/>
  <c r="N136"/>
  <c r="N135"/>
  <c r="N134"/>
  <c r="N133"/>
  <c r="N132"/>
  <c r="P131"/>
  <c r="O131"/>
  <c r="N129"/>
  <c r="N128"/>
  <c r="N127"/>
  <c r="N126"/>
  <c r="N125"/>
  <c r="N124"/>
  <c r="P123"/>
  <c r="O123"/>
  <c r="N121"/>
  <c r="N120"/>
  <c r="N119"/>
  <c r="N118"/>
  <c r="N117"/>
  <c r="N116"/>
  <c r="P115"/>
  <c r="O115"/>
  <c r="N113"/>
  <c r="N112"/>
  <c r="N111"/>
  <c r="N110"/>
  <c r="N109"/>
  <c r="N108"/>
  <c r="P107"/>
  <c r="O107"/>
  <c r="N105"/>
  <c r="N104"/>
  <c r="N103"/>
  <c r="N102"/>
  <c r="N101"/>
  <c r="N100"/>
  <c r="P99"/>
  <c r="O99"/>
  <c r="N97"/>
  <c r="N96"/>
  <c r="N95"/>
  <c r="N94"/>
  <c r="N93"/>
  <c r="N92"/>
  <c r="P91"/>
  <c r="O91"/>
  <c r="N89"/>
  <c r="N88"/>
  <c r="N87"/>
  <c r="N86"/>
  <c r="N85"/>
  <c r="N84"/>
  <c r="P83"/>
  <c r="O83"/>
  <c r="N81"/>
  <c r="N80"/>
  <c r="N79"/>
  <c r="N78"/>
  <c r="N77"/>
  <c r="N76"/>
  <c r="P75"/>
  <c r="O75"/>
  <c r="N73"/>
  <c r="N72"/>
  <c r="N71"/>
  <c r="N70"/>
  <c r="N69"/>
  <c r="N68"/>
  <c r="P67"/>
  <c r="O67"/>
  <c r="N65"/>
  <c r="N64"/>
  <c r="N63"/>
  <c r="N62"/>
  <c r="N61"/>
  <c r="N60"/>
  <c r="P59"/>
  <c r="O59"/>
  <c r="N57"/>
  <c r="N56"/>
  <c r="N55"/>
  <c r="N54"/>
  <c r="N53"/>
  <c r="N52"/>
  <c r="P51"/>
  <c r="O51"/>
  <c r="N49"/>
  <c r="N48"/>
  <c r="N47"/>
  <c r="N46"/>
  <c r="N45"/>
  <c r="N44"/>
  <c r="P43"/>
  <c r="O43"/>
  <c r="M43"/>
  <c r="E43"/>
  <c r="D43"/>
  <c r="N41"/>
  <c r="N40"/>
  <c r="N39"/>
  <c r="N38"/>
  <c r="N37"/>
  <c r="N36"/>
  <c r="P35"/>
  <c r="O35"/>
  <c r="N33"/>
  <c r="N32"/>
  <c r="N31"/>
  <c r="N30"/>
  <c r="N29"/>
  <c r="N28"/>
  <c r="P27"/>
  <c r="O27"/>
  <c r="N25"/>
  <c r="N24"/>
  <c r="N23"/>
  <c r="N22"/>
  <c r="N21"/>
  <c r="N20"/>
  <c r="P19"/>
  <c r="O19"/>
  <c r="N17"/>
  <c r="N16"/>
  <c r="N15"/>
  <c r="N14"/>
  <c r="N13"/>
  <c r="N12"/>
  <c r="P11"/>
  <c r="O11"/>
  <c r="N9"/>
  <c r="N8"/>
  <c r="N7"/>
  <c r="N6"/>
  <c r="N5"/>
  <c r="N4"/>
  <c r="B4"/>
  <c r="C221" i="10"/>
  <c r="B12" i="27" s="1"/>
  <c r="A221" i="10"/>
  <c r="A222" s="1"/>
  <c r="F220"/>
  <c r="C220"/>
  <c r="B212"/>
  <c r="C211"/>
  <c r="A211"/>
  <c r="A212" s="1"/>
  <c r="F210"/>
  <c r="C210"/>
  <c r="C201"/>
  <c r="B12" i="25" s="1"/>
  <c r="A201" i="10"/>
  <c r="A202" s="1"/>
  <c r="F200"/>
  <c r="B202"/>
  <c r="C191"/>
  <c r="B12" i="24" s="1"/>
  <c r="A191" i="10"/>
  <c r="A192" s="1"/>
  <c r="F190"/>
  <c r="B192"/>
  <c r="C181"/>
  <c r="A181"/>
  <c r="A182" s="1"/>
  <c r="F180"/>
  <c r="C171"/>
  <c r="B12" i="22" s="1"/>
  <c r="A171" i="10"/>
  <c r="A172" s="1"/>
  <c r="F170"/>
  <c r="B172"/>
  <c r="C161"/>
  <c r="B12" i="21" s="1"/>
  <c r="A161" i="10"/>
  <c r="A162" s="1"/>
  <c r="F160"/>
  <c r="B162"/>
  <c r="C151"/>
  <c r="A151"/>
  <c r="A152" s="1"/>
  <c r="F150"/>
  <c r="C141"/>
  <c r="A141"/>
  <c r="F140"/>
  <c r="C140"/>
  <c r="C131"/>
  <c r="B12" i="17" s="1"/>
  <c r="A131" i="10"/>
  <c r="F130"/>
  <c r="C130"/>
  <c r="F110"/>
  <c r="A111"/>
  <c r="C111"/>
  <c r="B112"/>
  <c r="C120"/>
  <c r="F120"/>
  <c r="A121"/>
  <c r="A122" s="1"/>
  <c r="C121"/>
  <c r="B20"/>
  <c r="AF157" i="9"/>
  <c r="AE157"/>
  <c r="AD157"/>
  <c r="AC157"/>
  <c r="AB157"/>
  <c r="AA157"/>
  <c r="Z157"/>
  <c r="Y157"/>
  <c r="X157"/>
  <c r="W157"/>
  <c r="V157"/>
  <c r="U157"/>
  <c r="T157"/>
  <c r="S157"/>
  <c r="R157"/>
  <c r="Q157"/>
  <c r="P157"/>
  <c r="O157"/>
  <c r="N157"/>
  <c r="AF156"/>
  <c r="AE156"/>
  <c r="AD156"/>
  <c r="AC156"/>
  <c r="AB156"/>
  <c r="AA156"/>
  <c r="Z156"/>
  <c r="Y156"/>
  <c r="X156"/>
  <c r="W156"/>
  <c r="V156"/>
  <c r="U156"/>
  <c r="T156"/>
  <c r="S156"/>
  <c r="R156"/>
  <c r="Q156"/>
  <c r="P156"/>
  <c r="O156"/>
  <c r="N156"/>
  <c r="M156"/>
  <c r="L156"/>
  <c r="R92"/>
  <c r="B92"/>
  <c r="R91"/>
  <c r="B91"/>
  <c r="R60"/>
  <c r="E60"/>
  <c r="B60"/>
  <c r="R59"/>
  <c r="E59"/>
  <c r="B59"/>
  <c r="B30"/>
  <c r="K156"/>
  <c r="K157"/>
  <c r="J156"/>
  <c r="J157"/>
  <c r="I156"/>
  <c r="I157"/>
  <c r="H156"/>
  <c r="H157"/>
  <c r="G156"/>
  <c r="G157"/>
  <c r="F156"/>
  <c r="F157"/>
  <c r="E156"/>
  <c r="E157"/>
  <c r="D156"/>
  <c r="D157"/>
  <c r="M157"/>
  <c r="C156"/>
  <c r="C157"/>
  <c r="L157"/>
  <c r="B157"/>
  <c r="AF123"/>
  <c r="AF124"/>
  <c r="AE123"/>
  <c r="AD123"/>
  <c r="AD124"/>
  <c r="AC123"/>
  <c r="AC124"/>
  <c r="AB123"/>
  <c r="AB124"/>
  <c r="AA123"/>
  <c r="AA124"/>
  <c r="Z123"/>
  <c r="Z124"/>
  <c r="Y123"/>
  <c r="Y124"/>
  <c r="X123"/>
  <c r="X124"/>
  <c r="W123"/>
  <c r="W124"/>
  <c r="V123"/>
  <c r="V124"/>
  <c r="U123"/>
  <c r="U124"/>
  <c r="T123"/>
  <c r="T124"/>
  <c r="S123"/>
  <c r="S124"/>
  <c r="R123"/>
  <c r="R124"/>
  <c r="Q123"/>
  <c r="Q124"/>
  <c r="P123"/>
  <c r="P124"/>
  <c r="O123"/>
  <c r="O124"/>
  <c r="N123"/>
  <c r="N124"/>
  <c r="M123"/>
  <c r="M124"/>
  <c r="L123"/>
  <c r="L124"/>
  <c r="K123"/>
  <c r="K124"/>
  <c r="J123"/>
  <c r="J124"/>
  <c r="I123"/>
  <c r="I124"/>
  <c r="H123"/>
  <c r="H124"/>
  <c r="G123"/>
  <c r="G124"/>
  <c r="F123"/>
  <c r="F124"/>
  <c r="E123"/>
  <c r="E124"/>
  <c r="D123"/>
  <c r="D124"/>
  <c r="C123"/>
  <c r="C124"/>
  <c r="B124"/>
  <c r="AF91"/>
  <c r="AE91"/>
  <c r="AE92"/>
  <c r="AD91"/>
  <c r="AD92"/>
  <c r="AC91"/>
  <c r="AC92"/>
  <c r="AB91"/>
  <c r="AB92"/>
  <c r="AA91"/>
  <c r="AA92"/>
  <c r="Z91"/>
  <c r="Z92"/>
  <c r="Y91"/>
  <c r="Y92"/>
  <c r="X91"/>
  <c r="X92"/>
  <c r="W91"/>
  <c r="W92"/>
  <c r="V91"/>
  <c r="V92"/>
  <c r="U91"/>
  <c r="U92"/>
  <c r="T91"/>
  <c r="T92"/>
  <c r="S91"/>
  <c r="S92"/>
  <c r="Q91"/>
  <c r="Q92"/>
  <c r="P91"/>
  <c r="P92"/>
  <c r="O91"/>
  <c r="O92"/>
  <c r="N91"/>
  <c r="N92"/>
  <c r="M91"/>
  <c r="M92"/>
  <c r="L91"/>
  <c r="L92"/>
  <c r="K91"/>
  <c r="K92"/>
  <c r="J91"/>
  <c r="J92"/>
  <c r="I91"/>
  <c r="I92"/>
  <c r="H91"/>
  <c r="H92"/>
  <c r="G91"/>
  <c r="G92"/>
  <c r="F91"/>
  <c r="F92"/>
  <c r="E91"/>
  <c r="E92"/>
  <c r="D91"/>
  <c r="D92"/>
  <c r="C91"/>
  <c r="C92"/>
  <c r="AF59"/>
  <c r="AE59"/>
  <c r="AE60"/>
  <c r="AD59"/>
  <c r="AD60"/>
  <c r="AC59"/>
  <c r="AC60"/>
  <c r="AB59"/>
  <c r="AB60"/>
  <c r="AA59"/>
  <c r="AA60"/>
  <c r="Z59"/>
  <c r="Z60"/>
  <c r="Y59"/>
  <c r="Y60"/>
  <c r="X59"/>
  <c r="X60"/>
  <c r="W59"/>
  <c r="W60"/>
  <c r="V59"/>
  <c r="V60"/>
  <c r="U59"/>
  <c r="U60"/>
  <c r="T59"/>
  <c r="T60"/>
  <c r="S59"/>
  <c r="S60"/>
  <c r="Q59"/>
  <c r="Q60"/>
  <c r="P59"/>
  <c r="P60"/>
  <c r="O59"/>
  <c r="O60"/>
  <c r="N59"/>
  <c r="N60"/>
  <c r="M59"/>
  <c r="M60"/>
  <c r="L59"/>
  <c r="L60"/>
  <c r="K59"/>
  <c r="K60"/>
  <c r="J59"/>
  <c r="J60"/>
  <c r="I59"/>
  <c r="I60"/>
  <c r="H59"/>
  <c r="H60"/>
  <c r="G59"/>
  <c r="G60"/>
  <c r="F59"/>
  <c r="F60"/>
  <c r="D59"/>
  <c r="D60"/>
  <c r="C59"/>
  <c r="C60"/>
  <c r="AE29"/>
  <c r="AC30"/>
  <c r="AB29"/>
  <c r="AB30"/>
  <c r="AA29"/>
  <c r="AA30"/>
  <c r="Z29"/>
  <c r="Y29"/>
  <c r="X29"/>
  <c r="W29"/>
  <c r="W30"/>
  <c r="V29"/>
  <c r="V30"/>
  <c r="U29"/>
  <c r="U30"/>
  <c r="T30"/>
  <c r="S30"/>
  <c r="Q29"/>
  <c r="P29"/>
  <c r="O30"/>
  <c r="N29"/>
  <c r="M30"/>
  <c r="L30"/>
  <c r="K29"/>
  <c r="K30"/>
  <c r="J29"/>
  <c r="J30"/>
  <c r="I29"/>
  <c r="I30"/>
  <c r="H30"/>
  <c r="F29"/>
  <c r="E29"/>
  <c r="E30"/>
  <c r="D30"/>
  <c r="C29"/>
  <c r="C30"/>
  <c r="AF3"/>
  <c r="AF4"/>
  <c r="AE3"/>
  <c r="AE4"/>
  <c r="AD3"/>
  <c r="AD4"/>
  <c r="AC3"/>
  <c r="AC4"/>
  <c r="G13" i="31"/>
  <c r="G12"/>
  <c r="D121" i="10" l="1"/>
  <c r="B16" i="36" s="1"/>
  <c r="B8"/>
  <c r="N227" i="14"/>
  <c r="N226"/>
  <c r="N243"/>
  <c r="N242"/>
  <c r="N250"/>
  <c r="N251"/>
  <c r="N11" i="17"/>
  <c r="N10"/>
  <c r="N27"/>
  <c r="N26"/>
  <c r="N42"/>
  <c r="N43"/>
  <c r="N50"/>
  <c r="N51"/>
  <c r="N67"/>
  <c r="N66"/>
  <c r="N83"/>
  <c r="N82"/>
  <c r="N99"/>
  <c r="N98"/>
  <c r="N115"/>
  <c r="N114"/>
  <c r="N131"/>
  <c r="N130"/>
  <c r="N147"/>
  <c r="N146"/>
  <c r="N155"/>
  <c r="N154"/>
  <c r="N171"/>
  <c r="N170"/>
  <c r="N179"/>
  <c r="N178"/>
  <c r="N219"/>
  <c r="N218"/>
  <c r="N235"/>
  <c r="N234"/>
  <c r="N219" i="14"/>
  <c r="N218"/>
  <c r="N235"/>
  <c r="N234"/>
  <c r="N19" i="17"/>
  <c r="N18"/>
  <c r="N35"/>
  <c r="N34"/>
  <c r="N59"/>
  <c r="N58"/>
  <c r="N75"/>
  <c r="N74"/>
  <c r="N91"/>
  <c r="N90"/>
  <c r="N107"/>
  <c r="N106"/>
  <c r="N123"/>
  <c r="N122"/>
  <c r="N139"/>
  <c r="N138"/>
  <c r="N163"/>
  <c r="N162"/>
  <c r="N187"/>
  <c r="N186"/>
  <c r="N195"/>
  <c r="N194"/>
  <c r="N203"/>
  <c r="N202"/>
  <c r="N211"/>
  <c r="N210"/>
  <c r="N227"/>
  <c r="N226"/>
  <c r="N242"/>
  <c r="N243"/>
  <c r="N42" i="14"/>
  <c r="N250" i="17"/>
  <c r="N253" s="1"/>
  <c r="N251"/>
  <c r="Q33" i="1"/>
  <c r="D17" s="1"/>
  <c r="N210" i="14"/>
  <c r="N211"/>
  <c r="N202"/>
  <c r="N203"/>
  <c r="N194"/>
  <c r="N195"/>
  <c r="N186"/>
  <c r="N187"/>
  <c r="N179"/>
  <c r="N178"/>
  <c r="N170"/>
  <c r="N171"/>
  <c r="N162"/>
  <c r="N163"/>
  <c r="N154"/>
  <c r="N155"/>
  <c r="N146"/>
  <c r="N147"/>
  <c r="N138"/>
  <c r="N139"/>
  <c r="N131"/>
  <c r="N130"/>
  <c r="N123"/>
  <c r="N122"/>
  <c r="N115"/>
  <c r="N114"/>
  <c r="N106"/>
  <c r="N107"/>
  <c r="N98"/>
  <c r="N99"/>
  <c r="N91"/>
  <c r="N90"/>
  <c r="N83"/>
  <c r="N82"/>
  <c r="N74"/>
  <c r="N75"/>
  <c r="N67"/>
  <c r="N66"/>
  <c r="N58"/>
  <c r="N59"/>
  <c r="N50"/>
  <c r="N51"/>
  <c r="N34"/>
  <c r="N35"/>
  <c r="N27"/>
  <c r="N26"/>
  <c r="N18"/>
  <c r="N19"/>
  <c r="N11"/>
  <c r="N10"/>
  <c r="E20" i="32"/>
  <c r="F20" s="1"/>
  <c r="G20" s="1"/>
  <c r="Q29" i="1"/>
  <c r="D13" s="1"/>
  <c r="E22" i="32"/>
  <c r="F22" s="1"/>
  <c r="G22" s="1"/>
  <c r="Q31" i="1"/>
  <c r="D15" s="1"/>
  <c r="E19" i="32"/>
  <c r="F19" s="1"/>
  <c r="Q28" i="1"/>
  <c r="E21" i="32"/>
  <c r="F21" s="1"/>
  <c r="G21" s="1"/>
  <c r="Q30" i="1"/>
  <c r="D14" s="1"/>
  <c r="E23" i="32"/>
  <c r="F23" s="1"/>
  <c r="G23" s="1"/>
  <c r="Q32" i="1"/>
  <c r="D16" s="1"/>
  <c r="G14" i="31"/>
  <c r="D254" i="14"/>
  <c r="D259" i="18"/>
  <c r="H23" i="1" s="1"/>
  <c r="L259" i="18"/>
  <c r="L11" i="14"/>
  <c r="A112" i="10"/>
  <c r="D181"/>
  <c r="B12" i="23"/>
  <c r="D131" i="10"/>
  <c r="E131" s="1"/>
  <c r="C212"/>
  <c r="B12" i="26"/>
  <c r="C200" i="10"/>
  <c r="D201"/>
  <c r="D202" s="1"/>
  <c r="B222"/>
  <c r="C192"/>
  <c r="C170"/>
  <c r="D111"/>
  <c r="B20" i="14" s="1"/>
  <c r="B12"/>
  <c r="B20" i="17"/>
  <c r="D141" i="10"/>
  <c r="B12" i="19"/>
  <c r="B13" i="18"/>
  <c r="B12" i="20"/>
  <c r="D151" i="10"/>
  <c r="AG123" i="9"/>
  <c r="B156"/>
  <c r="AG156" s="1"/>
  <c r="B182" i="10"/>
  <c r="C180"/>
  <c r="C162"/>
  <c r="C222"/>
  <c r="N43" i="14"/>
  <c r="F208" i="18"/>
  <c r="F216" s="1"/>
  <c r="E254" i="17"/>
  <c r="G24" i="1" s="1"/>
  <c r="G27"/>
  <c r="AE30" i="9"/>
  <c r="H29"/>
  <c r="E254" i="14"/>
  <c r="A4"/>
  <c r="D161" i="10"/>
  <c r="C152"/>
  <c r="C172"/>
  <c r="C202"/>
  <c r="C112"/>
  <c r="C150"/>
  <c r="D221"/>
  <c r="B20" i="27" s="1"/>
  <c r="C182" i="10"/>
  <c r="C160"/>
  <c r="C190"/>
  <c r="D211"/>
  <c r="B20" i="26" s="1"/>
  <c r="D182" i="10"/>
  <c r="D191"/>
  <c r="B20" i="24" s="1"/>
  <c r="D171" i="10"/>
  <c r="B20" i="22" s="1"/>
  <c r="B152" i="10"/>
  <c r="D152"/>
  <c r="E141"/>
  <c r="E121"/>
  <c r="B24" i="36" s="1"/>
  <c r="D122" i="10"/>
  <c r="C110"/>
  <c r="C122"/>
  <c r="B122"/>
  <c r="B21"/>
  <c r="B22" s="1"/>
  <c r="B23" s="1"/>
  <c r="AG91" i="9"/>
  <c r="AG157"/>
  <c r="AG59"/>
  <c r="AG92"/>
  <c r="AF30"/>
  <c r="AF60"/>
  <c r="AG60" s="1"/>
  <c r="AF92"/>
  <c r="AE124"/>
  <c r="AG124" s="1"/>
  <c r="AB4"/>
  <c r="AG4" s="1"/>
  <c r="AB3"/>
  <c r="AG3" s="1"/>
  <c r="D13" i="30"/>
  <c r="E13" i="31"/>
  <c r="F12"/>
  <c r="F13"/>
  <c r="E12"/>
  <c r="D12"/>
  <c r="H34" i="1" l="1"/>
  <c r="V9"/>
  <c r="F259" i="18"/>
  <c r="H27" i="1" s="1"/>
  <c r="Q27" s="1"/>
  <c r="A16" i="36"/>
  <c r="A4"/>
  <c r="A8"/>
  <c r="Q26" i="1"/>
  <c r="D10" s="1"/>
  <c r="Q24"/>
  <c r="D8" s="1"/>
  <c r="N253" i="14"/>
  <c r="Q25" i="1"/>
  <c r="D9" s="1"/>
  <c r="F24" i="32"/>
  <c r="G19"/>
  <c r="P12" i="31"/>
  <c r="A18"/>
  <c r="A50"/>
  <c r="E14"/>
  <c r="F14"/>
  <c r="B28" i="17"/>
  <c r="F131" i="10"/>
  <c r="B36" i="17" s="1"/>
  <c r="D254"/>
  <c r="G23" i="1" s="1"/>
  <c r="Q23" s="1"/>
  <c r="L254" i="17"/>
  <c r="V8" i="1" s="1"/>
  <c r="D112" i="10"/>
  <c r="E111"/>
  <c r="B28" i="14" s="1"/>
  <c r="L35" s="1"/>
  <c r="L27"/>
  <c r="L19"/>
  <c r="D14" i="30"/>
  <c r="T11" i="14"/>
  <c r="F7" i="28"/>
  <c r="E201" i="10"/>
  <c r="B20" i="25"/>
  <c r="B20" i="23"/>
  <c r="E181" i="10"/>
  <c r="E161"/>
  <c r="E162" s="1"/>
  <c r="B20" i="21"/>
  <c r="A12" i="14"/>
  <c r="B20" i="19"/>
  <c r="B23" i="18"/>
  <c r="AG29" i="9"/>
  <c r="B28" i="19"/>
  <c r="B33" i="18"/>
  <c r="V7" i="19"/>
  <c r="E151" i="10"/>
  <c r="B20" i="20"/>
  <c r="AG30" i="9"/>
  <c r="D162" i="10"/>
  <c r="E221"/>
  <c r="B28" i="27" s="1"/>
  <c r="D222" i="10"/>
  <c r="D212"/>
  <c r="E211"/>
  <c r="B28" i="26" s="1"/>
  <c r="D192" i="10"/>
  <c r="E191"/>
  <c r="B28" i="24" s="1"/>
  <c r="D172" i="10"/>
  <c r="E171"/>
  <c r="B28" i="22" s="1"/>
  <c r="F141" i="10"/>
  <c r="F121"/>
  <c r="B32" i="36" s="1"/>
  <c r="E122" i="10"/>
  <c r="B24"/>
  <c r="B25" s="1"/>
  <c r="B26" s="1"/>
  <c r="B27" s="1"/>
  <c r="B29" s="1"/>
  <c r="K3" s="1"/>
  <c r="F132" s="1"/>
  <c r="D12" i="1"/>
  <c r="F13" i="30"/>
  <c r="G13"/>
  <c r="E13"/>
  <c r="A24" i="36" l="1"/>
  <c r="A20" i="14"/>
  <c r="G131" i="10"/>
  <c r="B44" i="17" s="1"/>
  <c r="G34" i="1"/>
  <c r="E112" i="10"/>
  <c r="F111"/>
  <c r="B36" i="14" s="1"/>
  <c r="L43" s="1"/>
  <c r="G14" i="30"/>
  <c r="F14"/>
  <c r="T27" i="14"/>
  <c r="E14" i="30"/>
  <c r="T19" i="14"/>
  <c r="T35"/>
  <c r="F161" i="10"/>
  <c r="B28" i="21"/>
  <c r="B28" i="25"/>
  <c r="F201" i="10"/>
  <c r="E202"/>
  <c r="F181"/>
  <c r="B28" i="23"/>
  <c r="E182" i="10"/>
  <c r="B36" i="19"/>
  <c r="B41" i="18"/>
  <c r="F151" i="10"/>
  <c r="B28" i="20"/>
  <c r="E152" i="10"/>
  <c r="E222"/>
  <c r="F221"/>
  <c r="B36" i="27" s="1"/>
  <c r="E212" i="10"/>
  <c r="F211"/>
  <c r="B36" i="26" s="1"/>
  <c r="E192" i="10"/>
  <c r="F191"/>
  <c r="B36" i="24" s="1"/>
  <c r="E172" i="10"/>
  <c r="F171"/>
  <c r="B36" i="22" s="1"/>
  <c r="D132" i="10"/>
  <c r="E132"/>
  <c r="B132"/>
  <c r="C132"/>
  <c r="G141"/>
  <c r="G132"/>
  <c r="H131"/>
  <c r="B52" i="17" s="1"/>
  <c r="G121" i="10"/>
  <c r="B40" i="36" s="1"/>
  <c r="F122" i="10"/>
  <c r="B28"/>
  <c r="B31" s="1"/>
  <c r="D11" i="1"/>
  <c r="H13" i="30"/>
  <c r="A28" i="17" l="1"/>
  <c r="A32" i="36"/>
  <c r="A28" i="14"/>
  <c r="F112" i="10"/>
  <c r="G111"/>
  <c r="B44" i="14" s="1"/>
  <c r="L51" s="1"/>
  <c r="A12" i="17"/>
  <c r="A4"/>
  <c r="A20"/>
  <c r="H14" i="30"/>
  <c r="T43" i="14"/>
  <c r="B36" i="21"/>
  <c r="G161" i="10"/>
  <c r="F162"/>
  <c r="B36" i="23"/>
  <c r="F182" i="10"/>
  <c r="G181"/>
  <c r="B36" i="25"/>
  <c r="G201" i="10"/>
  <c r="F202"/>
  <c r="B44" i="19"/>
  <c r="B49" i="18"/>
  <c r="G151" i="10"/>
  <c r="B36" i="20"/>
  <c r="F152" i="10"/>
  <c r="A36" i="17"/>
  <c r="F222" i="10"/>
  <c r="G221"/>
  <c r="B44" i="27" s="1"/>
  <c r="F212" i="10"/>
  <c r="G211"/>
  <c r="B44" i="26" s="1"/>
  <c r="F192" i="10"/>
  <c r="G191"/>
  <c r="B44" i="24" s="1"/>
  <c r="G171" i="10"/>
  <c r="B44" i="22" s="1"/>
  <c r="F172" i="10"/>
  <c r="H141"/>
  <c r="I131"/>
  <c r="B60" i="17" s="1"/>
  <c r="H132" i="10"/>
  <c r="H121"/>
  <c r="B48" i="36" s="1"/>
  <c r="G122" i="10"/>
  <c r="K4"/>
  <c r="I13" i="30"/>
  <c r="A40" i="36" l="1"/>
  <c r="A36" i="14"/>
  <c r="G112" i="10"/>
  <c r="H111"/>
  <c r="B52" i="14" s="1"/>
  <c r="L59" s="1"/>
  <c r="I14" i="30"/>
  <c r="T51" i="14"/>
  <c r="B44" i="25"/>
  <c r="G202" i="10"/>
  <c r="H201"/>
  <c r="B44" i="23"/>
  <c r="H181" i="10"/>
  <c r="G182"/>
  <c r="B44" i="21"/>
  <c r="H161" i="10"/>
  <c r="G162"/>
  <c r="B52" i="19"/>
  <c r="B57" i="18"/>
  <c r="H151" i="10"/>
  <c r="B44" i="20"/>
  <c r="G152" i="10"/>
  <c r="A44" i="17"/>
  <c r="G222" i="10"/>
  <c r="H221"/>
  <c r="B52" i="27" s="1"/>
  <c r="H211" i="10"/>
  <c r="B52" i="26" s="1"/>
  <c r="G212" i="10"/>
  <c r="E142"/>
  <c r="B142"/>
  <c r="F142"/>
  <c r="C142"/>
  <c r="D142"/>
  <c r="G142"/>
  <c r="H191"/>
  <c r="B52" i="24" s="1"/>
  <c r="G192" i="10"/>
  <c r="H171"/>
  <c r="B52" i="22" s="1"/>
  <c r="G172" i="10"/>
  <c r="H142"/>
  <c r="I141"/>
  <c r="J131"/>
  <c r="B68" i="17" s="1"/>
  <c r="I132" i="10"/>
  <c r="I121"/>
  <c r="B56" i="36" s="1"/>
  <c r="H122" i="10"/>
  <c r="J13" i="30"/>
  <c r="D10" l="1"/>
  <c r="T21" s="1"/>
  <c r="E10"/>
  <c r="T22" s="1"/>
  <c r="G10"/>
  <c r="T24" s="1"/>
  <c r="H10"/>
  <c r="T25" s="1"/>
  <c r="F10"/>
  <c r="T23" s="1"/>
  <c r="A48" i="36"/>
  <c r="A44" i="14"/>
  <c r="I111" i="10"/>
  <c r="B60" i="14" s="1"/>
  <c r="L67" s="1"/>
  <c r="H112" i="10"/>
  <c r="I10" i="30"/>
  <c r="T26" s="1"/>
  <c r="T59" i="14"/>
  <c r="J14" i="30"/>
  <c r="B52" i="23"/>
  <c r="H182" i="10"/>
  <c r="I181"/>
  <c r="B52" i="25"/>
  <c r="H202" i="10"/>
  <c r="I201"/>
  <c r="B52" i="21"/>
  <c r="H162" i="10"/>
  <c r="I161"/>
  <c r="A44" i="27"/>
  <c r="A12" i="26"/>
  <c r="A12" i="27"/>
  <c r="A4" i="26"/>
  <c r="A4" i="27"/>
  <c r="A20" i="26"/>
  <c r="A20" i="27"/>
  <c r="A36" i="26"/>
  <c r="A36" i="27"/>
  <c r="A28" i="26"/>
  <c r="A28" i="27"/>
  <c r="A44" i="25"/>
  <c r="A44" i="26"/>
  <c r="A12" i="24"/>
  <c r="A12" i="25"/>
  <c r="A4" i="24"/>
  <c r="A4" i="25"/>
  <c r="A20" i="24"/>
  <c r="A20" i="25"/>
  <c r="A36" i="24"/>
  <c r="A36" i="25"/>
  <c r="A28" i="24"/>
  <c r="A28" i="25"/>
  <c r="A44" i="23"/>
  <c r="A44" i="24"/>
  <c r="A12" i="22"/>
  <c r="A12" i="23"/>
  <c r="A4" i="22"/>
  <c r="A4" i="23"/>
  <c r="A20" i="22"/>
  <c r="A20" i="23"/>
  <c r="A36" i="22"/>
  <c r="A36" i="23"/>
  <c r="A28" i="22"/>
  <c r="A28" i="23"/>
  <c r="A44" i="21"/>
  <c r="A44" i="22"/>
  <c r="A12" i="20"/>
  <c r="A12" i="21"/>
  <c r="A4" i="20"/>
  <c r="A4" i="21"/>
  <c r="A20" i="20"/>
  <c r="A20" i="21"/>
  <c r="A36" i="20"/>
  <c r="A36" i="21"/>
  <c r="A28" i="20"/>
  <c r="A28" i="21"/>
  <c r="A44" i="20"/>
  <c r="B60" i="19"/>
  <c r="B65" i="18"/>
  <c r="I151" i="10"/>
  <c r="B52" i="20"/>
  <c r="H152" i="10"/>
  <c r="A41" i="18"/>
  <c r="A36" i="19"/>
  <c r="A13" i="18"/>
  <c r="A12" i="19"/>
  <c r="A23" i="18"/>
  <c r="A20" i="19"/>
  <c r="A57" i="18"/>
  <c r="A52" i="19"/>
  <c r="A4" i="18"/>
  <c r="A4" i="19"/>
  <c r="A33" i="18"/>
  <c r="A28" i="19"/>
  <c r="A49" i="18"/>
  <c r="A44" i="19"/>
  <c r="A52" i="17"/>
  <c r="H222" i="10"/>
  <c r="A52" i="27" s="1"/>
  <c r="I221" i="10"/>
  <c r="B60" i="27" s="1"/>
  <c r="H212" i="10"/>
  <c r="A52" i="26" s="1"/>
  <c r="I211" i="10"/>
  <c r="B60" i="26" s="1"/>
  <c r="H192" i="10"/>
  <c r="A52" i="24" s="1"/>
  <c r="I191" i="10"/>
  <c r="B60" i="24" s="1"/>
  <c r="H172" i="10"/>
  <c r="A52" i="22" s="1"/>
  <c r="I171" i="10"/>
  <c r="B60" i="22" s="1"/>
  <c r="I142" i="10"/>
  <c r="J141"/>
  <c r="J132"/>
  <c r="K131"/>
  <c r="B76" i="17" s="1"/>
  <c r="J121" i="10"/>
  <c r="B64" i="36" s="1"/>
  <c r="I122" i="10"/>
  <c r="K13" i="30"/>
  <c r="A56" i="36" l="1"/>
  <c r="A52" i="14"/>
  <c r="J111" i="10"/>
  <c r="B68" i="14" s="1"/>
  <c r="L75" s="1"/>
  <c r="I112" i="10"/>
  <c r="J10" i="30"/>
  <c r="T27" s="1"/>
  <c r="K14"/>
  <c r="T67" i="14"/>
  <c r="A52" i="21"/>
  <c r="A52" i="23"/>
  <c r="A52" i="25"/>
  <c r="B60" i="21"/>
  <c r="I162" i="10"/>
  <c r="J161"/>
  <c r="B60" i="23"/>
  <c r="I182" i="10"/>
  <c r="J181"/>
  <c r="B60" i="25"/>
  <c r="J201" i="10"/>
  <c r="I202"/>
  <c r="A52" i="20"/>
  <c r="B68" i="19"/>
  <c r="B73" i="18"/>
  <c r="J151" i="10"/>
  <c r="B60" i="20"/>
  <c r="I152" i="10"/>
  <c r="A65" i="18"/>
  <c r="A60" i="19"/>
  <c r="A60" i="17"/>
  <c r="I222" i="10"/>
  <c r="A60" i="27" s="1"/>
  <c r="J221" i="10"/>
  <c r="B68" i="27" s="1"/>
  <c r="I212" i="10"/>
  <c r="A60" i="26" s="1"/>
  <c r="J211" i="10"/>
  <c r="B68" i="26" s="1"/>
  <c r="I192" i="10"/>
  <c r="A60" i="24" s="1"/>
  <c r="J191" i="10"/>
  <c r="B68" i="24" s="1"/>
  <c r="I172" i="10"/>
  <c r="A60" i="22" s="1"/>
  <c r="J171" i="10"/>
  <c r="B68" i="22" s="1"/>
  <c r="K141" i="10"/>
  <c r="J142"/>
  <c r="K132"/>
  <c r="L131"/>
  <c r="B84" i="17" s="1"/>
  <c r="K121" i="10"/>
  <c r="B72" i="36" s="1"/>
  <c r="J122" i="10"/>
  <c r="L13" i="30"/>
  <c r="A64" i="36" l="1"/>
  <c r="A60" i="14"/>
  <c r="J112" i="10"/>
  <c r="K111"/>
  <c r="B76" i="14" s="1"/>
  <c r="L83" s="1"/>
  <c r="K10" i="30"/>
  <c r="T28" s="1"/>
  <c r="L14"/>
  <c r="T75" i="14"/>
  <c r="A60" i="21"/>
  <c r="A60" i="25"/>
  <c r="A60" i="23"/>
  <c r="B68" i="21"/>
  <c r="K161" i="10"/>
  <c r="J162"/>
  <c r="B68" i="25"/>
  <c r="J202" i="10"/>
  <c r="K201"/>
  <c r="B68" i="23"/>
  <c r="J182" i="10"/>
  <c r="K181"/>
  <c r="A60" i="20"/>
  <c r="B76" i="19"/>
  <c r="B81" i="18"/>
  <c r="K151" i="10"/>
  <c r="B68" i="20"/>
  <c r="J152" i="10"/>
  <c r="A73" i="18"/>
  <c r="A68" i="19"/>
  <c r="A68" i="17"/>
  <c r="K221" i="10"/>
  <c r="B76" i="27" s="1"/>
  <c r="J222" i="10"/>
  <c r="A68" i="27" s="1"/>
  <c r="J212" i="10"/>
  <c r="A68" i="26" s="1"/>
  <c r="K211" i="10"/>
  <c r="B76" i="26" s="1"/>
  <c r="K191" i="10"/>
  <c r="B76" i="24" s="1"/>
  <c r="J192" i="10"/>
  <c r="A68" i="24" s="1"/>
  <c r="J172" i="10"/>
  <c r="A68" i="22" s="1"/>
  <c r="K171" i="10"/>
  <c r="B76" i="22" s="1"/>
  <c r="L141" i="10"/>
  <c r="K142"/>
  <c r="L132"/>
  <c r="M131"/>
  <c r="B92" i="17" s="1"/>
  <c r="L121" i="10"/>
  <c r="B80" i="36" s="1"/>
  <c r="K122" i="10"/>
  <c r="M13" i="30"/>
  <c r="A72" i="36" l="1"/>
  <c r="A68" i="14"/>
  <c r="L111" i="10"/>
  <c r="B84" i="14" s="1"/>
  <c r="L91" s="1"/>
  <c r="K112" i="10"/>
  <c r="L10" i="30"/>
  <c r="T29" s="1"/>
  <c r="M14"/>
  <c r="T83" i="14"/>
  <c r="A68" i="21"/>
  <c r="A68" i="25"/>
  <c r="A68" i="23"/>
  <c r="B76"/>
  <c r="L181" i="10"/>
  <c r="K182"/>
  <c r="B76" i="25"/>
  <c r="L201" i="10"/>
  <c r="K202"/>
  <c r="B76" i="21"/>
  <c r="K162" i="10"/>
  <c r="L161"/>
  <c r="A68" i="20"/>
  <c r="B84" i="19"/>
  <c r="B89" i="18"/>
  <c r="L151" i="10"/>
  <c r="B76" i="20"/>
  <c r="K152" i="10"/>
  <c r="A81" i="18"/>
  <c r="A76" i="19"/>
  <c r="A76" i="17"/>
  <c r="K222" i="10"/>
  <c r="A76" i="27" s="1"/>
  <c r="L221" i="10"/>
  <c r="B84" i="27" s="1"/>
  <c r="K212" i="10"/>
  <c r="A76" i="26" s="1"/>
  <c r="L211" i="10"/>
  <c r="B84" i="26" s="1"/>
  <c r="K192" i="10"/>
  <c r="A76" i="24" s="1"/>
  <c r="L191" i="10"/>
  <c r="B84" i="24" s="1"/>
  <c r="K172" i="10"/>
  <c r="A76" i="22" s="1"/>
  <c r="L171" i="10"/>
  <c r="B84" i="22" s="1"/>
  <c r="M141" i="10"/>
  <c r="L142"/>
  <c r="M132"/>
  <c r="N131"/>
  <c r="B100" i="17" s="1"/>
  <c r="L122" i="10"/>
  <c r="M121"/>
  <c r="B88" i="36" s="1"/>
  <c r="N13" i="30"/>
  <c r="A80" i="36" l="1"/>
  <c r="A76" i="14"/>
  <c r="M111" i="10"/>
  <c r="B92" i="14" s="1"/>
  <c r="L99" s="1"/>
  <c r="L112" i="10"/>
  <c r="M10" i="30"/>
  <c r="T30" s="1"/>
  <c r="N14"/>
  <c r="T91" i="14"/>
  <c r="A76" i="23"/>
  <c r="A76" i="25"/>
  <c r="A76" i="21"/>
  <c r="B84"/>
  <c r="L162" i="10"/>
  <c r="M161"/>
  <c r="B84" i="25"/>
  <c r="L202" i="10"/>
  <c r="M201"/>
  <c r="B84" i="23"/>
  <c r="L182" i="10"/>
  <c r="M181"/>
  <c r="A76" i="20"/>
  <c r="B92" i="19"/>
  <c r="B97" i="18"/>
  <c r="M151" i="10"/>
  <c r="B84" i="20"/>
  <c r="L152" i="10"/>
  <c r="A89" i="18"/>
  <c r="A84" i="19"/>
  <c r="A84" i="17"/>
  <c r="L222" i="10"/>
  <c r="A84" i="27" s="1"/>
  <c r="M221" i="10"/>
  <c r="B92" i="27" s="1"/>
  <c r="L212" i="10"/>
  <c r="A84" i="26" s="1"/>
  <c r="M211" i="10"/>
  <c r="B92" i="26" s="1"/>
  <c r="M191" i="10"/>
  <c r="B92" i="24" s="1"/>
  <c r="L192" i="10"/>
  <c r="A84" i="24" s="1"/>
  <c r="L172" i="10"/>
  <c r="A84" i="22" s="1"/>
  <c r="M171" i="10"/>
  <c r="B92" i="22" s="1"/>
  <c r="N141" i="10"/>
  <c r="M142"/>
  <c r="N132"/>
  <c r="O131"/>
  <c r="B108" i="17" s="1"/>
  <c r="M122" i="10"/>
  <c r="N121"/>
  <c r="B96" i="36" s="1"/>
  <c r="O13" i="30"/>
  <c r="A88" i="36" l="1"/>
  <c r="A84" i="14"/>
  <c r="N111" i="10"/>
  <c r="B100" i="14" s="1"/>
  <c r="L107" s="1"/>
  <c r="M112" i="10"/>
  <c r="N10" i="30"/>
  <c r="T31" s="1"/>
  <c r="O14"/>
  <c r="T99" i="14"/>
  <c r="A84" i="25"/>
  <c r="A84" i="23"/>
  <c r="A84" i="21"/>
  <c r="B92" i="23"/>
  <c r="M182" i="10"/>
  <c r="N181"/>
  <c r="B92" i="21"/>
  <c r="M162" i="10"/>
  <c r="N161"/>
  <c r="B92" i="25"/>
  <c r="M202" i="10"/>
  <c r="N201"/>
  <c r="A84" i="20"/>
  <c r="B100" i="19"/>
  <c r="B105" i="18"/>
  <c r="N151" i="10"/>
  <c r="B92" i="20"/>
  <c r="M152" i="10"/>
  <c r="A97" i="18"/>
  <c r="A92" i="19"/>
  <c r="A92" i="17"/>
  <c r="N221" i="10"/>
  <c r="B100" i="27" s="1"/>
  <c r="M222" i="10"/>
  <c r="A92" i="27" s="1"/>
  <c r="M212" i="10"/>
  <c r="A92" i="26" s="1"/>
  <c r="N211" i="10"/>
  <c r="B100" i="26" s="1"/>
  <c r="M192" i="10"/>
  <c r="A92" i="24" s="1"/>
  <c r="N191" i="10"/>
  <c r="B100" i="24" s="1"/>
  <c r="M172" i="10"/>
  <c r="A92" i="22" s="1"/>
  <c r="N171" i="10"/>
  <c r="B100" i="22" s="1"/>
  <c r="O141" i="10"/>
  <c r="N142"/>
  <c r="P131"/>
  <c r="B116" i="17" s="1"/>
  <c r="O132" i="10"/>
  <c r="O121"/>
  <c r="B104" i="36" s="1"/>
  <c r="N122" i="10"/>
  <c r="P13" i="30"/>
  <c r="A96" i="36" l="1"/>
  <c r="A92" i="14"/>
  <c r="N112" i="10"/>
  <c r="O111"/>
  <c r="B108" i="14" s="1"/>
  <c r="L115" s="1"/>
  <c r="O10" i="30"/>
  <c r="T32" s="1"/>
  <c r="P14"/>
  <c r="T107" i="14"/>
  <c r="A92" i="25"/>
  <c r="A92" i="21"/>
  <c r="A92" i="23"/>
  <c r="B100" i="25"/>
  <c r="N202" i="10"/>
  <c r="O201"/>
  <c r="B100" i="23"/>
  <c r="O181" i="10"/>
  <c r="N182"/>
  <c r="B100" i="21"/>
  <c r="N162" i="10"/>
  <c r="O161"/>
  <c r="A92" i="20"/>
  <c r="B108" i="19"/>
  <c r="B113" i="18"/>
  <c r="O151" i="10"/>
  <c r="B100" i="20"/>
  <c r="N152" i="10"/>
  <c r="A105" i="18"/>
  <c r="A100" i="19"/>
  <c r="A100" i="17"/>
  <c r="O221" i="10"/>
  <c r="B108" i="27" s="1"/>
  <c r="N222" i="10"/>
  <c r="A100" i="27" s="1"/>
  <c r="N212" i="10"/>
  <c r="A100" i="26" s="1"/>
  <c r="O211" i="10"/>
  <c r="B108" i="26" s="1"/>
  <c r="O191" i="10"/>
  <c r="B108" i="24" s="1"/>
  <c r="N192" i="10"/>
  <c r="A100" i="24" s="1"/>
  <c r="O171" i="10"/>
  <c r="B108" i="22" s="1"/>
  <c r="N172" i="10"/>
  <c r="A100" i="22" s="1"/>
  <c r="P141" i="10"/>
  <c r="O142"/>
  <c r="Q131"/>
  <c r="B124" i="17" s="1"/>
  <c r="P132" i="10"/>
  <c r="P121"/>
  <c r="B112" i="36" s="1"/>
  <c r="O122" i="10"/>
  <c r="Q13" i="30"/>
  <c r="A104" i="36" l="1"/>
  <c r="A100" i="14"/>
  <c r="O112" i="10"/>
  <c r="P111"/>
  <c r="B116" i="14" s="1"/>
  <c r="L123" s="1"/>
  <c r="T115"/>
  <c r="P10" i="30"/>
  <c r="T33" s="1"/>
  <c r="Q14"/>
  <c r="A100" i="25"/>
  <c r="A100" i="21"/>
  <c r="A100" i="23"/>
  <c r="B108" i="21"/>
  <c r="O162" i="10"/>
  <c r="P161"/>
  <c r="B108" i="23"/>
  <c r="O182" i="10"/>
  <c r="P181"/>
  <c r="B108" i="25"/>
  <c r="O202" i="10"/>
  <c r="P201"/>
  <c r="A100" i="20"/>
  <c r="B116" i="19"/>
  <c r="B121" i="18"/>
  <c r="P151" i="10"/>
  <c r="B108" i="20"/>
  <c r="O152" i="10"/>
  <c r="A113" i="18"/>
  <c r="A108" i="19"/>
  <c r="A108" i="17"/>
  <c r="O222" i="10"/>
  <c r="A108" i="27" s="1"/>
  <c r="P221" i="10"/>
  <c r="B116" i="27" s="1"/>
  <c r="O212" i="10"/>
  <c r="A108" i="26" s="1"/>
  <c r="P211" i="10"/>
  <c r="B116" i="26" s="1"/>
  <c r="O192" i="10"/>
  <c r="A108" i="24" s="1"/>
  <c r="P191" i="10"/>
  <c r="B116" i="24" s="1"/>
  <c r="O172" i="10"/>
  <c r="A108" i="22" s="1"/>
  <c r="P171" i="10"/>
  <c r="B116" i="22" s="1"/>
  <c r="P142" i="10"/>
  <c r="Q141"/>
  <c r="Q132"/>
  <c r="R131"/>
  <c r="B132" i="17" s="1"/>
  <c r="P122" i="10"/>
  <c r="Q121"/>
  <c r="B120" i="36" s="1"/>
  <c r="R13" i="30"/>
  <c r="A112" i="36" l="1"/>
  <c r="A108" i="14"/>
  <c r="Q111" i="10"/>
  <c r="B124" i="14" s="1"/>
  <c r="L131" s="1"/>
  <c r="P112" i="10"/>
  <c r="Q10" i="30"/>
  <c r="T34" s="1"/>
  <c r="R14"/>
  <c r="T123" i="14"/>
  <c r="A108" i="21"/>
  <c r="A108" i="25"/>
  <c r="A108" i="23"/>
  <c r="B116" i="25"/>
  <c r="Q201" i="10"/>
  <c r="P202"/>
  <c r="B116" i="21"/>
  <c r="P162" i="10"/>
  <c r="Q161"/>
  <c r="B116" i="23"/>
  <c r="P182" i="10"/>
  <c r="Q181"/>
  <c r="A108" i="20"/>
  <c r="B124" i="19"/>
  <c r="B129" i="18"/>
  <c r="Q151" i="10"/>
  <c r="B116" i="20"/>
  <c r="P152" i="10"/>
  <c r="A121" i="18"/>
  <c r="A116" i="19"/>
  <c r="A116" i="17"/>
  <c r="Q221" i="10"/>
  <c r="B124" i="27" s="1"/>
  <c r="P222" i="10"/>
  <c r="A116" i="27" s="1"/>
  <c r="Q211" i="10"/>
  <c r="B124" i="26" s="1"/>
  <c r="P212" i="10"/>
  <c r="A116" i="26" s="1"/>
  <c r="Q191" i="10"/>
  <c r="B124" i="24" s="1"/>
  <c r="P192" i="10"/>
  <c r="A116" i="24" s="1"/>
  <c r="Q171" i="10"/>
  <c r="B124" i="22" s="1"/>
  <c r="P172" i="10"/>
  <c r="A116" i="22" s="1"/>
  <c r="Q142" i="10"/>
  <c r="R141"/>
  <c r="R132"/>
  <c r="S131"/>
  <c r="B140" i="17" s="1"/>
  <c r="Q122" i="10"/>
  <c r="R121"/>
  <c r="B128" i="36" s="1"/>
  <c r="S13" i="30"/>
  <c r="A120" i="36" l="1"/>
  <c r="A116" i="14"/>
  <c r="R111" i="10"/>
  <c r="B132" i="14" s="1"/>
  <c r="L139" s="1"/>
  <c r="Q112" i="10"/>
  <c r="R10" i="30"/>
  <c r="T35" s="1"/>
  <c r="S14"/>
  <c r="T131" i="14"/>
  <c r="A116" i="21"/>
  <c r="A116" i="25"/>
  <c r="A116" i="23"/>
  <c r="B124"/>
  <c r="R181" i="10"/>
  <c r="Q182"/>
  <c r="B124" i="21"/>
  <c r="Q162" i="10"/>
  <c r="R161"/>
  <c r="B124" i="25"/>
  <c r="R201" i="10"/>
  <c r="Q202"/>
  <c r="A116" i="20"/>
  <c r="B132" i="19"/>
  <c r="B137" i="18"/>
  <c r="B124" i="20"/>
  <c r="Q152" i="10"/>
  <c r="R151"/>
  <c r="A129" i="18"/>
  <c r="A124" i="19"/>
  <c r="A124" i="17"/>
  <c r="Q222" i="10"/>
  <c r="A124" i="27" s="1"/>
  <c r="R221" i="10"/>
  <c r="B132" i="27" s="1"/>
  <c r="Q212" i="10"/>
  <c r="A124" i="26" s="1"/>
  <c r="R211" i="10"/>
  <c r="B132" i="26" s="1"/>
  <c r="Q192" i="10"/>
  <c r="A124" i="24" s="1"/>
  <c r="R191" i="10"/>
  <c r="B132" i="24" s="1"/>
  <c r="Q172" i="10"/>
  <c r="A124" i="22" s="1"/>
  <c r="R171" i="10"/>
  <c r="B132" i="22" s="1"/>
  <c r="R142" i="10"/>
  <c r="S141"/>
  <c r="S132"/>
  <c r="T131"/>
  <c r="B148" i="17" s="1"/>
  <c r="R122" i="10"/>
  <c r="S121"/>
  <c r="B136" i="36" s="1"/>
  <c r="T13" i="30"/>
  <c r="A128" i="36" l="1"/>
  <c r="A124" i="14"/>
  <c r="S111" i="10"/>
  <c r="B140" i="14" s="1"/>
  <c r="L147" s="1"/>
  <c r="R112" i="10"/>
  <c r="S10" i="30"/>
  <c r="T36" s="1"/>
  <c r="T14"/>
  <c r="T139" i="14"/>
  <c r="A124" i="21"/>
  <c r="A124" i="23"/>
  <c r="A124" i="25"/>
  <c r="B132"/>
  <c r="R202" i="10"/>
  <c r="S201"/>
  <c r="B132" i="21"/>
  <c r="R162" i="10"/>
  <c r="S161"/>
  <c r="B132" i="23"/>
  <c r="S181" i="10"/>
  <c r="R182"/>
  <c r="A124" i="20"/>
  <c r="B140" i="19"/>
  <c r="B145" i="18"/>
  <c r="B132" i="20"/>
  <c r="S151" i="10"/>
  <c r="R152"/>
  <c r="A137" i="18"/>
  <c r="A132" i="19"/>
  <c r="A132" i="17"/>
  <c r="R222" i="10"/>
  <c r="A132" i="27" s="1"/>
  <c r="S221" i="10"/>
  <c r="B140" i="27" s="1"/>
  <c r="R212" i="10"/>
  <c r="A132" i="26" s="1"/>
  <c r="S211" i="10"/>
  <c r="B140" i="26" s="1"/>
  <c r="R192" i="10"/>
  <c r="A132" i="24" s="1"/>
  <c r="S191" i="10"/>
  <c r="B140" i="24" s="1"/>
  <c r="R172" i="10"/>
  <c r="A132" i="22" s="1"/>
  <c r="S171" i="10"/>
  <c r="B140" i="22" s="1"/>
  <c r="S142" i="10"/>
  <c r="T141"/>
  <c r="T132"/>
  <c r="U131"/>
  <c r="B156" i="17" s="1"/>
  <c r="T121" i="10"/>
  <c r="B144" i="36" s="1"/>
  <c r="S122" i="10"/>
  <c r="U13" i="30"/>
  <c r="A136" i="36" l="1"/>
  <c r="A132" i="14"/>
  <c r="S112" i="10"/>
  <c r="T111"/>
  <c r="B148" i="14" s="1"/>
  <c r="L155" s="1"/>
  <c r="T10" i="30"/>
  <c r="T37" s="1"/>
  <c r="U14"/>
  <c r="T147" i="14"/>
  <c r="A132" i="25"/>
  <c r="A132" i="23"/>
  <c r="A132" i="21"/>
  <c r="B140" i="25"/>
  <c r="T201" i="10"/>
  <c r="S202"/>
  <c r="B140" i="23"/>
  <c r="S182" i="10"/>
  <c r="T181"/>
  <c r="B140" i="21"/>
  <c r="S162" i="10"/>
  <c r="T161"/>
  <c r="A132" i="20"/>
  <c r="B148" i="19"/>
  <c r="B153" i="18"/>
  <c r="B140" i="20"/>
  <c r="T151" i="10"/>
  <c r="S152"/>
  <c r="A145" i="18"/>
  <c r="A140" i="19"/>
  <c r="A140" i="17"/>
  <c r="S222" i="10"/>
  <c r="A140" i="27" s="1"/>
  <c r="T221" i="10"/>
  <c r="B148" i="27" s="1"/>
  <c r="S212" i="10"/>
  <c r="A140" i="26" s="1"/>
  <c r="T211" i="10"/>
  <c r="B148" i="26" s="1"/>
  <c r="S192" i="10"/>
  <c r="A140" i="24" s="1"/>
  <c r="T191" i="10"/>
  <c r="B148" i="24" s="1"/>
  <c r="S172" i="10"/>
  <c r="A140" i="22" s="1"/>
  <c r="T171" i="10"/>
  <c r="B148" i="22" s="1"/>
  <c r="T142" i="10"/>
  <c r="U141"/>
  <c r="U132"/>
  <c r="V131"/>
  <c r="B164" i="17" s="1"/>
  <c r="U121" i="10"/>
  <c r="B152" i="36" s="1"/>
  <c r="T122" i="10"/>
  <c r="V13" i="30"/>
  <c r="A144" i="36" l="1"/>
  <c r="A140" i="14"/>
  <c r="U111" i="10"/>
  <c r="B156" i="14" s="1"/>
  <c r="L163" s="1"/>
  <c r="T112" i="10"/>
  <c r="U10" i="30"/>
  <c r="T38" s="1"/>
  <c r="V14"/>
  <c r="T155" i="14"/>
  <c r="A140" i="23"/>
  <c r="A140" i="25"/>
  <c r="A140" i="21"/>
  <c r="B148"/>
  <c r="U161" i="10"/>
  <c r="T162"/>
  <c r="B148" i="23"/>
  <c r="T182" i="10"/>
  <c r="U181"/>
  <c r="B148" i="25"/>
  <c r="U201" i="10"/>
  <c r="T202"/>
  <c r="A140" i="20"/>
  <c r="B148"/>
  <c r="U151" i="10"/>
  <c r="T152"/>
  <c r="B156" i="19"/>
  <c r="B161" i="18"/>
  <c r="A153"/>
  <c r="A148" i="19"/>
  <c r="A148" i="17"/>
  <c r="U221" i="10"/>
  <c r="B156" i="27" s="1"/>
  <c r="T222" i="10"/>
  <c r="A148" i="27" s="1"/>
  <c r="T212" i="10"/>
  <c r="A148" i="26" s="1"/>
  <c r="U211" i="10"/>
  <c r="B156" i="26" s="1"/>
  <c r="T192" i="10"/>
  <c r="A148" i="24" s="1"/>
  <c r="U191" i="10"/>
  <c r="B156" i="24" s="1"/>
  <c r="T172" i="10"/>
  <c r="A148" i="22" s="1"/>
  <c r="U171" i="10"/>
  <c r="B156" i="22" s="1"/>
  <c r="U142" i="10"/>
  <c r="V141"/>
  <c r="V132"/>
  <c r="W131"/>
  <c r="B172" i="17" s="1"/>
  <c r="V121" i="10"/>
  <c r="B160" i="36" s="1"/>
  <c r="U122" i="10"/>
  <c r="W13" i="30"/>
  <c r="A152" i="36" l="1"/>
  <c r="A148" i="14"/>
  <c r="U112" i="10"/>
  <c r="V111"/>
  <c r="B164" i="14" s="1"/>
  <c r="L171" s="1"/>
  <c r="V10" i="30"/>
  <c r="T39" s="1"/>
  <c r="W14"/>
  <c r="T163" i="14"/>
  <c r="A148" i="21"/>
  <c r="A148" i="23"/>
  <c r="A148" i="25"/>
  <c r="B156"/>
  <c r="V201" i="10"/>
  <c r="U202"/>
  <c r="B156" i="23"/>
  <c r="V181" i="10"/>
  <c r="U182"/>
  <c r="B156" i="21"/>
  <c r="V161" i="10"/>
  <c r="U162"/>
  <c r="A148" i="20"/>
  <c r="B164" i="19"/>
  <c r="B169" i="18"/>
  <c r="B156" i="20"/>
  <c r="U152" i="10"/>
  <c r="V151"/>
  <c r="A161" i="18"/>
  <c r="A156" i="19"/>
  <c r="A156" i="17"/>
  <c r="V221" i="10"/>
  <c r="B164" i="27" s="1"/>
  <c r="U222" i="10"/>
  <c r="A156" i="27" s="1"/>
  <c r="U212" i="10"/>
  <c r="A156" i="26" s="1"/>
  <c r="V211" i="10"/>
  <c r="B164" i="26" s="1"/>
  <c r="U192" i="10"/>
  <c r="A156" i="24" s="1"/>
  <c r="V191" i="10"/>
  <c r="B164" i="24" s="1"/>
  <c r="U172" i="10"/>
  <c r="A156" i="22" s="1"/>
  <c r="V171" i="10"/>
  <c r="B164" i="22" s="1"/>
  <c r="V142" i="10"/>
  <c r="W141"/>
  <c r="W132"/>
  <c r="X131"/>
  <c r="B180" i="17" s="1"/>
  <c r="W121" i="10"/>
  <c r="B169" i="36" s="1"/>
  <c r="V122" i="10"/>
  <c r="X13" i="30"/>
  <c r="A160" i="36" l="1"/>
  <c r="A156" i="14"/>
  <c r="W111" i="10"/>
  <c r="B172" i="14" s="1"/>
  <c r="L179" s="1"/>
  <c r="V112" i="10"/>
  <c r="W10" i="30"/>
  <c r="T40" s="1"/>
  <c r="X14"/>
  <c r="T171" i="14"/>
  <c r="A156" i="25"/>
  <c r="A156" i="21"/>
  <c r="A156" i="23"/>
  <c r="B164"/>
  <c r="W181" i="10"/>
  <c r="V182"/>
  <c r="B164" i="21"/>
  <c r="V162" i="10"/>
  <c r="W161"/>
  <c r="B164" i="25"/>
  <c r="W201" i="10"/>
  <c r="V202"/>
  <c r="A156" i="20"/>
  <c r="B164"/>
  <c r="W151" i="10"/>
  <c r="V152"/>
  <c r="B172" i="19"/>
  <c r="B177" i="18"/>
  <c r="A169"/>
  <c r="A164" i="19"/>
  <c r="A164" i="17"/>
  <c r="W221" i="10"/>
  <c r="B172" i="27" s="1"/>
  <c r="V222" i="10"/>
  <c r="A164" i="27" s="1"/>
  <c r="V212" i="10"/>
  <c r="A164" i="26" s="1"/>
  <c r="W211" i="10"/>
  <c r="B172" i="26" s="1"/>
  <c r="V192" i="10"/>
  <c r="A164" i="24" s="1"/>
  <c r="W191" i="10"/>
  <c r="B172" i="24" s="1"/>
  <c r="W171" i="10"/>
  <c r="B172" i="22" s="1"/>
  <c r="V172" i="10"/>
  <c r="A164" i="22" s="1"/>
  <c r="X141" i="10"/>
  <c r="W142"/>
  <c r="Y131"/>
  <c r="B188" i="17" s="1"/>
  <c r="X132" i="10"/>
  <c r="X121"/>
  <c r="B177" i="36" s="1"/>
  <c r="W122" i="10"/>
  <c r="Y13" i="30"/>
  <c r="A169" i="36" l="1"/>
  <c r="A164" i="14"/>
  <c r="W112" i="10"/>
  <c r="X111"/>
  <c r="B180" i="14" s="1"/>
  <c r="L187" s="1"/>
  <c r="X10" i="30"/>
  <c r="T41" s="1"/>
  <c r="Y14"/>
  <c r="T179" i="14"/>
  <c r="A164" i="21"/>
  <c r="A164" i="23"/>
  <c r="A164" i="25"/>
  <c r="B172"/>
  <c r="X201" i="10"/>
  <c r="W202"/>
  <c r="B172" i="21"/>
  <c r="W162" i="10"/>
  <c r="X161"/>
  <c r="B172" i="23"/>
  <c r="X181" i="10"/>
  <c r="W182"/>
  <c r="A164" i="20"/>
  <c r="B180" i="19"/>
  <c r="B185" i="18"/>
  <c r="B172" i="20"/>
  <c r="W152" i="10"/>
  <c r="X151"/>
  <c r="A177" i="18"/>
  <c r="A172" i="19"/>
  <c r="A172" i="17"/>
  <c r="W222" i="10"/>
  <c r="A172" i="27" s="1"/>
  <c r="X221" i="10"/>
  <c r="B180" i="27" s="1"/>
  <c r="X211" i="10"/>
  <c r="B180" i="26" s="1"/>
  <c r="W212" i="10"/>
  <c r="A172" i="26" s="1"/>
  <c r="X191" i="10"/>
  <c r="B180" i="24" s="1"/>
  <c r="W192" i="10"/>
  <c r="A172" i="24" s="1"/>
  <c r="W172" i="10"/>
  <c r="A172" i="22" s="1"/>
  <c r="X171" i="10"/>
  <c r="B180" i="22" s="1"/>
  <c r="Y141" i="10"/>
  <c r="X142"/>
  <c r="Z131"/>
  <c r="B196" i="17" s="1"/>
  <c r="Y132" i="10"/>
  <c r="Y121"/>
  <c r="B185" i="36" s="1"/>
  <c r="X122" i="10"/>
  <c r="Z13" i="30"/>
  <c r="A177" i="36" l="1"/>
  <c r="A172" i="14"/>
  <c r="X112" i="10"/>
  <c r="Y111"/>
  <c r="B188" i="14" s="1"/>
  <c r="L195" s="1"/>
  <c r="Y10" i="30"/>
  <c r="T42" s="1"/>
  <c r="T187" i="14"/>
  <c r="Z14" i="30"/>
  <c r="A172" i="25"/>
  <c r="A172" i="21"/>
  <c r="A172" i="23"/>
  <c r="B180"/>
  <c r="X182" i="10"/>
  <c r="Y181"/>
  <c r="B180" i="21"/>
  <c r="X162" i="10"/>
  <c r="Y161"/>
  <c r="B180" i="25"/>
  <c r="Y201" i="10"/>
  <c r="X202"/>
  <c r="A172" i="20"/>
  <c r="B188" i="19"/>
  <c r="B193" i="18"/>
  <c r="B180" i="20"/>
  <c r="Y151" i="10"/>
  <c r="X152"/>
  <c r="A185" i="18"/>
  <c r="A180" i="19"/>
  <c r="A180" i="17"/>
  <c r="Y221" i="10"/>
  <c r="B188" i="27" s="1"/>
  <c r="X222" i="10"/>
  <c r="A180" i="27" s="1"/>
  <c r="Y211" i="10"/>
  <c r="B188" i="26" s="1"/>
  <c r="X212" i="10"/>
  <c r="A180" i="26" s="1"/>
  <c r="Y191" i="10"/>
  <c r="B188" i="24" s="1"/>
  <c r="X192" i="10"/>
  <c r="A180" i="24" s="1"/>
  <c r="Y171" i="10"/>
  <c r="B188" i="22" s="1"/>
  <c r="X172" i="10"/>
  <c r="A180" i="22" s="1"/>
  <c r="Y142" i="10"/>
  <c r="Z141"/>
  <c r="AA131"/>
  <c r="B204" i="17" s="1"/>
  <c r="Z132" i="10"/>
  <c r="Z121"/>
  <c r="B193" i="36" s="1"/>
  <c r="Y122" i="10"/>
  <c r="AA13" i="30"/>
  <c r="A185" i="36" l="1"/>
  <c r="A180" i="14"/>
  <c r="Z111" i="10"/>
  <c r="B196" i="14" s="1"/>
  <c r="L203" s="1"/>
  <c r="Y112" i="10"/>
  <c r="Z10" i="30"/>
  <c r="T43" s="1"/>
  <c r="AA14"/>
  <c r="T195" i="14"/>
  <c r="A180" i="25"/>
  <c r="A180" i="21"/>
  <c r="A180" i="23"/>
  <c r="B188"/>
  <c r="Y182" i="10"/>
  <c r="Z181"/>
  <c r="B188" i="25"/>
  <c r="Z201" i="10"/>
  <c r="Y202"/>
  <c r="B188" i="21"/>
  <c r="Y162" i="10"/>
  <c r="Z161"/>
  <c r="A180" i="20"/>
  <c r="B188"/>
  <c r="Z151" i="10"/>
  <c r="Y152"/>
  <c r="B196" i="19"/>
  <c r="B201" i="18"/>
  <c r="A193"/>
  <c r="A188" i="19"/>
  <c r="A188" i="17"/>
  <c r="Y222" i="10"/>
  <c r="A188" i="27" s="1"/>
  <c r="Z221" i="10"/>
  <c r="B196" i="27" s="1"/>
  <c r="Z211" i="10"/>
  <c r="B196" i="26" s="1"/>
  <c r="Y212" i="10"/>
  <c r="A188" i="26" s="1"/>
  <c r="Z191" i="10"/>
  <c r="B196" i="24" s="1"/>
  <c r="Y192" i="10"/>
  <c r="A188" i="24" s="1"/>
  <c r="Z171" i="10"/>
  <c r="B196" i="22" s="1"/>
  <c r="Y172" i="10"/>
  <c r="A188" i="22" s="1"/>
  <c r="Z142" i="10"/>
  <c r="AA141"/>
  <c r="AB131"/>
  <c r="B212" i="17" s="1"/>
  <c r="AA132" i="10"/>
  <c r="AA121"/>
  <c r="B201" i="36" s="1"/>
  <c r="Z122" i="10"/>
  <c r="AB13" i="30"/>
  <c r="A193" i="36" l="1"/>
  <c r="A188" i="14"/>
  <c r="AA111" i="10"/>
  <c r="B204" i="14" s="1"/>
  <c r="Z112" i="10"/>
  <c r="AA10" i="30"/>
  <c r="T44" s="1"/>
  <c r="AB14"/>
  <c r="T203" i="14"/>
  <c r="A188" i="25"/>
  <c r="A188" i="21"/>
  <c r="A188" i="23"/>
  <c r="B196" i="21"/>
  <c r="Z162" i="10"/>
  <c r="AA161"/>
  <c r="B196" i="25"/>
  <c r="Z202" i="10"/>
  <c r="AA201"/>
  <c r="B196" i="23"/>
  <c r="Z182" i="10"/>
  <c r="AA181"/>
  <c r="A188" i="20"/>
  <c r="B204" i="19"/>
  <c r="B209" i="18"/>
  <c r="B196" i="20"/>
  <c r="AA151" i="10"/>
  <c r="Z152"/>
  <c r="A201" i="18"/>
  <c r="A196" i="19"/>
  <c r="A196" i="17"/>
  <c r="Z222" i="10"/>
  <c r="A196" i="27" s="1"/>
  <c r="AA221" i="10"/>
  <c r="B204" i="27" s="1"/>
  <c r="Z212" i="10"/>
  <c r="A196" i="26" s="1"/>
  <c r="AA211" i="10"/>
  <c r="B204" i="26" s="1"/>
  <c r="Z192" i="10"/>
  <c r="A196" i="24" s="1"/>
  <c r="AA191" i="10"/>
  <c r="B204" i="24" s="1"/>
  <c r="Z172" i="10"/>
  <c r="A196" i="22" s="1"/>
  <c r="AA171" i="10"/>
  <c r="B204" i="22" s="1"/>
  <c r="AA142" i="10"/>
  <c r="AB141"/>
  <c r="AB132"/>
  <c r="AC131"/>
  <c r="B220" i="17" s="1"/>
  <c r="AB121" i="10"/>
  <c r="B209" i="36" s="1"/>
  <c r="AA122" i="10"/>
  <c r="AC13" i="30"/>
  <c r="A201" i="36" l="1"/>
  <c r="L211" i="14"/>
  <c r="T235" s="1"/>
  <c r="L253"/>
  <c r="A196"/>
  <c r="AA112" i="10"/>
  <c r="AB111"/>
  <c r="B212" i="14" s="1"/>
  <c r="AB10" i="30"/>
  <c r="T45" s="1"/>
  <c r="AC14"/>
  <c r="AI14" s="1"/>
  <c r="AI13"/>
  <c r="A52" s="1"/>
  <c r="A196" i="23"/>
  <c r="A196" i="25"/>
  <c r="A196" i="21"/>
  <c r="B204" i="23"/>
  <c r="AA182" i="10"/>
  <c r="AB181"/>
  <c r="B204" i="21"/>
  <c r="AB161" i="10"/>
  <c r="AA162"/>
  <c r="B204" i="25"/>
  <c r="AA202" i="10"/>
  <c r="AB201"/>
  <c r="A196" i="20"/>
  <c r="B212" i="19"/>
  <c r="B217" i="18"/>
  <c r="B204" i="20"/>
  <c r="AA152" i="10"/>
  <c r="AB151"/>
  <c r="A209" i="18"/>
  <c r="A204" i="19"/>
  <c r="A204" i="17"/>
  <c r="AA222" i="10"/>
  <c r="A204" i="27" s="1"/>
  <c r="AB221" i="10"/>
  <c r="B212" i="27" s="1"/>
  <c r="AA212" i="10"/>
  <c r="A204" i="26" s="1"/>
  <c r="AB211" i="10"/>
  <c r="B212" i="26" s="1"/>
  <c r="AA192" i="10"/>
  <c r="A204" i="24" s="1"/>
  <c r="AB191" i="10"/>
  <c r="B212" i="24" s="1"/>
  <c r="AA172" i="10"/>
  <c r="A204" i="22" s="1"/>
  <c r="AB171" i="10"/>
  <c r="B212" i="22" s="1"/>
  <c r="AC141" i="10"/>
  <c r="AB142"/>
  <c r="AC132"/>
  <c r="AD131"/>
  <c r="B228" i="17" s="1"/>
  <c r="AB122" i="10"/>
  <c r="AC121"/>
  <c r="B217" i="36" s="1"/>
  <c r="A217" s="1"/>
  <c r="D13" i="31"/>
  <c r="A209" i="36" l="1"/>
  <c r="T251" i="14"/>
  <c r="T227"/>
  <c r="T243"/>
  <c r="T219"/>
  <c r="T211"/>
  <c r="A204"/>
  <c r="A53" i="31"/>
  <c r="AB112" i="10"/>
  <c r="AC111"/>
  <c r="B220" i="14" s="1"/>
  <c r="D14" i="31"/>
  <c r="P14" s="1"/>
  <c r="P13"/>
  <c r="L254" i="14"/>
  <c r="V6" i="1" s="1"/>
  <c r="I5" i="28"/>
  <c r="AC10" i="30"/>
  <c r="T46" s="1"/>
  <c r="A204" i="23"/>
  <c r="A204" i="21"/>
  <c r="A204" i="25"/>
  <c r="B212"/>
  <c r="AB202" i="10"/>
  <c r="AC201"/>
  <c r="B212" i="21"/>
  <c r="AB162" i="10"/>
  <c r="AC161"/>
  <c r="B212" i="23"/>
  <c r="AC181" i="10"/>
  <c r="AB182"/>
  <c r="A204" i="20"/>
  <c r="B220" i="19"/>
  <c r="B225" i="18"/>
  <c r="B212" i="20"/>
  <c r="AC151" i="10"/>
  <c r="AB152"/>
  <c r="A217" i="18"/>
  <c r="A212" i="19"/>
  <c r="A212" i="17"/>
  <c r="AC221" i="10"/>
  <c r="B220" i="27" s="1"/>
  <c r="AB222" i="10"/>
  <c r="A212" i="27" s="1"/>
  <c r="AB212" i="10"/>
  <c r="A212" i="26" s="1"/>
  <c r="AC211" i="10"/>
  <c r="B220" i="26" s="1"/>
  <c r="AB192" i="10"/>
  <c r="A212" i="24" s="1"/>
  <c r="AC191" i="10"/>
  <c r="B220" i="24" s="1"/>
  <c r="AB172" i="10"/>
  <c r="A212" i="22" s="1"/>
  <c r="AC171" i="10"/>
  <c r="B220" i="22" s="1"/>
  <c r="AD141" i="10"/>
  <c r="AC142"/>
  <c r="AD132"/>
  <c r="AE131"/>
  <c r="B236" i="17" s="1"/>
  <c r="AD121" i="10"/>
  <c r="B225" i="36" s="1"/>
  <c r="A225" s="1"/>
  <c r="AC122" i="10"/>
  <c r="V3" i="1" l="1"/>
  <c r="V3" i="36"/>
  <c r="V3" i="20"/>
  <c r="T131" s="1"/>
  <c r="V3" i="21"/>
  <c r="T179" s="1"/>
  <c r="V3" i="22"/>
  <c r="T27" s="1"/>
  <c r="V3" i="17"/>
  <c r="T203" s="1"/>
  <c r="V3" i="18"/>
  <c r="T224" s="1"/>
  <c r="V3" i="24"/>
  <c r="T11" s="1"/>
  <c r="V3" i="23"/>
  <c r="T19" s="1"/>
  <c r="V3" i="25"/>
  <c r="V3" i="26"/>
  <c r="V3" i="27"/>
  <c r="A228" i="17"/>
  <c r="A212" i="14"/>
  <c r="AD111" i="10"/>
  <c r="B228" i="14" s="1"/>
  <c r="AC112" i="10"/>
  <c r="T83" i="21"/>
  <c r="T195" i="25"/>
  <c r="T59" i="21"/>
  <c r="T211" i="26"/>
  <c r="E34" i="1"/>
  <c r="Q34" s="1"/>
  <c r="V6" i="19"/>
  <c r="V3" s="1"/>
  <c r="T227" s="1"/>
  <c r="AD10" i="30"/>
  <c r="T47" s="1"/>
  <c r="A212" i="23"/>
  <c r="A212" i="21"/>
  <c r="A212" i="25"/>
  <c r="B220"/>
  <c r="AC202" i="10"/>
  <c r="AD201"/>
  <c r="B220" i="23"/>
  <c r="AD181" i="10"/>
  <c r="AC182"/>
  <c r="B220" i="21"/>
  <c r="AC162" i="10"/>
  <c r="AD161"/>
  <c r="A212" i="20"/>
  <c r="B228" i="19"/>
  <c r="B233" i="18"/>
  <c r="B220" i="20"/>
  <c r="AD151" i="10"/>
  <c r="AC152"/>
  <c r="A220" i="19"/>
  <c r="A225" i="18"/>
  <c r="A220" i="17"/>
  <c r="AD221" i="10"/>
  <c r="B228" i="27" s="1"/>
  <c r="AC222" i="10"/>
  <c r="A220" i="27" s="1"/>
  <c r="AC212" i="10"/>
  <c r="A220" i="26" s="1"/>
  <c r="AD211" i="10"/>
  <c r="B228" i="26" s="1"/>
  <c r="AC192" i="10"/>
  <c r="A220" i="24" s="1"/>
  <c r="AD191" i="10"/>
  <c r="B228" i="24" s="1"/>
  <c r="AC172" i="10"/>
  <c r="A220" i="22" s="1"/>
  <c r="AD171" i="10"/>
  <c r="B228" i="22" s="1"/>
  <c r="AE141" i="10"/>
  <c r="AD142"/>
  <c r="AF131"/>
  <c r="AE132"/>
  <c r="AE121"/>
  <c r="B233" i="36" s="1"/>
  <c r="A233" s="1"/>
  <c r="AD122" i="10"/>
  <c r="T219" i="21" l="1"/>
  <c r="T195"/>
  <c r="T203"/>
  <c r="T35"/>
  <c r="T19"/>
  <c r="T147" i="24"/>
  <c r="T115" i="21"/>
  <c r="T147"/>
  <c r="T171"/>
  <c r="T187"/>
  <c r="T235"/>
  <c r="T107"/>
  <c r="T51"/>
  <c r="T211"/>
  <c r="T43"/>
  <c r="T91"/>
  <c r="T131"/>
  <c r="T11"/>
  <c r="T67"/>
  <c r="T123"/>
  <c r="T163"/>
  <c r="T27"/>
  <c r="T99"/>
  <c r="T155"/>
  <c r="T139"/>
  <c r="T243"/>
  <c r="T75"/>
  <c r="T227"/>
  <c r="T251"/>
  <c r="T203" i="27"/>
  <c r="T39" i="36"/>
  <c r="T111"/>
  <c r="T200"/>
  <c r="T79"/>
  <c r="T232"/>
  <c r="T119"/>
  <c r="T184"/>
  <c r="T127"/>
  <c r="T208"/>
  <c r="T216"/>
  <c r="T87"/>
  <c r="T159"/>
  <c r="T31"/>
  <c r="T143"/>
  <c r="T151"/>
  <c r="T103"/>
  <c r="T168"/>
  <c r="T47"/>
  <c r="T224"/>
  <c r="T7"/>
  <c r="T176"/>
  <c r="T55"/>
  <c r="T192"/>
  <c r="T63"/>
  <c r="T71"/>
  <c r="T15"/>
  <c r="T248"/>
  <c r="T95"/>
  <c r="T135"/>
  <c r="T240"/>
  <c r="T23"/>
  <c r="A236" i="17"/>
  <c r="A220" i="14"/>
  <c r="D18" i="1"/>
  <c r="AD112" i="10"/>
  <c r="AE111"/>
  <c r="B236" i="14" s="1"/>
  <c r="T67" i="17"/>
  <c r="T171"/>
  <c r="T168" i="18"/>
  <c r="T163" i="17"/>
  <c r="T208" i="18"/>
  <c r="T32"/>
  <c r="T96"/>
  <c r="T179" i="27"/>
  <c r="T120" i="18"/>
  <c r="T176"/>
  <c r="T112"/>
  <c r="T248"/>
  <c r="T51" i="23"/>
  <c r="T171" i="27"/>
  <c r="T48" i="18"/>
  <c r="T184"/>
  <c r="T56"/>
  <c r="T139" i="17"/>
  <c r="T67" i="22"/>
  <c r="T235" i="20"/>
  <c r="T147" i="17"/>
  <c r="T243" i="23"/>
  <c r="T115" i="17"/>
  <c r="T83"/>
  <c r="T107" i="20"/>
  <c r="T195"/>
  <c r="T19"/>
  <c r="T27" i="27"/>
  <c r="T67" i="20"/>
  <c r="T99" i="27"/>
  <c r="T155" i="20"/>
  <c r="T91" i="27"/>
  <c r="T75" i="23"/>
  <c r="T115" i="27"/>
  <c r="T195" i="23"/>
  <c r="T163"/>
  <c r="T243" i="20"/>
  <c r="T59"/>
  <c r="T123"/>
  <c r="T256" i="18"/>
  <c r="T107" i="17"/>
  <c r="T139" i="20"/>
  <c r="T91"/>
  <c r="T99" i="23"/>
  <c r="T171" i="20"/>
  <c r="T107" i="23"/>
  <c r="T99" i="25"/>
  <c r="T240" i="18"/>
  <c r="T107" i="27"/>
  <c r="T179" i="23"/>
  <c r="T251" i="27"/>
  <c r="T187"/>
  <c r="T40" i="18"/>
  <c r="T43" i="27"/>
  <c r="T232" i="18"/>
  <c r="T67" i="23"/>
  <c r="T123"/>
  <c r="T147"/>
  <c r="T163" i="27"/>
  <c r="T64" i="18"/>
  <c r="T203" i="20"/>
  <c r="T163"/>
  <c r="T139" i="23"/>
  <c r="T35"/>
  <c r="T171"/>
  <c r="T251"/>
  <c r="T187"/>
  <c r="T123" i="27"/>
  <c r="T27" i="25"/>
  <c r="T59" i="27"/>
  <c r="T235"/>
  <c r="T27" i="19"/>
  <c r="T59" i="26"/>
  <c r="T83" i="20"/>
  <c r="T243" i="25"/>
  <c r="T83" i="27"/>
  <c r="T251" i="20"/>
  <c r="T27"/>
  <c r="T163" i="25"/>
  <c r="T131"/>
  <c r="T59" i="23"/>
  <c r="T35" i="27"/>
  <c r="T19"/>
  <c r="T227"/>
  <c r="T67"/>
  <c r="T155" i="23"/>
  <c r="T83"/>
  <c r="T187" i="20"/>
  <c r="T211" i="27"/>
  <c r="T43" i="25"/>
  <c r="T43" i="23"/>
  <c r="T115"/>
  <c r="T131"/>
  <c r="T131" i="27"/>
  <c r="T179" i="20"/>
  <c r="T155" i="27"/>
  <c r="T243"/>
  <c r="T235" i="23"/>
  <c r="T11" i="27"/>
  <c r="T147" i="19"/>
  <c r="T51" i="20"/>
  <c r="T51" i="27"/>
  <c r="T203" i="19"/>
  <c r="T139" i="25"/>
  <c r="T123" i="19"/>
  <c r="T179"/>
  <c r="T27" i="26"/>
  <c r="T59" i="25"/>
  <c r="T235" i="22"/>
  <c r="T11" i="25"/>
  <c r="T115"/>
  <c r="T179"/>
  <c r="T107" i="26"/>
  <c r="T251"/>
  <c r="T99" i="19"/>
  <c r="T67" i="26"/>
  <c r="T187"/>
  <c r="T115"/>
  <c r="T243"/>
  <c r="T91"/>
  <c r="T107" i="25"/>
  <c r="T83" i="26"/>
  <c r="T107" i="22"/>
  <c r="T163" i="26"/>
  <c r="T211" i="25"/>
  <c r="T59" i="19"/>
  <c r="T131"/>
  <c r="T171"/>
  <c r="T35" i="25"/>
  <c r="T83" i="19"/>
  <c r="T19" i="25"/>
  <c r="T227" i="26"/>
  <c r="T203" i="22"/>
  <c r="T91" i="25"/>
  <c r="T147" i="26"/>
  <c r="T75"/>
  <c r="T67" i="19"/>
  <c r="T51" i="26"/>
  <c r="T251" i="19"/>
  <c r="T128" i="18"/>
  <c r="T235" i="24"/>
  <c r="T59" i="22"/>
  <c r="T43" i="20"/>
  <c r="T219" i="22"/>
  <c r="T11" i="20"/>
  <c r="T187" i="25"/>
  <c r="T203" i="26"/>
  <c r="T203" i="25"/>
  <c r="T43" i="19"/>
  <c r="T99" i="26"/>
  <c r="T51" i="25"/>
  <c r="T251"/>
  <c r="T179" i="26"/>
  <c r="T131"/>
  <c r="T123"/>
  <c r="T163" i="19"/>
  <c r="T75" i="25"/>
  <c r="T155" i="26"/>
  <c r="T195" i="22"/>
  <c r="T195" i="26"/>
  <c r="T200" i="18"/>
  <c r="T171" i="25"/>
  <c r="T83"/>
  <c r="T22" i="18"/>
  <c r="T179" i="22"/>
  <c r="T147" i="20"/>
  <c r="T19" i="19"/>
  <c r="T219" i="20"/>
  <c r="T219" i="27"/>
  <c r="T219" i="25"/>
  <c r="T35" i="26"/>
  <c r="T115" i="19"/>
  <c r="T211"/>
  <c r="T67" i="25"/>
  <c r="T139" i="26"/>
  <c r="T123" i="22"/>
  <c r="T43" i="26"/>
  <c r="T187" i="19"/>
  <c r="T235"/>
  <c r="T235" i="26"/>
  <c r="T243" i="19"/>
  <c r="T155" i="25"/>
  <c r="T139" i="19"/>
  <c r="T219" i="26"/>
  <c r="T11"/>
  <c r="T115" i="20"/>
  <c r="T35"/>
  <c r="T75"/>
  <c r="T219" i="23"/>
  <c r="T51" i="19"/>
  <c r="T147" i="25"/>
  <c r="T235"/>
  <c r="T19" i="26"/>
  <c r="T227" i="25"/>
  <c r="T91" i="19"/>
  <c r="T35"/>
  <c r="T192" i="18"/>
  <c r="T171" i="26"/>
  <c r="T211" i="20"/>
  <c r="T99"/>
  <c r="T227"/>
  <c r="T107" i="19"/>
  <c r="T123" i="25"/>
  <c r="T136" i="18"/>
  <c r="T203" i="24"/>
  <c r="T131"/>
  <c r="T235" i="17"/>
  <c r="T11" i="19"/>
  <c r="T211" i="24"/>
  <c r="T51"/>
  <c r="T91" i="17"/>
  <c r="T75" i="24"/>
  <c r="T27" i="17"/>
  <c r="T179"/>
  <c r="T99"/>
  <c r="T43" i="24"/>
  <c r="T27"/>
  <c r="T11" i="17"/>
  <c r="T144" i="18"/>
  <c r="T187" i="22"/>
  <c r="T211" i="17"/>
  <c r="T216" i="18"/>
  <c r="T195" i="19"/>
  <c r="T80" i="18"/>
  <c r="T91" i="22"/>
  <c r="T163" i="24"/>
  <c r="T195" i="17"/>
  <c r="T243" i="24"/>
  <c r="T51" i="22"/>
  <c r="T243"/>
  <c r="T227"/>
  <c r="T160" i="18"/>
  <c r="T104"/>
  <c r="T139" i="24"/>
  <c r="T187" i="17"/>
  <c r="T227"/>
  <c r="T27" i="23"/>
  <c r="T83" i="24"/>
  <c r="T59" i="17"/>
  <c r="T91" i="23"/>
  <c r="T72" i="18"/>
  <c r="T139" i="22"/>
  <c r="T11" i="23"/>
  <c r="T155" i="19"/>
  <c r="T75"/>
  <c r="T67" i="24"/>
  <c r="T99" i="22"/>
  <c r="T243" i="17"/>
  <c r="T35" i="24"/>
  <c r="T187"/>
  <c r="T51" i="17"/>
  <c r="T107" i="24"/>
  <c r="T131" i="17"/>
  <c r="T19" i="22"/>
  <c r="T75"/>
  <c r="T163"/>
  <c r="T83"/>
  <c r="T131"/>
  <c r="T155" i="24"/>
  <c r="T99"/>
  <c r="T251"/>
  <c r="T91"/>
  <c r="T43" i="22"/>
  <c r="T219" i="24"/>
  <c r="T115"/>
  <c r="T75" i="17"/>
  <c r="T43"/>
  <c r="T123"/>
  <c r="T35"/>
  <c r="T123" i="24"/>
  <c r="T171"/>
  <c r="T195"/>
  <c r="T219" i="17"/>
  <c r="T11" i="22"/>
  <c r="T211"/>
  <c r="T195" i="27"/>
  <c r="T75"/>
  <c r="T35" i="22"/>
  <c r="T203" i="23"/>
  <c r="T179" i="24"/>
  <c r="T19"/>
  <c r="T251" i="22"/>
  <c r="T155"/>
  <c r="T88" i="18"/>
  <c r="T19" i="17"/>
  <c r="T227" i="24"/>
  <c r="T59"/>
  <c r="T251" i="17"/>
  <c r="T155"/>
  <c r="T227" i="23"/>
  <c r="T147" i="27"/>
  <c r="T139"/>
  <c r="T219" i="19"/>
  <c r="T152" i="18"/>
  <c r="T115" i="22"/>
  <c r="T147"/>
  <c r="T171"/>
  <c r="T211" i="23"/>
  <c r="T12" i="18"/>
  <c r="AE10" i="30"/>
  <c r="T48" s="1"/>
  <c r="A220" i="23"/>
  <c r="A220" i="21"/>
  <c r="A220" i="25"/>
  <c r="B228" i="21"/>
  <c r="AE161" i="10"/>
  <c r="AD162"/>
  <c r="B228" i="23"/>
  <c r="AE181" i="10"/>
  <c r="AD182"/>
  <c r="B228" i="25"/>
  <c r="AE201" i="10"/>
  <c r="AD202"/>
  <c r="A220" i="20"/>
  <c r="AF132" i="10"/>
  <c r="B244" i="17"/>
  <c r="B236" i="19"/>
  <c r="B241" i="18"/>
  <c r="B228" i="20"/>
  <c r="AE151" i="10"/>
  <c r="AD152"/>
  <c r="A233" i="18"/>
  <c r="A228" i="19"/>
  <c r="AD222" i="10"/>
  <c r="A228" i="27" s="1"/>
  <c r="AE221" i="10"/>
  <c r="B236" i="27" s="1"/>
  <c r="AE211" i="10"/>
  <c r="B236" i="26" s="1"/>
  <c r="AD212" i="10"/>
  <c r="A228" i="26" s="1"/>
  <c r="AD192" i="10"/>
  <c r="A228" i="24" s="1"/>
  <c r="AE191" i="10"/>
  <c r="B236" i="24" s="1"/>
  <c r="AE171" i="10"/>
  <c r="B236" i="22" s="1"/>
  <c r="AD172" i="10"/>
  <c r="A228" i="22" s="1"/>
  <c r="AE142" i="10"/>
  <c r="AF141"/>
  <c r="AE122"/>
  <c r="AF121"/>
  <c r="B241" i="36" s="1"/>
  <c r="A241" s="1"/>
  <c r="A228" i="14" l="1"/>
  <c r="AE112" i="10"/>
  <c r="AF111"/>
  <c r="AF112" s="1"/>
  <c r="AF10" i="30"/>
  <c r="A228" i="23"/>
  <c r="A228" i="25"/>
  <c r="A228" i="21"/>
  <c r="B236" i="23"/>
  <c r="AF181" i="10"/>
  <c r="AE182"/>
  <c r="B236" i="25"/>
  <c r="AE202" i="10"/>
  <c r="AF201"/>
  <c r="B236" i="21"/>
  <c r="AF161" i="10"/>
  <c r="AE162"/>
  <c r="A228" i="20"/>
  <c r="AF122" i="10"/>
  <c r="AF142"/>
  <c r="B244" i="19"/>
  <c r="A244" s="1"/>
  <c r="B249" i="18"/>
  <c r="A249" s="1"/>
  <c r="B236" i="20"/>
  <c r="AE152" i="10"/>
  <c r="AF151"/>
  <c r="A244" i="17"/>
  <c r="A241" i="18"/>
  <c r="A236" i="19"/>
  <c r="AE222" i="10"/>
  <c r="A236" i="27" s="1"/>
  <c r="AF221" i="10"/>
  <c r="AE212"/>
  <c r="A236" i="26" s="1"/>
  <c r="AF211" i="10"/>
  <c r="AE192"/>
  <c r="A236" i="24" s="1"/>
  <c r="AF191" i="10"/>
  <c r="AF171"/>
  <c r="AE172"/>
  <c r="A236" i="22" s="1"/>
  <c r="A236" i="14" l="1"/>
  <c r="B244"/>
  <c r="A244" s="1"/>
  <c r="AF11" i="30"/>
  <c r="T49"/>
  <c r="AG10"/>
  <c r="A236" i="23"/>
  <c r="A236" i="25"/>
  <c r="A236" i="21"/>
  <c r="AF162" i="10"/>
  <c r="B244" i="21"/>
  <c r="A244" s="1"/>
  <c r="B244" i="25"/>
  <c r="AF202" i="10"/>
  <c r="AF182"/>
  <c r="B244" i="23"/>
  <c r="AF172" i="10"/>
  <c r="B244" i="22"/>
  <c r="AF222" i="10"/>
  <c r="B244" i="27"/>
  <c r="AF212" i="10"/>
  <c r="B244" i="26"/>
  <c r="A244" s="1"/>
  <c r="AF192" i="10"/>
  <c r="B244" i="24"/>
  <c r="A244" s="1"/>
  <c r="A236" i="20"/>
  <c r="AF152" i="10"/>
  <c r="B244" i="20"/>
  <c r="AG11" i="30" l="1"/>
  <c r="T50"/>
  <c r="AH10"/>
  <c r="A244" i="27"/>
  <c r="A244" i="22"/>
  <c r="A244" i="23"/>
  <c r="A244" i="25"/>
  <c r="A244" i="20"/>
  <c r="AH11" i="30" l="1"/>
  <c r="T51"/>
  <c r="Q48" s="1"/>
  <c r="AI12"/>
  <c r="A18" s="1"/>
  <c r="Q45" l="1"/>
  <c r="Q50"/>
  <c r="Q51"/>
  <c r="Q21"/>
  <c r="Q23"/>
  <c r="Q22"/>
  <c r="Q24"/>
  <c r="Q26"/>
  <c r="Q25"/>
  <c r="Q27"/>
  <c r="Q28"/>
  <c r="Q29"/>
  <c r="Q30"/>
  <c r="Q31"/>
  <c r="Q32"/>
  <c r="Q33"/>
  <c r="Q34"/>
  <c r="Q38"/>
  <c r="Q35"/>
  <c r="Q36"/>
  <c r="Q37"/>
  <c r="Q39"/>
  <c r="Q40"/>
  <c r="Q41"/>
  <c r="Q42"/>
  <c r="Q43"/>
  <c r="Q46"/>
  <c r="Q44"/>
  <c r="Q49"/>
  <c r="Q47"/>
  <c r="D7" i="1"/>
</calcChain>
</file>

<file path=xl/comments1.xml><?xml version="1.0" encoding="utf-8"?>
<comments xmlns="http://schemas.openxmlformats.org/spreadsheetml/2006/main">
  <authors>
    <author>Darius` Cerniavskis</author>
  </authors>
  <commentList>
    <comment ref="AG1" authorId="0">
      <text>
        <r>
          <rPr>
            <b/>
            <sz val="9"/>
            <color indexed="81"/>
            <rFont val="Tahoma"/>
            <family val="2"/>
          </rPr>
          <t xml:space="preserve">Prioritetas:
0- aukščiausias
9- žemiausias
</t>
        </r>
      </text>
    </comment>
    <comment ref="AH1" authorId="0">
      <text>
        <r>
          <rPr>
            <b/>
            <sz val="9"/>
            <color indexed="81"/>
            <rFont val="Tahoma"/>
            <family val="2"/>
          </rPr>
          <t>Pavardes santrupa rūšoiavimui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 xml:space="preserve">Eilučių skaičius mėnesaių skiltyse skirtų vienai dienai (standartas)
</t>
        </r>
      </text>
    </comment>
  </commentList>
</comments>
</file>

<file path=xl/comments2.xml><?xml version="1.0" encoding="utf-8"?>
<comments xmlns="http://schemas.openxmlformats.org/spreadsheetml/2006/main">
  <authors>
    <author>Darius` Cerniavskis</author>
  </authors>
  <commentList>
    <comment ref="C6" authorId="0">
      <text>
        <r>
          <rPr>
            <b/>
            <sz val="9"/>
            <color indexed="81"/>
            <rFont val="Tahoma"/>
            <charset val="1"/>
          </rPr>
          <t>Norint perkelti duomenis reikia:
1. pažymėti duomenis;
2. Nukopijuoti (ctrl + C)
3. Pastatyti kursorių naujon vieton;
4. Paspausti dešinį pelės mygtuką;
5. Pasirinkti "Paste special"
6. Išsirinkti "Values"
7. OK</t>
        </r>
      </text>
    </comment>
  </commentList>
</comments>
</file>

<file path=xl/comments3.xml><?xml version="1.0" encoding="utf-8"?>
<comments xmlns="http://schemas.openxmlformats.org/spreadsheetml/2006/main">
  <authors>
    <author>Darius` Cerniavskis</author>
  </authors>
  <commentList>
    <comment ref="D248" authorId="0">
      <text>
        <r>
          <rPr>
            <b/>
            <sz val="9"/>
            <color indexed="81"/>
            <rFont val="Tahoma"/>
            <family val="2"/>
            <charset val="186"/>
          </rPr>
          <t>13 d. * 2</t>
        </r>
      </text>
    </comment>
    <comment ref="E248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13 d. *2 +1 formuėje
</t>
        </r>
      </text>
    </comment>
    <comment ref="F248" authorId="0">
      <text>
        <r>
          <rPr>
            <b/>
            <sz val="9"/>
            <color indexed="81"/>
            <rFont val="Tahoma"/>
            <family val="2"/>
            <charset val="186"/>
          </rPr>
          <t>12 d. *2</t>
        </r>
      </text>
    </comment>
    <comment ref="I248" authorId="0">
      <text>
        <r>
          <rPr>
            <b/>
            <sz val="9"/>
            <color indexed="81"/>
            <rFont val="Tahoma"/>
            <family val="2"/>
            <charset val="186"/>
          </rPr>
          <t>12 d. *2</t>
        </r>
      </text>
    </comment>
    <comment ref="J248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12 d. *2
</t>
        </r>
      </text>
    </comment>
    <comment ref="D249" authorId="0">
      <text>
        <r>
          <rPr>
            <b/>
            <sz val="9"/>
            <color indexed="81"/>
            <rFont val="Tahoma"/>
            <family val="2"/>
            <charset val="186"/>
          </rPr>
          <t>Neįrauktas paskutinis daruotojas</t>
        </r>
      </text>
    </comment>
    <comment ref="E249" authorId="0">
      <text>
        <r>
          <rPr>
            <b/>
            <sz val="9"/>
            <color indexed="81"/>
            <rFont val="Tahoma"/>
            <family val="2"/>
            <charset val="186"/>
          </rPr>
          <t>Neįrauktas paskutinis daruotojas</t>
        </r>
      </text>
    </comment>
  </commentList>
</comments>
</file>

<file path=xl/comments4.xml><?xml version="1.0" encoding="utf-8"?>
<comments xmlns="http://schemas.openxmlformats.org/spreadsheetml/2006/main">
  <authors>
    <author>Darius` Cerniavskis</author>
  </authors>
  <commentList>
    <comment ref="D143" authorId="0">
      <text>
        <r>
          <rPr>
            <b/>
            <sz val="9"/>
            <color indexed="81"/>
            <rFont val="Tahoma"/>
            <charset val="1"/>
          </rPr>
          <t>Originale nesumuojama 143 eiulutė</t>
        </r>
      </text>
    </comment>
    <comment ref="A254" authorId="0">
      <text>
        <r>
          <rPr>
            <b/>
            <sz val="9"/>
            <color indexed="81"/>
            <rFont val="Tahoma"/>
            <family val="2"/>
            <charset val="186"/>
          </rPr>
          <t>17-ą dieną neskaičiuoja 143 eilutės</t>
        </r>
      </text>
    </comment>
    <comment ref="D254" authorId="0">
      <text>
        <r>
          <rPr>
            <b/>
            <sz val="9"/>
            <color indexed="81"/>
            <rFont val="Tahoma"/>
            <family val="2"/>
            <charset val="186"/>
          </rPr>
          <t>7 d. Neskaičiuoja vakarinės pamainos</t>
        </r>
      </text>
    </comment>
    <comment ref="E254" authorId="0">
      <text>
        <r>
          <rPr>
            <b/>
            <sz val="9"/>
            <color indexed="81"/>
            <rFont val="Tahoma"/>
            <family val="2"/>
            <charset val="186"/>
          </rPr>
          <t>7 d. Neskaičiuoja vakarinės pamainos</t>
        </r>
      </text>
    </comment>
    <comment ref="F254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Sumavimo košė iki 18 d.
</t>
        </r>
      </text>
    </comment>
    <comment ref="G254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Sumavimo košė iki 18 d.
</t>
        </r>
      </text>
    </comment>
    <comment ref="H254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Sumavimo košė iki 18 d.
</t>
        </r>
      </text>
    </comment>
    <comment ref="I254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Sumavimo košė iki 18 d.
</t>
        </r>
      </text>
    </comment>
    <comment ref="J254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Sumavimo košė iki 18 d.
</t>
        </r>
      </text>
    </comment>
    <comment ref="K254" authorId="0">
      <text>
        <r>
          <rPr>
            <b/>
            <sz val="9"/>
            <color indexed="81"/>
            <rFont val="Tahoma"/>
            <family val="2"/>
            <charset val="186"/>
          </rPr>
          <t xml:space="preserve">Sumavimo košė iki 18 d.
</t>
        </r>
      </text>
    </comment>
  </commentList>
</comments>
</file>

<file path=xl/comments5.xml><?xml version="1.0" encoding="utf-8"?>
<comments xmlns="http://schemas.openxmlformats.org/spreadsheetml/2006/main">
  <authors>
    <author>Darius` Cerniavskis</author>
  </authors>
  <commentList>
    <comment ref="F17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  <comment ref="F52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</commentList>
</comments>
</file>

<file path=xl/comments6.xml><?xml version="1.0" encoding="utf-8"?>
<comments xmlns="http://schemas.openxmlformats.org/spreadsheetml/2006/main">
  <authors>
    <author>Darius` Cerniavskis</author>
  </authors>
  <commentList>
    <comment ref="F17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  <comment ref="F52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</commentList>
</comments>
</file>

<file path=xl/sharedStrings.xml><?xml version="1.0" encoding="utf-8"?>
<sst xmlns="http://schemas.openxmlformats.org/spreadsheetml/2006/main" count="2036" uniqueCount="220">
  <si>
    <t>Psw:sukciai</t>
  </si>
  <si>
    <t>Sukčiavimo pranešimų apdorojimas</t>
  </si>
  <si>
    <t>per praėjusią parą</t>
  </si>
  <si>
    <t>Iš viso nuo centro veiklos pradžios (2025-01-27)</t>
  </si>
  <si>
    <t>Paimti ROIK pranešimai (skaičius)</t>
  </si>
  <si>
    <t>C5, C7, C8, C9, C10, C11, C12, C13, C14, C15, C16, C17, C18</t>
  </si>
  <si>
    <t>Apdorota įvykių nuotoliu</t>
  </si>
  <si>
    <t>Tikslinamos aplinkybės (M)</t>
  </si>
  <si>
    <t>Pradėta IT</t>
  </si>
  <si>
    <t>Informuotos kitos institucijos, iš jų:</t>
  </si>
  <si>
    <t>Bankas</t>
  </si>
  <si>
    <t>RRT</t>
  </si>
  <si>
    <t>FNTT</t>
  </si>
  <si>
    <t>NKSC</t>
  </si>
  <si>
    <t>Facebook</t>
  </si>
  <si>
    <t>Kita</t>
  </si>
  <si>
    <t>Pasisavintų lėšų suma, Eur (visų pranešimų) *</t>
  </si>
  <si>
    <t>* Preliminari žala, pateikta pagal pirminę pranešėjų informaciją</t>
  </si>
  <si>
    <t>METŲ REZULTATAS</t>
  </si>
  <si>
    <t>Sausis</t>
  </si>
  <si>
    <t>Vasaris</t>
  </si>
  <si>
    <t>Kovas</t>
  </si>
  <si>
    <t>Balandis</t>
  </si>
  <si>
    <t>Gegužė</t>
  </si>
  <si>
    <t>Birželis</t>
  </si>
  <si>
    <t>Liepa</t>
  </si>
  <si>
    <t>Rugpjūtis</t>
  </si>
  <si>
    <t>Rugsėjis</t>
  </si>
  <si>
    <t>Spalis</t>
  </si>
  <si>
    <t>Lapkritis</t>
  </si>
  <si>
    <t>Gruodis</t>
  </si>
  <si>
    <t>VISO</t>
  </si>
  <si>
    <t>Informuotos kitos institucijos</t>
  </si>
  <si>
    <t>Pasisavintų lėšų suma       (visų pranešimų)</t>
  </si>
  <si>
    <r>
      <rPr>
        <b/>
        <sz val="20"/>
        <color rgb="FF000000"/>
        <rFont val="Calibri"/>
        <family val="2"/>
        <charset val="186"/>
      </rPr>
      <t xml:space="preserve">METŲ REZULTATŲ LENTELĖS
PVV3 DARBUOTOJAMS NEPILDYTI
</t>
    </r>
    <r>
      <rPr>
        <b/>
        <sz val="14"/>
        <color rgb="FFFFFFFF"/>
        <rFont val="Calibri"/>
        <family val="2"/>
        <charset val="186"/>
      </rPr>
      <t>(turėtų skaičiuoti automatiškai)</t>
    </r>
  </si>
  <si>
    <t>Mėnesio
diena</t>
  </si>
  <si>
    <t>Vardas, pavardė. Pamaina D/N</t>
  </si>
  <si>
    <t>Apdorota</t>
  </si>
  <si>
    <t>INFORMUOTA</t>
  </si>
  <si>
    <t>Pasisavintų lėšų suma (visų pranešimų)</t>
  </si>
  <si>
    <t>Neapdorota (siųstos pajėgos)</t>
  </si>
  <si>
    <t>Kontrolinis</t>
  </si>
  <si>
    <t>Pastabos</t>
  </si>
  <si>
    <t>Kontr.
Kasdienė eilutė
(Žalos)</t>
  </si>
  <si>
    <t>Kita/įrašyti</t>
  </si>
  <si>
    <t>dienos foto</t>
  </si>
  <si>
    <t>Saulius Merkininkas, D.</t>
  </si>
  <si>
    <t>Vitalija Jokubynienė, N.</t>
  </si>
  <si>
    <t>Laura Mendelienė, D.</t>
  </si>
  <si>
    <t>Vaidas Šeduikis, D.</t>
  </si>
  <si>
    <t>Jurgita Pilypaitienė, D.</t>
  </si>
  <si>
    <t>Laura Mendelienė, N.</t>
  </si>
  <si>
    <t>Agnė Čepukė, D.</t>
  </si>
  <si>
    <t>Tomas Žuramskas, N.</t>
  </si>
  <si>
    <t>Saulius Merkininkas, N.</t>
  </si>
  <si>
    <t>Giedrė Sajetaitė, D.</t>
  </si>
  <si>
    <t>Tomas Žuramskas, D.</t>
  </si>
  <si>
    <t>Mėnesio foto</t>
  </si>
  <si>
    <t>Vitalija Jokubynienė, D.</t>
  </si>
  <si>
    <t>Jurgita Pilypaitienė, N.</t>
  </si>
  <si>
    <t>Vaidas Šeduikis, N.</t>
  </si>
  <si>
    <t>netinka dienos foto</t>
  </si>
  <si>
    <t>Lauros</t>
  </si>
  <si>
    <t>netinka iš viso</t>
  </si>
  <si>
    <t>Giedrė Sajetaitė, N.</t>
  </si>
  <si>
    <t xml:space="preserve">Vilniaus apskr. VPK </t>
  </si>
  <si>
    <t xml:space="preserve">Marijampolės apskr. VPK Vilkaviškio r. PK </t>
  </si>
  <si>
    <t>Panevėžio apskr. VPK</t>
  </si>
  <si>
    <t xml:space="preserve">Kauno apskr. VPK </t>
  </si>
  <si>
    <t>Iš viso Lietuvoje:</t>
  </si>
  <si>
    <t>Pervesta 8530 USD (konvertuota į eurus)</t>
  </si>
  <si>
    <t>14-16 val. pas gydytojus</t>
  </si>
  <si>
    <t>1926.47</t>
  </si>
  <si>
    <t>14-16 val. gydymo įstaigoje</t>
  </si>
  <si>
    <t>Nuo 19-21 val. į gyd. įstaiga nugaros masažas</t>
  </si>
  <si>
    <t>(darbas nuo 7 iki 13:30 val.)</t>
  </si>
  <si>
    <t>darbas iki 14 val.</t>
  </si>
  <si>
    <t xml:space="preserve"> </t>
  </si>
  <si>
    <t>1 d.</t>
  </si>
  <si>
    <t>2 d.</t>
  </si>
  <si>
    <t>3 d.</t>
  </si>
  <si>
    <t>4 d.</t>
  </si>
  <si>
    <t>5 d.</t>
  </si>
  <si>
    <t>6 d.</t>
  </si>
  <si>
    <t>7 d.</t>
  </si>
  <si>
    <t>8 d.</t>
  </si>
  <si>
    <t>9 d.</t>
  </si>
  <si>
    <t>10 d.</t>
  </si>
  <si>
    <t>11 d.</t>
  </si>
  <si>
    <t>12 d.</t>
  </si>
  <si>
    <t>13 d.</t>
  </si>
  <si>
    <t>14 d.</t>
  </si>
  <si>
    <t>15 d.</t>
  </si>
  <si>
    <t>16 d.</t>
  </si>
  <si>
    <t>17 d.</t>
  </si>
  <si>
    <t>18 d.</t>
  </si>
  <si>
    <t>19 d.</t>
  </si>
  <si>
    <t>20 d.</t>
  </si>
  <si>
    <t>21 d.</t>
  </si>
  <si>
    <t>22 d.</t>
  </si>
  <si>
    <t>23 d.</t>
  </si>
  <si>
    <t>24 d.</t>
  </si>
  <si>
    <t>25 d.</t>
  </si>
  <si>
    <t>26 d.</t>
  </si>
  <si>
    <t>27 d.</t>
  </si>
  <si>
    <t>28 d.</t>
  </si>
  <si>
    <t>29 d.</t>
  </si>
  <si>
    <t>30 d.</t>
  </si>
  <si>
    <t>31 d.</t>
  </si>
  <si>
    <t>Iš viso</t>
  </si>
  <si>
    <t>sausio</t>
  </si>
  <si>
    <t>I</t>
  </si>
  <si>
    <t>vasario</t>
  </si>
  <si>
    <t>II</t>
  </si>
  <si>
    <t>kovo</t>
  </si>
  <si>
    <t>III</t>
  </si>
  <si>
    <t>balandžio</t>
  </si>
  <si>
    <t>IV</t>
  </si>
  <si>
    <t>gegužės</t>
  </si>
  <si>
    <t>birželio</t>
  </si>
  <si>
    <t>liepos</t>
  </si>
  <si>
    <t>rugpjūčio</t>
  </si>
  <si>
    <t>rugsėjo</t>
  </si>
  <si>
    <t>spalio</t>
  </si>
  <si>
    <t>lapkričio</t>
  </si>
  <si>
    <t>gruodžio</t>
  </si>
  <si>
    <t>Velyku skaiciuokle</t>
  </si>
  <si>
    <t>Metai</t>
  </si>
  <si>
    <t>a</t>
  </si>
  <si>
    <t>b</t>
  </si>
  <si>
    <t>c</t>
  </si>
  <si>
    <t>d</t>
  </si>
  <si>
    <t>e1</t>
  </si>
  <si>
    <t>e2</t>
  </si>
  <si>
    <t>e3</t>
  </si>
  <si>
    <t>diena</t>
  </si>
  <si>
    <t>menuo</t>
  </si>
  <si>
    <t>Velykos</t>
  </si>
  <si>
    <t>Metai:</t>
  </si>
  <si>
    <t>PASAULIO PAB.</t>
  </si>
  <si>
    <t>Menuo</t>
  </si>
  <si>
    <t>Dienų sk.</t>
  </si>
  <si>
    <t>Menuo skaičium</t>
  </si>
  <si>
    <t>Dienos eilutes</t>
  </si>
  <si>
    <t>Jurgita Pilypaitienė N.</t>
  </si>
  <si>
    <t>Agnė Čepukė, N.</t>
  </si>
  <si>
    <t>pil</t>
  </si>
  <si>
    <t>saj</t>
  </si>
  <si>
    <t>žur</t>
  </si>
  <si>
    <t>mer</t>
  </si>
  <si>
    <t>jok</t>
  </si>
  <si>
    <t>men</t>
  </si>
  <si>
    <t>šed</t>
  </si>
  <si>
    <t>čep</t>
  </si>
  <si>
    <t>vil</t>
  </si>
  <si>
    <t>pan</t>
  </si>
  <si>
    <t>kau</t>
  </si>
  <si>
    <t>Aidas Kiukys, N.</t>
  </si>
  <si>
    <t>Aidas Kiukys, D.</t>
  </si>
  <si>
    <t>kiu</t>
  </si>
  <si>
    <t>Jurijus Aleksejevas,  D.</t>
  </si>
  <si>
    <t>Jurijus Aleksejevas,  N.</t>
  </si>
  <si>
    <t>ale</t>
  </si>
  <si>
    <t>Dalius Bacevičius, N.</t>
  </si>
  <si>
    <t>Dalius Bacevičius, D.</t>
  </si>
  <si>
    <t>bac</t>
  </si>
  <si>
    <t>mar</t>
  </si>
  <si>
    <t xml:space="preserve">mėn. </t>
  </si>
  <si>
    <t>Praeitų mėn. Žalos</t>
  </si>
  <si>
    <t>Evaldas Maskeliūnas, D.</t>
  </si>
  <si>
    <t>Evaldas Maskeliūnas, N.</t>
  </si>
  <si>
    <t>mas</t>
  </si>
  <si>
    <t>&lt;==    +    - prie šiandienos</t>
  </si>
  <si>
    <t>Reg. įvykiai</t>
  </si>
  <si>
    <t>Žala</t>
  </si>
  <si>
    <t>Žala tūkst.</t>
  </si>
  <si>
    <t>langelius nepildyti naktį dirbančiam darbuotojui nuo 00 val iki 5 val ryto</t>
  </si>
  <si>
    <t>Duomenys automatiškai persikelia iš kitų lentelių</t>
  </si>
  <si>
    <t xml:space="preserve">Registruota pranešimų (iš viso </t>
  </si>
  <si>
    <t xml:space="preserve">Patirtos žalos** (iš viso </t>
  </si>
  <si>
    <t xml:space="preserve"> €)</t>
  </si>
  <si>
    <t>Žalos diagramos duomenys:</t>
  </si>
  <si>
    <t>Pranešimų diag. duomenys:</t>
  </si>
  <si>
    <t>Mėnuo:</t>
  </si>
  <si>
    <t>Iš viso per metus</t>
  </si>
  <si>
    <t>2025 m. sausio 27 d. – 2025 m. Gegužės 31 d. registruota pranešimų</t>
  </si>
  <si>
    <t xml:space="preserve">(iš viso 7 491) </t>
  </si>
  <si>
    <t xml:space="preserve">2025 m. sausio 27 d. – </t>
  </si>
  <si>
    <t xml:space="preserve"> d. registruota pranešimų (iš viso: </t>
  </si>
  <si>
    <t>Pranešimų suvestinės diag. duomenys:</t>
  </si>
  <si>
    <t>Žalos suvestinės diagramos duomenys:</t>
  </si>
  <si>
    <r>
      <t xml:space="preserve">SUKČIAVIMŲ </t>
    </r>
    <r>
      <rPr>
        <sz val="40"/>
        <color rgb="FF000000"/>
        <rFont val="Arial"/>
        <family val="2"/>
      </rPr>
      <t xml:space="preserve"> </t>
    </r>
  </si>
  <si>
    <r>
      <t xml:space="preserve">PREVENCIJOS CENTRO </t>
    </r>
    <r>
      <rPr>
        <sz val="40"/>
        <color rgb="FF000000"/>
        <rFont val="Arial"/>
        <family val="2"/>
      </rPr>
      <t xml:space="preserve"> </t>
    </r>
  </si>
  <si>
    <t>VEIKLOS APŽVALGA</t>
  </si>
  <si>
    <t xml:space="preserve">Lietuvos bankai – </t>
  </si>
  <si>
    <t xml:space="preserve">LR ryšių reguliavimo tarnyba – </t>
  </si>
  <si>
    <t xml:space="preserve">Finansinių nusikaltimų tyrimo tarnyba prie LR VRM – </t>
  </si>
  <si>
    <t xml:space="preserve">Nacionalinis kibernetinio saugumo centras prie KAM – </t>
  </si>
  <si>
    <t xml:space="preserve">„Facebook“ – </t>
  </si>
  <si>
    <t xml:space="preserve"> d. registruota pranešimų</t>
  </si>
  <si>
    <t xml:space="preserve"> (iš viso: </t>
  </si>
  <si>
    <t xml:space="preserve"> d. patirta žalų </t>
  </si>
  <si>
    <t xml:space="preserve">(iš viso </t>
  </si>
  <si>
    <t xml:space="preserve">Skiltyje "Diagrama" atsirado stulpelis su šventinėmis dienomis, kad būtų papraščiau spalvinti diagramos stulpelius.  </t>
  </si>
  <si>
    <t>Atnaujinta skiltis "0"</t>
  </si>
  <si>
    <t>Skiltyje "Bendras metų" prie stulpelio "iš viso " atsirado stulpelis "Iš viso akščiau"</t>
  </si>
  <si>
    <t>Į šį stulpeli bus perkelaimi duomenys pasibaigus metams. Tam reikia:</t>
  </si>
  <si>
    <t>Nukopijuoti praeitų metų stulpelį "Iš viso" (CTRL+C)</t>
  </si>
  <si>
    <t>Pereiti į šių metų failą</t>
  </si>
  <si>
    <t xml:space="preserve">Atsistoti į laukellį "R23" </t>
  </si>
  <si>
    <t>Paspausti dešinį pelės mygtuką (DPM)</t>
  </si>
  <si>
    <t>Pasirinkti "Paste special" meniu punktą "Values" + OK (tam,kad  nukopijuotų reikšmes, o ne formules).</t>
  </si>
  <si>
    <t>VISO
ANKŠČIAU</t>
  </si>
  <si>
    <t>Jurijus Aleksejevas, D.</t>
  </si>
  <si>
    <t>Korekcija</t>
  </si>
  <si>
    <t>Korek. 7</t>
  </si>
  <si>
    <t>Kor. Form.</t>
  </si>
  <si>
    <t>Jurijus Aleksej, N.</t>
  </si>
  <si>
    <t>Jurijus Aleksejevas, N.</t>
  </si>
  <si>
    <t>Klausimas? Lapo Bendras stulpeliuose  D7:D18, rodyti šių metų duomenis ar nuo veiklos pradžios (dabar neaktualu, bet laikas bėga greitai).</t>
  </si>
</sst>
</file>

<file path=xl/styles.xml><?xml version="1.0" encoding="utf-8"?>
<styleSheet xmlns="http://schemas.openxmlformats.org/spreadsheetml/2006/main">
  <numFmts count="3">
    <numFmt numFmtId="164" formatCode="#,##0&quot; €&quot;;[Red]\-#,##0&quot; €&quot;"/>
    <numFmt numFmtId="165" formatCode="0.0"/>
    <numFmt numFmtId="166" formatCode="#,##0.0"/>
  </numFmts>
  <fonts count="33">
    <font>
      <sz val="11"/>
      <color rgb="FF000000"/>
      <name val="Calibri"/>
      <family val="2"/>
      <charset val="186"/>
    </font>
    <font>
      <b/>
      <sz val="11"/>
      <color rgb="FF000000"/>
      <name val="Times New Roman"/>
      <family val="1"/>
      <charset val="186"/>
    </font>
    <font>
      <b/>
      <sz val="11"/>
      <color rgb="FF000000"/>
      <name val="Calibri"/>
      <family val="2"/>
      <charset val="186"/>
    </font>
    <font>
      <sz val="11"/>
      <color rgb="FF000000"/>
      <name val="Times New Roman"/>
      <family val="1"/>
      <charset val="186"/>
    </font>
    <font>
      <sz val="10.5"/>
      <color rgb="FF000000"/>
      <name val="Times New Roman"/>
      <family val="1"/>
      <charset val="186"/>
    </font>
    <font>
      <b/>
      <sz val="20"/>
      <color rgb="FF000000"/>
      <name val="Calibri"/>
      <family val="2"/>
      <charset val="186"/>
    </font>
    <font>
      <b/>
      <sz val="14"/>
      <color rgb="FFFFFFFF"/>
      <name val="Calibri"/>
      <family val="2"/>
      <charset val="186"/>
    </font>
    <font>
      <sz val="10"/>
      <color rgb="FF000000"/>
      <name val="Times New Roman"/>
      <family val="1"/>
      <charset val="186"/>
    </font>
    <font>
      <sz val="8"/>
      <color rgb="FF000000"/>
      <name val="Times New Roman"/>
      <family val="1"/>
      <charset val="186"/>
    </font>
    <font>
      <sz val="18"/>
      <color rgb="FF000000"/>
      <name val="Calibri"/>
      <family val="2"/>
      <charset val="186"/>
    </font>
    <font>
      <sz val="12"/>
      <name val="Courier New"/>
      <family val="3"/>
      <charset val="186"/>
    </font>
    <font>
      <b/>
      <sz val="9"/>
      <color indexed="81"/>
      <name val="Tahoma"/>
      <family val="2"/>
    </font>
    <font>
      <sz val="11"/>
      <name val="Calibri"/>
      <family val="2"/>
      <charset val="186"/>
    </font>
    <font>
      <sz val="11"/>
      <color theme="0"/>
      <name val="Calibri"/>
      <family val="2"/>
      <charset val="186"/>
    </font>
    <font>
      <b/>
      <sz val="11"/>
      <color rgb="FF000000"/>
      <name val="Calibri"/>
      <family val="2"/>
    </font>
    <font>
      <b/>
      <u/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4"/>
      <color rgb="FF000000"/>
      <name val="Times New Roman"/>
      <family val="1"/>
    </font>
    <font>
      <b/>
      <sz val="14"/>
      <color theme="0"/>
      <name val="Times New Roman"/>
      <family val="1"/>
    </font>
    <font>
      <sz val="10"/>
      <color theme="0"/>
      <name val="Times New Roman"/>
      <family val="1"/>
    </font>
    <font>
      <sz val="8"/>
      <name val="Times New Roman"/>
      <family val="1"/>
      <charset val="186"/>
    </font>
    <font>
      <b/>
      <sz val="11"/>
      <name val="Calibri"/>
      <family val="2"/>
    </font>
    <font>
      <b/>
      <sz val="40"/>
      <color rgb="FF000000"/>
      <name val="Times New Roman"/>
      <family val="1"/>
    </font>
    <font>
      <sz val="40"/>
      <color rgb="FF000000"/>
      <name val="Arial"/>
      <family val="2"/>
    </font>
    <font>
      <b/>
      <sz val="18"/>
      <color rgb="FF000000"/>
      <name val="Times New Roman"/>
      <family val="1"/>
    </font>
    <font>
      <sz val="12"/>
      <color rgb="FF000000"/>
      <name val="Calibri"/>
      <family val="2"/>
      <charset val="186"/>
    </font>
    <font>
      <b/>
      <sz val="17"/>
      <color rgb="FF000000"/>
      <name val="Times New Roman"/>
      <family val="1"/>
    </font>
    <font>
      <b/>
      <sz val="14"/>
      <color rgb="FF000000"/>
      <name val="Calibri"/>
      <family val="2"/>
    </font>
    <font>
      <sz val="8"/>
      <color theme="0"/>
      <name val="Times New Roman"/>
      <family val="1"/>
      <charset val="186"/>
    </font>
    <font>
      <sz val="11"/>
      <color rgb="FFFF0000"/>
      <name val="Calibri"/>
      <family val="2"/>
      <charset val="186"/>
    </font>
    <font>
      <b/>
      <sz val="9"/>
      <color indexed="81"/>
      <name val="Tahoma"/>
      <charset val="1"/>
    </font>
    <font>
      <b/>
      <sz val="9"/>
      <color indexed="81"/>
      <name val="Tahoma"/>
      <family val="2"/>
      <charset val="186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0CECE"/>
      </patternFill>
    </fill>
    <fill>
      <patternFill patternType="solid">
        <fgColor rgb="FFDEEBF7"/>
        <bgColor rgb="FFDAE3F3"/>
      </patternFill>
    </fill>
    <fill>
      <patternFill patternType="solid">
        <fgColor rgb="FFE2F0D9"/>
        <bgColor rgb="FFDEEBF7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00B050"/>
        <bgColor rgb="FF008080"/>
      </patternFill>
    </fill>
    <fill>
      <patternFill patternType="solid">
        <fgColor rgb="FFA6A6A6"/>
        <bgColor rgb="FFB3B3B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FFE699"/>
      </patternFill>
    </fill>
    <fill>
      <patternFill patternType="solid">
        <fgColor rgb="FFFF0000"/>
        <bgColor rgb="FFFBE5D6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rgb="FFD0CECE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9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0" fontId="3" fillId="0" borderId="1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center"/>
    </xf>
    <xf numFmtId="0" fontId="2" fillId="2" borderId="0" xfId="0" applyFont="1" applyFill="1" applyAlignment="1" applyProtection="1"/>
    <xf numFmtId="0" fontId="3" fillId="0" borderId="0" xfId="0" applyFont="1" applyBorder="1" applyAlignment="1" applyProtection="1">
      <alignment vertical="center"/>
    </xf>
    <xf numFmtId="0" fontId="3" fillId="3" borderId="3" xfId="0" applyFont="1" applyFill="1" applyBorder="1" applyAlignment="1" applyProtection="1">
      <alignment vertical="center"/>
    </xf>
    <xf numFmtId="0" fontId="1" fillId="4" borderId="1" xfId="0" applyFont="1" applyFill="1" applyBorder="1" applyAlignment="1" applyProtection="1">
      <alignment horizontal="center" vertical="center" textRotation="30" wrapText="1"/>
    </xf>
    <xf numFmtId="0" fontId="2" fillId="4" borderId="1" xfId="0" applyFont="1" applyFill="1" applyBorder="1" applyAlignment="1" applyProtection="1">
      <alignment horizontal="center" vertical="center" textRotation="30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3" fillId="3" borderId="1" xfId="0" applyFont="1" applyFill="1" applyBorder="1" applyAlignment="1" applyProtection="1">
      <alignment vertical="center"/>
    </xf>
    <xf numFmtId="4" fontId="0" fillId="4" borderId="1" xfId="0" applyNumberFormat="1" applyFill="1" applyBorder="1" applyAlignment="1" applyProtection="1">
      <alignment horizontal="center" vertical="center"/>
    </xf>
    <xf numFmtId="4" fontId="2" fillId="3" borderId="1" xfId="0" applyNumberFormat="1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right" wrapText="1"/>
    </xf>
    <xf numFmtId="0" fontId="0" fillId="8" borderId="12" xfId="0" applyFill="1" applyBorder="1" applyAlignment="1" applyProtection="1"/>
    <xf numFmtId="0" fontId="2" fillId="0" borderId="0" xfId="0" applyFont="1" applyAlignment="1" applyProtection="1">
      <alignment horizontal="right"/>
    </xf>
    <xf numFmtId="0" fontId="2" fillId="3" borderId="2" xfId="0" applyFont="1" applyFill="1" applyBorder="1" applyAlignment="1" applyProtection="1">
      <alignment horizontal="right" wrapText="1"/>
    </xf>
    <xf numFmtId="0" fontId="0" fillId="8" borderId="18" xfId="0" applyFill="1" applyBorder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0" fontId="2" fillId="0" borderId="9" xfId="0" applyFont="1" applyBorder="1" applyAlignment="1" applyProtection="1">
      <alignment horizontal="right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8" borderId="8" xfId="0" applyFill="1" applyBorder="1" applyAlignment="1" applyProtection="1"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8" borderId="10" xfId="0" applyFill="1" applyBorder="1" applyAlignment="1" applyProtection="1">
      <protection locked="0"/>
    </xf>
    <xf numFmtId="0" fontId="0" fillId="0" borderId="9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right" wrapText="1"/>
    </xf>
    <xf numFmtId="0" fontId="0" fillId="8" borderId="15" xfId="0" applyFill="1" applyBorder="1" applyAlignment="1" applyProtection="1">
      <protection locked="0"/>
    </xf>
    <xf numFmtId="0" fontId="0" fillId="8" borderId="18" xfId="0" applyFill="1" applyBorder="1" applyAlignment="1" applyProtection="1">
      <protection locked="0"/>
    </xf>
    <xf numFmtId="0" fontId="2" fillId="0" borderId="9" xfId="0" applyFont="1" applyBorder="1" applyAlignment="1" applyProtection="1">
      <alignment horizontal="right" wrapText="1"/>
      <protection locked="0"/>
    </xf>
    <xf numFmtId="0" fontId="0" fillId="0" borderId="1" xfId="0" applyBorder="1" applyAlignment="1" applyProtection="1"/>
    <xf numFmtId="0" fontId="0" fillId="6" borderId="1" xfId="0" applyFont="1" applyFill="1" applyBorder="1" applyAlignment="1" applyProtection="1">
      <alignment horizontal="center"/>
    </xf>
    <xf numFmtId="0" fontId="0" fillId="5" borderId="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6" borderId="1" xfId="0" applyFont="1" applyFill="1" applyBorder="1" applyAlignment="1" applyProtection="1"/>
    <xf numFmtId="0" fontId="8" fillId="0" borderId="1" xfId="0" applyFont="1" applyBorder="1" applyAlignment="1" applyProtection="1"/>
    <xf numFmtId="4" fontId="8" fillId="2" borderId="1" xfId="0" applyNumberFormat="1" applyFont="1" applyFill="1" applyBorder="1" applyAlignment="1" applyProtection="1"/>
    <xf numFmtId="0" fontId="8" fillId="0" borderId="1" xfId="0" applyFont="1" applyBorder="1" applyAlignment="1" applyProtection="1">
      <alignment horizontal="center"/>
    </xf>
    <xf numFmtId="3" fontId="8" fillId="2" borderId="1" xfId="0" applyNumberFormat="1" applyFont="1" applyFill="1" applyBorder="1" applyAlignment="1" applyProtection="1"/>
    <xf numFmtId="4" fontId="8" fillId="0" borderId="1" xfId="0" applyNumberFormat="1" applyFont="1" applyBorder="1" applyAlignment="1" applyProtection="1"/>
    <xf numFmtId="0" fontId="0" fillId="6" borderId="0" xfId="0" applyFont="1" applyFill="1" applyBorder="1" applyAlignment="1" applyProtection="1"/>
    <xf numFmtId="49" fontId="8" fillId="0" borderId="1" xfId="0" applyNumberFormat="1" applyFont="1" applyBorder="1" applyAlignment="1" applyProtection="1">
      <alignment horizontal="center"/>
    </xf>
    <xf numFmtId="49" fontId="8" fillId="2" borderId="1" xfId="0" applyNumberFormat="1" applyFont="1" applyFill="1" applyBorder="1" applyAlignment="1" applyProtection="1">
      <alignment horizontal="center"/>
    </xf>
    <xf numFmtId="0" fontId="7" fillId="7" borderId="2" xfId="0" applyFont="1" applyFill="1" applyBorder="1" applyAlignment="1" applyProtection="1">
      <alignment horizontal="center" vertical="center" wrapText="1"/>
    </xf>
    <xf numFmtId="0" fontId="9" fillId="0" borderId="0" xfId="0" applyFont="1"/>
    <xf numFmtId="0" fontId="0" fillId="0" borderId="1" xfId="0" applyBorder="1"/>
    <xf numFmtId="0" fontId="0" fillId="13" borderId="1" xfId="0" applyFill="1" applyBorder="1"/>
    <xf numFmtId="0" fontId="10" fillId="0" borderId="0" xfId="0" applyFont="1"/>
    <xf numFmtId="14" fontId="0" fillId="0" borderId="0" xfId="0" applyNumberFormat="1"/>
    <xf numFmtId="1" fontId="0" fillId="0" borderId="0" xfId="0" applyNumberFormat="1"/>
    <xf numFmtId="0" fontId="0" fillId="14" borderId="0" xfId="0" applyFill="1"/>
    <xf numFmtId="0" fontId="0" fillId="0" borderId="1" xfId="0" applyBorder="1" applyAlignment="1" applyProtection="1">
      <alignment horizontal="center" wrapText="1"/>
      <protection locked="0"/>
    </xf>
    <xf numFmtId="0" fontId="0" fillId="0" borderId="9" xfId="0" applyBorder="1"/>
    <xf numFmtId="0" fontId="0" fillId="0" borderId="0" xfId="0" applyAlignment="1" applyProtection="1">
      <alignment horizontal="left"/>
    </xf>
    <xf numFmtId="0" fontId="0" fillId="9" borderId="22" xfId="0" applyFill="1" applyBorder="1" applyAlignment="1" applyProtection="1">
      <alignment horizontal="center"/>
    </xf>
    <xf numFmtId="0" fontId="0" fillId="0" borderId="0" xfId="0"/>
    <xf numFmtId="0" fontId="0" fillId="0" borderId="0" xfId="0" applyAlignment="1" applyProtection="1">
      <alignment horizontal="center"/>
    </xf>
    <xf numFmtId="0" fontId="0" fillId="6" borderId="1" xfId="0" applyFill="1" applyBorder="1" applyAlignment="1" applyProtection="1">
      <alignment horizontal="center"/>
    </xf>
    <xf numFmtId="0" fontId="0" fillId="9" borderId="1" xfId="0" applyFill="1" applyBorder="1" applyAlignment="1" applyProtection="1">
      <alignment horizontal="center"/>
    </xf>
    <xf numFmtId="0" fontId="0" fillId="4" borderId="9" xfId="0" applyFill="1" applyBorder="1" applyAlignment="1" applyProtection="1">
      <alignment horizontal="center"/>
    </xf>
    <xf numFmtId="0" fontId="0" fillId="9" borderId="3" xfId="0" applyFill="1" applyBorder="1" applyAlignment="1" applyProtection="1">
      <alignment horizontal="center"/>
    </xf>
    <xf numFmtId="0" fontId="0" fillId="9" borderId="2" xfId="0" applyFill="1" applyBorder="1" applyAlignment="1" applyProtection="1">
      <alignment horizontal="center"/>
    </xf>
    <xf numFmtId="0" fontId="0" fillId="0" borderId="0" xfId="0" applyAlignment="1" applyProtection="1">
      <alignment horizontal="right"/>
    </xf>
    <xf numFmtId="0" fontId="0" fillId="6" borderId="6" xfId="0" applyFill="1" applyBorder="1" applyAlignment="1" applyProtection="1">
      <alignment horizontal="center"/>
      <protection locked="0"/>
    </xf>
    <xf numFmtId="0" fontId="0" fillId="6" borderId="3" xfId="0" applyFill="1" applyBorder="1" applyAlignment="1" applyProtection="1">
      <alignment horizontal="center"/>
      <protection locked="0"/>
    </xf>
    <xf numFmtId="4" fontId="0" fillId="8" borderId="3" xfId="0" applyNumberFormat="1" applyFill="1" applyBorder="1" applyAlignment="1" applyProtection="1">
      <alignment horizontal="right"/>
      <protection locked="0"/>
    </xf>
    <xf numFmtId="0" fontId="0" fillId="4" borderId="24" xfId="0" applyFill="1" applyBorder="1" applyAlignment="1" applyProtection="1">
      <alignment horizontal="center"/>
    </xf>
    <xf numFmtId="0" fontId="0" fillId="4" borderId="17" xfId="0" applyFill="1" applyBorder="1" applyAlignment="1" applyProtection="1">
      <alignment horizont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 applyProtection="1"/>
    <xf numFmtId="0" fontId="0" fillId="0" borderId="9" xfId="0" applyBorder="1" applyAlignment="1" applyProtection="1">
      <alignment horizontal="center" wrapText="1"/>
      <protection locked="0"/>
    </xf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>
      <alignment horizontal="center" wrapText="1"/>
    </xf>
    <xf numFmtId="0" fontId="0" fillId="8" borderId="15" xfId="0" applyFill="1" applyBorder="1" applyAlignment="1" applyProtection="1"/>
    <xf numFmtId="0" fontId="0" fillId="0" borderId="0" xfId="0" applyFont="1" applyAlignment="1" applyProtection="1"/>
    <xf numFmtId="4" fontId="0" fillId="0" borderId="0" xfId="0" applyNumberFormat="1" applyAlignment="1" applyProtection="1"/>
    <xf numFmtId="2" fontId="14" fillId="15" borderId="0" xfId="0" applyNumberFormat="1" applyFont="1" applyFill="1"/>
    <xf numFmtId="0" fontId="15" fillId="0" borderId="0" xfId="0" applyFont="1" applyFill="1"/>
    <xf numFmtId="0" fontId="16" fillId="0" borderId="0" xfId="0" applyFont="1" applyFill="1"/>
    <xf numFmtId="0" fontId="17" fillId="0" borderId="0" xfId="0" applyFont="1" applyFill="1"/>
    <xf numFmtId="4" fontId="0" fillId="0" borderId="0" xfId="0" applyNumberFormat="1"/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7" fillId="7" borderId="2" xfId="0" applyFont="1" applyFill="1" applyBorder="1" applyAlignment="1" applyProtection="1">
      <alignment horizontal="center" vertical="center" wrapText="1"/>
    </xf>
    <xf numFmtId="0" fontId="0" fillId="4" borderId="9" xfId="0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right" wrapText="1"/>
    </xf>
    <xf numFmtId="0" fontId="0" fillId="8" borderId="12" xfId="0" applyFill="1" applyBorder="1" applyAlignment="1" applyProtection="1"/>
    <xf numFmtId="0" fontId="2" fillId="0" borderId="0" xfId="0" applyFont="1" applyAlignment="1" applyProtection="1">
      <alignment horizontal="right"/>
    </xf>
    <xf numFmtId="0" fontId="0" fillId="9" borderId="1" xfId="0" applyFill="1" applyBorder="1" applyAlignment="1" applyProtection="1">
      <alignment horizontal="right"/>
    </xf>
    <xf numFmtId="0" fontId="0" fillId="4" borderId="9" xfId="0" applyFill="1" applyBorder="1" applyAlignment="1" applyProtection="1">
      <alignment horizontal="right"/>
    </xf>
    <xf numFmtId="0" fontId="0" fillId="9" borderId="3" xfId="0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right" wrapText="1"/>
    </xf>
    <xf numFmtId="0" fontId="0" fillId="8" borderId="18" xfId="0" applyFill="1" applyBorder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0" fontId="2" fillId="0" borderId="9" xfId="0" applyFont="1" applyBorder="1" applyAlignment="1" applyProtection="1">
      <alignment horizontal="right"/>
    </xf>
    <xf numFmtId="0" fontId="0" fillId="8" borderId="8" xfId="0" applyFill="1" applyBorder="1" applyAlignment="1" applyProtection="1"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8" borderId="10" xfId="0" applyFill="1" applyBorder="1" applyAlignment="1" applyProtection="1">
      <protection locked="0"/>
    </xf>
    <xf numFmtId="0" fontId="0" fillId="0" borderId="9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right" wrapText="1"/>
    </xf>
    <xf numFmtId="4" fontId="0" fillId="0" borderId="0" xfId="0" applyNumberFormat="1" applyAlignment="1" applyProtection="1"/>
    <xf numFmtId="0" fontId="0" fillId="4" borderId="24" xfId="0" applyFill="1" applyBorder="1" applyAlignment="1" applyProtection="1">
      <alignment horizontal="right"/>
    </xf>
    <xf numFmtId="0" fontId="0" fillId="8" borderId="15" xfId="0" applyFill="1" applyBorder="1" applyAlignment="1" applyProtection="1">
      <protection locked="0"/>
    </xf>
    <xf numFmtId="0" fontId="0" fillId="8" borderId="18" xfId="0" applyFill="1" applyBorder="1" applyAlignment="1" applyProtection="1">
      <protection locked="0"/>
    </xf>
    <xf numFmtId="0" fontId="0" fillId="9" borderId="2" xfId="0" applyFill="1" applyBorder="1" applyAlignment="1" applyProtection="1">
      <alignment horizontal="right"/>
    </xf>
    <xf numFmtId="0" fontId="0" fillId="4" borderId="17" xfId="0" applyFill="1" applyBorder="1" applyAlignment="1" applyProtection="1">
      <alignment horizontal="right"/>
    </xf>
    <xf numFmtId="0" fontId="2" fillId="0" borderId="9" xfId="0" applyFont="1" applyBorder="1" applyAlignment="1" applyProtection="1">
      <alignment horizontal="right" wrapText="1"/>
      <protection locked="0"/>
    </xf>
    <xf numFmtId="0" fontId="0" fillId="16" borderId="1" xfId="0" applyFill="1" applyBorder="1" applyAlignment="1" applyProtection="1">
      <alignment horizontal="right"/>
    </xf>
    <xf numFmtId="0" fontId="0" fillId="17" borderId="9" xfId="0" applyFill="1" applyBorder="1" applyAlignment="1" applyProtection="1">
      <alignment horizontal="center"/>
    </xf>
    <xf numFmtId="1" fontId="0" fillId="11" borderId="1" xfId="0" applyNumberFormat="1" applyFill="1" applyBorder="1" applyAlignment="1" applyProtection="1">
      <alignment horizontal="center" vertical="center"/>
    </xf>
    <xf numFmtId="4" fontId="0" fillId="0" borderId="0" xfId="0" applyNumberFormat="1" applyFill="1" applyAlignment="1" applyProtection="1"/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7" fillId="7" borderId="2" xfId="0" applyFont="1" applyFill="1" applyBorder="1" applyAlignment="1" applyProtection="1">
      <alignment horizontal="center" vertical="center" wrapText="1"/>
    </xf>
    <xf numFmtId="0" fontId="0" fillId="9" borderId="6" xfId="0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right" wrapText="1"/>
    </xf>
    <xf numFmtId="0" fontId="0" fillId="8" borderId="12" xfId="0" applyFill="1" applyBorder="1" applyAlignment="1" applyProtection="1"/>
    <xf numFmtId="0" fontId="2" fillId="0" borderId="0" xfId="0" applyFont="1" applyAlignment="1" applyProtection="1">
      <alignment horizontal="right"/>
    </xf>
    <xf numFmtId="0" fontId="0" fillId="9" borderId="6" xfId="0" applyFill="1" applyBorder="1" applyAlignment="1" applyProtection="1">
      <alignment horizontal="right"/>
    </xf>
    <xf numFmtId="0" fontId="0" fillId="4" borderId="7" xfId="0" applyFill="1" applyBorder="1" applyAlignment="1" applyProtection="1">
      <alignment horizontal="right"/>
    </xf>
    <xf numFmtId="0" fontId="0" fillId="9" borderId="1" xfId="0" applyFill="1" applyBorder="1" applyAlignment="1" applyProtection="1">
      <alignment horizontal="right"/>
    </xf>
    <xf numFmtId="0" fontId="0" fillId="4" borderId="9" xfId="0" applyFill="1" applyBorder="1" applyAlignment="1" applyProtection="1">
      <alignment horizontal="right"/>
    </xf>
    <xf numFmtId="0" fontId="0" fillId="9" borderId="3" xfId="0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right" wrapText="1"/>
    </xf>
    <xf numFmtId="0" fontId="0" fillId="8" borderId="18" xfId="0" applyFill="1" applyBorder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0" fontId="2" fillId="0" borderId="9" xfId="0" applyFont="1" applyBorder="1" applyAlignment="1" applyProtection="1">
      <alignment horizontal="right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9" borderId="22" xfId="0" applyFill="1" applyBorder="1" applyAlignment="1" applyProtection="1">
      <alignment horizontal="right"/>
    </xf>
    <xf numFmtId="0" fontId="0" fillId="4" borderId="23" xfId="0" applyFill="1" applyBorder="1" applyAlignment="1" applyProtection="1">
      <alignment horizontal="right"/>
    </xf>
    <xf numFmtId="0" fontId="0" fillId="8" borderId="8" xfId="0" applyFill="1" applyBorder="1" applyAlignment="1" applyProtection="1"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8" borderId="10" xfId="0" applyFill="1" applyBorder="1" applyAlignment="1" applyProtection="1">
      <protection locked="0"/>
    </xf>
    <xf numFmtId="0" fontId="0" fillId="0" borderId="9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right" wrapText="1"/>
    </xf>
    <xf numFmtId="4" fontId="0" fillId="0" borderId="0" xfId="0" applyNumberFormat="1" applyAlignment="1" applyProtection="1"/>
    <xf numFmtId="0" fontId="0" fillId="4" borderId="24" xfId="0" applyFill="1" applyBorder="1" applyAlignment="1" applyProtection="1">
      <alignment horizontal="right"/>
    </xf>
    <xf numFmtId="0" fontId="0" fillId="8" borderId="15" xfId="0" applyFill="1" applyBorder="1" applyAlignment="1" applyProtection="1">
      <protection locked="0"/>
    </xf>
    <xf numFmtId="0" fontId="0" fillId="8" borderId="18" xfId="0" applyFill="1" applyBorder="1" applyAlignment="1" applyProtection="1">
      <protection locked="0"/>
    </xf>
    <xf numFmtId="0" fontId="0" fillId="9" borderId="2" xfId="0" applyFill="1" applyBorder="1" applyAlignment="1" applyProtection="1">
      <alignment horizontal="right"/>
    </xf>
    <xf numFmtId="0" fontId="0" fillId="4" borderId="17" xfId="0" applyFill="1" applyBorder="1" applyAlignment="1" applyProtection="1">
      <alignment horizontal="right"/>
    </xf>
    <xf numFmtId="0" fontId="2" fillId="0" borderId="9" xfId="0" applyFont="1" applyBorder="1" applyAlignment="1" applyProtection="1">
      <alignment horizontal="right" wrapText="1"/>
      <protection locked="0"/>
    </xf>
    <xf numFmtId="0" fontId="0" fillId="4" borderId="27" xfId="0" applyFill="1" applyBorder="1" applyAlignment="1" applyProtection="1">
      <alignment horizontal="right"/>
    </xf>
    <xf numFmtId="4" fontId="0" fillId="8" borderId="6" xfId="0" applyNumberFormat="1" applyFill="1" applyBorder="1" applyAlignment="1" applyProtection="1">
      <alignment horizontal="right"/>
      <protection locked="0"/>
    </xf>
    <xf numFmtId="4" fontId="0" fillId="8" borderId="6" xfId="0" applyNumberFormat="1" applyFont="1" applyFill="1" applyBorder="1" applyAlignment="1" applyProtection="1">
      <alignment horizontal="right"/>
      <protection locked="0"/>
    </xf>
    <xf numFmtId="0" fontId="0" fillId="9" borderId="1" xfId="0" applyFill="1" applyBorder="1" applyAlignment="1" applyProtection="1">
      <alignment horizontal="center"/>
    </xf>
    <xf numFmtId="0" fontId="0" fillId="10" borderId="6" xfId="0" applyFill="1" applyBorder="1" applyAlignment="1" applyProtection="1">
      <alignment horizontal="center"/>
      <protection locked="0"/>
    </xf>
    <xf numFmtId="0" fontId="0" fillId="7" borderId="6" xfId="0" applyFill="1" applyBorder="1" applyAlignment="1" applyProtection="1">
      <alignment horizontal="center"/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0" fillId="7" borderId="3" xfId="0" applyFill="1" applyBorder="1" applyAlignment="1" applyProtection="1">
      <alignment horizontal="center"/>
      <protection locked="0"/>
    </xf>
    <xf numFmtId="4" fontId="14" fillId="15" borderId="0" xfId="0" applyNumberFormat="1" applyFont="1" applyFill="1"/>
    <xf numFmtId="0" fontId="0" fillId="0" borderId="0" xfId="0"/>
    <xf numFmtId="0" fontId="0" fillId="0" borderId="0" xfId="0" applyAlignment="1" applyProtection="1"/>
    <xf numFmtId="0" fontId="3" fillId="4" borderId="1" xfId="0" applyFont="1" applyFill="1" applyBorder="1" applyAlignment="1" applyProtection="1">
      <alignment horizontal="center" vertical="center"/>
    </xf>
    <xf numFmtId="4" fontId="0" fillId="4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7" fillId="7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right" wrapText="1"/>
    </xf>
    <xf numFmtId="0" fontId="0" fillId="8" borderId="12" xfId="0" applyFill="1" applyBorder="1" applyAlignment="1" applyProtection="1"/>
    <xf numFmtId="0" fontId="2" fillId="0" borderId="0" xfId="0" applyFont="1" applyAlignment="1" applyProtection="1">
      <alignment horizontal="right"/>
    </xf>
    <xf numFmtId="0" fontId="0" fillId="9" borderId="1" xfId="0" applyFill="1" applyBorder="1" applyAlignment="1" applyProtection="1">
      <alignment horizontal="right"/>
    </xf>
    <xf numFmtId="0" fontId="0" fillId="4" borderId="9" xfId="0" applyFill="1" applyBorder="1" applyAlignment="1" applyProtection="1">
      <alignment horizontal="right"/>
    </xf>
    <xf numFmtId="0" fontId="0" fillId="9" borderId="3" xfId="0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right" wrapText="1"/>
    </xf>
    <xf numFmtId="0" fontId="0" fillId="8" borderId="18" xfId="0" applyFill="1" applyBorder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0" fontId="2" fillId="0" borderId="9" xfId="0" applyFont="1" applyBorder="1" applyAlignment="1" applyProtection="1">
      <alignment horizontal="right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8" borderId="8" xfId="0" applyFill="1" applyBorder="1" applyAlignment="1" applyProtection="1"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8" borderId="10" xfId="0" applyFill="1" applyBorder="1" applyAlignment="1" applyProtection="1">
      <protection locked="0"/>
    </xf>
    <xf numFmtId="0" fontId="0" fillId="0" borderId="9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right" wrapText="1"/>
    </xf>
    <xf numFmtId="4" fontId="0" fillId="0" borderId="0" xfId="0" applyNumberFormat="1" applyAlignment="1" applyProtection="1"/>
    <xf numFmtId="0" fontId="0" fillId="4" borderId="24" xfId="0" applyFill="1" applyBorder="1" applyAlignment="1" applyProtection="1">
      <alignment horizontal="right"/>
    </xf>
    <xf numFmtId="0" fontId="0" fillId="8" borderId="15" xfId="0" applyFill="1" applyBorder="1" applyAlignment="1" applyProtection="1">
      <protection locked="0"/>
    </xf>
    <xf numFmtId="0" fontId="0" fillId="8" borderId="18" xfId="0" applyFill="1" applyBorder="1" applyAlignment="1" applyProtection="1">
      <protection locked="0"/>
    </xf>
    <xf numFmtId="0" fontId="0" fillId="9" borderId="2" xfId="0" applyFill="1" applyBorder="1" applyAlignment="1" applyProtection="1">
      <alignment horizontal="right"/>
    </xf>
    <xf numFmtId="0" fontId="0" fillId="4" borderId="17" xfId="0" applyFill="1" applyBorder="1" applyAlignment="1" applyProtection="1">
      <alignment horizontal="right"/>
    </xf>
    <xf numFmtId="0" fontId="2" fillId="0" borderId="9" xfId="0" applyFont="1" applyBorder="1" applyAlignment="1" applyProtection="1">
      <alignment horizontal="right" wrapText="1"/>
      <protection locked="0"/>
    </xf>
    <xf numFmtId="0" fontId="0" fillId="18" borderId="0" xfId="0" applyFill="1" applyAlignment="1">
      <alignment horizontal="left" vertical="top" wrapText="1"/>
    </xf>
    <xf numFmtId="14" fontId="13" fillId="0" borderId="0" xfId="0" applyNumberFormat="1" applyFont="1" applyAlignment="1" applyProtection="1"/>
    <xf numFmtId="0" fontId="3" fillId="19" borderId="1" xfId="0" applyFont="1" applyFill="1" applyBorder="1" applyAlignment="1" applyProtection="1">
      <alignment horizontal="center" vertical="center"/>
      <protection hidden="1"/>
    </xf>
    <xf numFmtId="0" fontId="3" fillId="19" borderId="1" xfId="0" applyFont="1" applyFill="1" applyBorder="1" applyAlignment="1" applyProtection="1">
      <alignment horizontal="center" vertical="center"/>
    </xf>
    <xf numFmtId="4" fontId="0" fillId="19" borderId="1" xfId="0" applyNumberFormat="1" applyFont="1" applyFill="1" applyBorder="1" applyAlignment="1" applyProtection="1">
      <alignment horizontal="center"/>
    </xf>
    <xf numFmtId="4" fontId="3" fillId="19" borderId="1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/>
    <xf numFmtId="2" fontId="8" fillId="0" borderId="1" xfId="0" applyNumberFormat="1" applyFont="1" applyBorder="1" applyAlignment="1" applyProtection="1"/>
    <xf numFmtId="165" fontId="0" fillId="0" borderId="1" xfId="0" applyNumberFormat="1" applyBorder="1" applyAlignment="1" applyProtection="1"/>
    <xf numFmtId="165" fontId="8" fillId="2" borderId="1" xfId="0" applyNumberFormat="1" applyFont="1" applyFill="1" applyBorder="1" applyAlignment="1" applyProtection="1"/>
    <xf numFmtId="0" fontId="0" fillId="20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applyFill="1" applyBorder="1"/>
    <xf numFmtId="4" fontId="8" fillId="0" borderId="0" xfId="0" applyNumberFormat="1" applyFont="1" applyFill="1" applyBorder="1" applyAlignment="1" applyProtection="1"/>
    <xf numFmtId="0" fontId="8" fillId="0" borderId="0" xfId="0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 applyProtection="1"/>
    <xf numFmtId="49" fontId="8" fillId="0" borderId="0" xfId="0" applyNumberFormat="1" applyFont="1" applyFill="1" applyBorder="1" applyAlignment="1" applyProtection="1">
      <alignment horizontal="center"/>
    </xf>
    <xf numFmtId="0" fontId="18" fillId="0" borderId="0" xfId="0" applyFont="1" applyAlignment="1">
      <alignment horizontal="left" readingOrder="1"/>
    </xf>
    <xf numFmtId="0" fontId="0" fillId="0" borderId="0" xfId="0" applyAlignment="1">
      <alignment wrapText="1"/>
    </xf>
    <xf numFmtId="0" fontId="0" fillId="0" borderId="0" xfId="0" applyNumberFormat="1" applyAlignment="1" applyProtection="1"/>
    <xf numFmtId="0" fontId="13" fillId="0" borderId="0" xfId="0" applyFont="1" applyAlignment="1" applyProtection="1">
      <alignment horizontal="left"/>
    </xf>
    <xf numFmtId="0" fontId="13" fillId="0" borderId="0" xfId="0" applyNumberFormat="1" applyFont="1" applyAlignment="1" applyProtection="1"/>
    <xf numFmtId="0" fontId="0" fillId="21" borderId="0" xfId="0" applyFill="1" applyAlignment="1" applyProtection="1"/>
    <xf numFmtId="0" fontId="19" fillId="0" borderId="0" xfId="0" applyFont="1" applyAlignment="1">
      <alignment horizontal="left" readingOrder="1"/>
    </xf>
    <xf numFmtId="0" fontId="20" fillId="0" borderId="0" xfId="0" applyFont="1" applyAlignment="1">
      <alignment horizontal="left" readingOrder="1"/>
    </xf>
    <xf numFmtId="0" fontId="13" fillId="0" borderId="0" xfId="0" applyFont="1" applyFill="1" applyBorder="1" applyAlignment="1" applyProtection="1"/>
    <xf numFmtId="0" fontId="12" fillId="0" borderId="0" xfId="0" applyFont="1" applyAlignment="1" applyProtection="1"/>
    <xf numFmtId="0" fontId="12" fillId="0" borderId="0" xfId="0" applyFont="1" applyAlignment="1" applyProtection="1">
      <alignment horizontal="left"/>
    </xf>
    <xf numFmtId="0" fontId="12" fillId="0" borderId="0" xfId="0" applyNumberFormat="1" applyFont="1" applyAlignment="1" applyProtection="1"/>
    <xf numFmtId="0" fontId="12" fillId="0" borderId="0" xfId="0" applyFont="1" applyFill="1" applyBorder="1" applyAlignment="1" applyProtection="1"/>
    <xf numFmtId="0" fontId="12" fillId="0" borderId="0" xfId="0" applyFont="1" applyFill="1" applyBorder="1" applyAlignment="1" applyProtection="1">
      <alignment horizontal="center"/>
    </xf>
    <xf numFmtId="0" fontId="12" fillId="0" borderId="1" xfId="0" applyFont="1" applyBorder="1" applyAlignment="1" applyProtection="1"/>
    <xf numFmtId="0" fontId="12" fillId="6" borderId="1" xfId="0" applyFont="1" applyFill="1" applyBorder="1" applyAlignment="1" applyProtection="1">
      <alignment horizontal="center"/>
    </xf>
    <xf numFmtId="0" fontId="21" fillId="0" borderId="0" xfId="0" applyFont="1" applyFill="1" applyBorder="1" applyAlignment="1" applyProtection="1"/>
    <xf numFmtId="0" fontId="12" fillId="6" borderId="1" xfId="0" applyFont="1" applyFill="1" applyBorder="1" applyAlignment="1" applyProtection="1"/>
    <xf numFmtId="0" fontId="21" fillId="0" borderId="1" xfId="0" applyFont="1" applyFill="1" applyBorder="1" applyAlignment="1" applyProtection="1"/>
    <xf numFmtId="165" fontId="12" fillId="0" borderId="1" xfId="0" applyNumberFormat="1" applyFont="1" applyBorder="1" applyAlignment="1" applyProtection="1"/>
    <xf numFmtId="0" fontId="12" fillId="0" borderId="0" xfId="0" applyFont="1" applyFill="1" applyBorder="1"/>
    <xf numFmtId="4" fontId="21" fillId="0" borderId="0" xfId="0" applyNumberFormat="1" applyFont="1" applyFill="1" applyBorder="1" applyAlignment="1" applyProtection="1"/>
    <xf numFmtId="0" fontId="21" fillId="0" borderId="0" xfId="0" applyFont="1" applyFill="1" applyBorder="1" applyAlignment="1" applyProtection="1">
      <alignment horizontal="center"/>
    </xf>
    <xf numFmtId="49" fontId="21" fillId="0" borderId="0" xfId="0" applyNumberFormat="1" applyFont="1" applyFill="1" applyBorder="1" applyAlignment="1" applyProtection="1">
      <alignment horizontal="center"/>
    </xf>
    <xf numFmtId="3" fontId="21" fillId="2" borderId="1" xfId="0" applyNumberFormat="1" applyFont="1" applyFill="1" applyBorder="1" applyAlignment="1" applyProtection="1"/>
    <xf numFmtId="166" fontId="21" fillId="2" borderId="1" xfId="0" applyNumberFormat="1" applyFont="1" applyFill="1" applyBorder="1" applyAlignment="1" applyProtection="1"/>
    <xf numFmtId="0" fontId="22" fillId="2" borderId="1" xfId="0" applyFont="1" applyFill="1" applyBorder="1" applyAlignment="1" applyProtection="1">
      <alignment horizontal="center"/>
    </xf>
    <xf numFmtId="0" fontId="18" fillId="0" borderId="0" xfId="0" applyFont="1" applyAlignment="1">
      <alignment horizontal="center" readingOrder="1"/>
    </xf>
    <xf numFmtId="0" fontId="12" fillId="0" borderId="0" xfId="0" applyFont="1" applyAlignment="1" applyProtection="1">
      <protection hidden="1"/>
    </xf>
    <xf numFmtId="0" fontId="12" fillId="0" borderId="0" xfId="0" quotePrefix="1" applyFont="1" applyAlignment="1" applyProtection="1"/>
    <xf numFmtId="0" fontId="12" fillId="0" borderId="19" xfId="0" applyFont="1" applyBorder="1" applyAlignment="1" applyProtection="1"/>
    <xf numFmtId="1" fontId="21" fillId="0" borderId="1" xfId="0" applyNumberFormat="1" applyFont="1" applyBorder="1" applyAlignment="1" applyProtection="1"/>
    <xf numFmtId="0" fontId="23" fillId="0" borderId="0" xfId="0" applyFont="1" applyAlignment="1">
      <alignment horizontal="center" readingOrder="1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left" readingOrder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5" fillId="0" borderId="0" xfId="0" applyFont="1" applyAlignment="1">
      <alignment horizontal="center" readingOrder="1"/>
    </xf>
    <xf numFmtId="0" fontId="12" fillId="22" borderId="1" xfId="0" applyFont="1" applyFill="1" applyBorder="1" applyAlignment="1" applyProtection="1">
      <alignment horizontal="center"/>
    </xf>
    <xf numFmtId="0" fontId="26" fillId="21" borderId="0" xfId="0" applyFont="1" applyFill="1" applyAlignment="1" applyProtection="1"/>
    <xf numFmtId="0" fontId="0" fillId="0" borderId="0" xfId="0" applyNumberFormat="1" applyAlignment="1">
      <alignment vertical="center"/>
    </xf>
    <xf numFmtId="0" fontId="0" fillId="0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/>
    <xf numFmtId="0" fontId="28" fillId="0" borderId="1" xfId="0" applyFont="1" applyBorder="1" applyAlignment="1" applyProtection="1">
      <alignment horizontal="center"/>
    </xf>
    <xf numFmtId="0" fontId="13" fillId="0" borderId="0" xfId="0" applyFont="1" applyFill="1" applyBorder="1" applyAlignment="1" applyProtection="1">
      <alignment horizontal="center"/>
    </xf>
    <xf numFmtId="0" fontId="29" fillId="0" borderId="0" xfId="0" applyFont="1" applyFill="1" applyBorder="1" applyAlignment="1" applyProtection="1"/>
    <xf numFmtId="0" fontId="29" fillId="0" borderId="0" xfId="0" applyFont="1" applyFill="1" applyBorder="1" applyAlignment="1" applyProtection="1">
      <alignment horizontal="center"/>
    </xf>
    <xf numFmtId="14" fontId="0" fillId="0" borderId="0" xfId="0" applyNumberFormat="1" applyAlignment="1">
      <alignment horizontal="center"/>
    </xf>
    <xf numFmtId="0" fontId="2" fillId="23" borderId="1" xfId="0" applyFont="1" applyFill="1" applyBorder="1" applyAlignment="1" applyProtection="1">
      <alignment horizontal="center" vertical="center" wrapText="1"/>
    </xf>
    <xf numFmtId="4" fontId="2" fillId="23" borderId="1" xfId="0" applyNumberFormat="1" applyFont="1" applyFill="1" applyBorder="1" applyAlignment="1" applyProtection="1">
      <alignment horizontal="center" vertical="center"/>
    </xf>
    <xf numFmtId="0" fontId="0" fillId="24" borderId="0" xfId="0" applyFill="1"/>
    <xf numFmtId="0" fontId="30" fillId="25" borderId="0" xfId="0" applyFont="1" applyFill="1"/>
    <xf numFmtId="0" fontId="19" fillId="0" borderId="0" xfId="0" applyFont="1"/>
    <xf numFmtId="1" fontId="0" fillId="10" borderId="1" xfId="0" applyNumberFormat="1" applyFill="1" applyBorder="1" applyAlignment="1" applyProtection="1">
      <alignment horizontal="center" vertical="center"/>
      <protection locked="0"/>
    </xf>
    <xf numFmtId="1" fontId="0" fillId="6" borderId="1" xfId="0" applyNumberFormat="1" applyFill="1" applyBorder="1" applyAlignment="1" applyProtection="1">
      <alignment horizontal="center" vertical="center"/>
      <protection locked="0"/>
    </xf>
    <xf numFmtId="1" fontId="0" fillId="7" borderId="1" xfId="0" applyNumberFormat="1" applyFill="1" applyBorder="1" applyAlignment="1" applyProtection="1">
      <alignment horizontal="center" vertical="center"/>
      <protection locked="0"/>
    </xf>
    <xf numFmtId="1" fontId="0" fillId="9" borderId="1" xfId="0" applyNumberFormat="1" applyFill="1" applyBorder="1" applyAlignment="1" applyProtection="1">
      <alignment horizontal="center" vertical="center"/>
    </xf>
    <xf numFmtId="1" fontId="0" fillId="7" borderId="9" xfId="0" applyNumberFormat="1" applyFill="1" applyBorder="1" applyAlignment="1" applyProtection="1">
      <alignment horizontal="center" vertical="center"/>
      <protection locked="0"/>
    </xf>
    <xf numFmtId="1" fontId="0" fillId="6" borderId="20" xfId="0" applyNumberFormat="1" applyFill="1" applyBorder="1" applyAlignment="1" applyProtection="1">
      <alignment horizontal="center" vertical="center"/>
      <protection locked="0"/>
    </xf>
    <xf numFmtId="1" fontId="2" fillId="3" borderId="4" xfId="0" applyNumberFormat="1" applyFont="1" applyFill="1" applyBorder="1" applyAlignment="1" applyProtection="1">
      <alignment horizontal="center" vertical="center"/>
    </xf>
    <xf numFmtId="2" fontId="14" fillId="8" borderId="19" xfId="0" applyNumberFormat="1" applyFont="1" applyFill="1" applyBorder="1" applyAlignment="1" applyProtection="1">
      <alignment horizontal="right" vertical="center"/>
      <protection locked="0"/>
    </xf>
    <xf numFmtId="2" fontId="2" fillId="3" borderId="21" xfId="0" applyNumberFormat="1" applyFont="1" applyFill="1" applyBorder="1" applyAlignment="1" applyProtection="1">
      <alignment horizontal="right" vertical="center"/>
    </xf>
    <xf numFmtId="1" fontId="2" fillId="4" borderId="11" xfId="0" applyNumberFormat="1" applyFont="1" applyFill="1" applyBorder="1" applyAlignment="1" applyProtection="1">
      <alignment horizontal="center" vertical="center"/>
    </xf>
    <xf numFmtId="1" fontId="0" fillId="10" borderId="2" xfId="0" applyNumberFormat="1" applyFill="1" applyBorder="1" applyAlignment="1" applyProtection="1">
      <alignment horizontal="center" vertical="center"/>
      <protection locked="0"/>
    </xf>
    <xf numFmtId="1" fontId="0" fillId="6" borderId="2" xfId="0" applyNumberFormat="1" applyFill="1" applyBorder="1" applyAlignment="1" applyProtection="1">
      <alignment horizontal="center" vertical="center"/>
      <protection locked="0"/>
    </xf>
    <xf numFmtId="1" fontId="0" fillId="7" borderId="2" xfId="0" applyNumberFormat="1" applyFill="1" applyBorder="1" applyAlignment="1" applyProtection="1">
      <alignment horizontal="center" vertical="center"/>
      <protection locked="0"/>
    </xf>
    <xf numFmtId="1" fontId="0" fillId="9" borderId="3" xfId="0" applyNumberFormat="1" applyFill="1" applyBorder="1" applyAlignment="1" applyProtection="1">
      <alignment horizontal="center" vertical="center"/>
    </xf>
    <xf numFmtId="1" fontId="0" fillId="9" borderId="2" xfId="0" applyNumberFormat="1" applyFill="1" applyBorder="1" applyAlignment="1" applyProtection="1">
      <alignment horizontal="center" vertical="center"/>
    </xf>
    <xf numFmtId="1" fontId="2" fillId="3" borderId="2" xfId="0" applyNumberFormat="1" applyFont="1" applyFill="1" applyBorder="1" applyAlignment="1" applyProtection="1">
      <alignment horizontal="center" vertical="center"/>
    </xf>
    <xf numFmtId="2" fontId="2" fillId="3" borderId="26" xfId="0" applyNumberFormat="1" applyFont="1" applyFill="1" applyBorder="1" applyAlignment="1" applyProtection="1">
      <alignment horizontal="right" vertical="center"/>
    </xf>
    <xf numFmtId="2" fontId="0" fillId="3" borderId="21" xfId="0" applyNumberFormat="1" applyFont="1" applyFill="1" applyBorder="1" applyAlignment="1" applyProtection="1">
      <alignment horizontal="right" vertical="center"/>
    </xf>
    <xf numFmtId="1" fontId="0" fillId="10" borderId="3" xfId="0" applyNumberFormat="1" applyFill="1" applyBorder="1" applyAlignment="1" applyProtection="1">
      <alignment horizontal="center" vertical="center"/>
      <protection locked="0"/>
    </xf>
    <xf numFmtId="1" fontId="0" fillId="6" borderId="3" xfId="0" applyNumberFormat="1" applyFill="1" applyBorder="1" applyAlignment="1" applyProtection="1">
      <alignment horizontal="center" vertical="center"/>
      <protection locked="0"/>
    </xf>
    <xf numFmtId="1" fontId="0" fillId="7" borderId="3" xfId="0" applyNumberFormat="1" applyFill="1" applyBorder="1" applyAlignment="1" applyProtection="1">
      <alignment horizontal="center" vertical="center"/>
      <protection locked="0"/>
    </xf>
    <xf numFmtId="1" fontId="0" fillId="3" borderId="1" xfId="0" applyNumberFormat="1" applyFill="1" applyBorder="1" applyAlignment="1" applyProtection="1">
      <alignment horizontal="center" vertical="center"/>
    </xf>
    <xf numFmtId="2" fontId="0" fillId="3" borderId="1" xfId="0" applyNumberFormat="1" applyFill="1" applyBorder="1" applyAlignment="1" applyProtection="1">
      <alignment horizontal="right" vertical="center"/>
    </xf>
    <xf numFmtId="2" fontId="0" fillId="8" borderId="1" xfId="0" applyNumberFormat="1" applyFill="1" applyBorder="1" applyAlignment="1" applyProtection="1">
      <alignment horizontal="right" vertical="center"/>
      <protection locked="0"/>
    </xf>
    <xf numFmtId="1" fontId="0" fillId="4" borderId="9" xfId="0" applyNumberFormat="1" applyFill="1" applyBorder="1" applyAlignment="1" applyProtection="1">
      <alignment horizontal="center" vertical="center"/>
    </xf>
    <xf numFmtId="2" fontId="0" fillId="8" borderId="2" xfId="0" applyNumberFormat="1" applyFill="1" applyBorder="1" applyAlignment="1" applyProtection="1">
      <alignment horizontal="right" vertical="center"/>
      <protection locked="0"/>
    </xf>
    <xf numFmtId="1" fontId="0" fillId="4" borderId="24" xfId="0" applyNumberFormat="1" applyFill="1" applyBorder="1" applyAlignment="1" applyProtection="1">
      <alignment horizontal="center" vertical="center"/>
    </xf>
    <xf numFmtId="1" fontId="0" fillId="4" borderId="17" xfId="0" applyNumberFormat="1" applyFill="1" applyBorder="1" applyAlignment="1" applyProtection="1">
      <alignment horizontal="center" vertical="center"/>
    </xf>
    <xf numFmtId="1" fontId="0" fillId="4" borderId="14" xfId="0" applyNumberFormat="1" applyFill="1" applyBorder="1" applyAlignment="1" applyProtection="1">
      <alignment horizontal="center" vertical="center"/>
    </xf>
    <xf numFmtId="2" fontId="0" fillId="8" borderId="3" xfId="0" applyNumberFormat="1" applyFill="1" applyBorder="1" applyAlignment="1" applyProtection="1">
      <alignment horizontal="right" vertical="center"/>
      <protection locked="0"/>
    </xf>
    <xf numFmtId="1" fontId="0" fillId="4" borderId="27" xfId="0" applyNumberFormat="1" applyFill="1" applyBorder="1" applyAlignment="1" applyProtection="1">
      <alignment horizontal="center" vertical="center"/>
    </xf>
    <xf numFmtId="2" fontId="0" fillId="8" borderId="28" xfId="0" applyNumberFormat="1" applyFill="1" applyBorder="1" applyAlignment="1" applyProtection="1">
      <alignment horizontal="right" vertical="center"/>
      <protection locked="0"/>
    </xf>
    <xf numFmtId="1" fontId="0" fillId="12" borderId="1" xfId="0" applyNumberFormat="1" applyFill="1" applyBorder="1" applyAlignment="1" applyProtection="1">
      <alignment horizontal="center" vertical="center"/>
    </xf>
    <xf numFmtId="1" fontId="0" fillId="8" borderId="1" xfId="0" applyNumberFormat="1" applyFill="1" applyBorder="1" applyAlignment="1" applyProtection="1">
      <alignment horizontal="center" vertical="center"/>
    </xf>
    <xf numFmtId="2" fontId="0" fillId="8" borderId="1" xfId="0" applyNumberFormat="1" applyFill="1" applyBorder="1" applyAlignment="1" applyProtection="1">
      <alignment horizontal="right" vertical="center"/>
    </xf>
    <xf numFmtId="1" fontId="0" fillId="10" borderId="6" xfId="0" applyNumberFormat="1" applyFill="1" applyBorder="1" applyAlignment="1" applyProtection="1">
      <alignment horizontal="center" vertical="center"/>
      <protection locked="0"/>
    </xf>
    <xf numFmtId="1" fontId="0" fillId="6" borderId="6" xfId="0" applyNumberFormat="1" applyFill="1" applyBorder="1" applyAlignment="1" applyProtection="1">
      <alignment horizontal="center" vertical="center"/>
      <protection locked="0"/>
    </xf>
    <xf numFmtId="1" fontId="0" fillId="7" borderId="6" xfId="0" applyNumberFormat="1" applyFill="1" applyBorder="1" applyAlignment="1" applyProtection="1">
      <alignment horizontal="center" vertical="center"/>
      <protection locked="0"/>
    </xf>
    <xf numFmtId="2" fontId="0" fillId="8" borderId="6" xfId="0" applyNumberFormat="1" applyFill="1" applyBorder="1" applyAlignment="1" applyProtection="1">
      <alignment horizontal="right" vertical="center"/>
      <protection locked="0"/>
    </xf>
    <xf numFmtId="1" fontId="0" fillId="9" borderId="22" xfId="0" applyNumberFormat="1" applyFill="1" applyBorder="1" applyAlignment="1" applyProtection="1">
      <alignment horizontal="center" vertical="center"/>
    </xf>
    <xf numFmtId="1" fontId="0" fillId="4" borderId="23" xfId="0" applyNumberFormat="1" applyFill="1" applyBorder="1" applyAlignment="1" applyProtection="1">
      <alignment horizontal="center" vertical="center"/>
    </xf>
    <xf numFmtId="2" fontId="0" fillId="8" borderId="19" xfId="0" applyNumberFormat="1" applyFill="1" applyBorder="1" applyAlignment="1" applyProtection="1">
      <alignment horizontal="right" vertical="center"/>
      <protection locked="0"/>
    </xf>
    <xf numFmtId="1" fontId="0" fillId="7" borderId="17" xfId="0" applyNumberFormat="1" applyFill="1" applyBorder="1" applyAlignment="1" applyProtection="1">
      <alignment horizontal="center" vertical="center"/>
      <protection locked="0"/>
    </xf>
    <xf numFmtId="1" fontId="0" fillId="6" borderId="25" xfId="0" applyNumberFormat="1" applyFill="1" applyBorder="1" applyAlignment="1" applyProtection="1">
      <alignment horizontal="center" vertical="center"/>
      <protection locked="0"/>
    </xf>
    <xf numFmtId="1" fontId="2" fillId="4" borderId="17" xfId="0" applyNumberFormat="1" applyFont="1" applyFill="1" applyBorder="1" applyAlignment="1" applyProtection="1">
      <alignment horizontal="center" vertical="center"/>
    </xf>
    <xf numFmtId="2" fontId="0" fillId="8" borderId="6" xfId="0" applyNumberFormat="1" applyFont="1" applyFill="1" applyBorder="1" applyAlignment="1" applyProtection="1">
      <alignment horizontal="right" vertical="center"/>
      <protection locked="0"/>
    </xf>
    <xf numFmtId="1" fontId="0" fillId="9" borderId="6" xfId="0" applyNumberFormat="1" applyFill="1" applyBorder="1" applyAlignment="1" applyProtection="1">
      <alignment horizontal="center" vertical="center"/>
    </xf>
    <xf numFmtId="1" fontId="0" fillId="4" borderId="7" xfId="0" applyNumberFormat="1" applyFill="1" applyBorder="1" applyAlignment="1" applyProtection="1">
      <alignment horizontal="center" vertical="center"/>
    </xf>
    <xf numFmtId="1" fontId="0" fillId="10" borderId="6" xfId="0" applyNumberFormat="1" applyFill="1" applyBorder="1" applyAlignment="1" applyProtection="1">
      <alignment horizontal="center" vertical="center"/>
    </xf>
    <xf numFmtId="1" fontId="0" fillId="6" borderId="6" xfId="0" applyNumberFormat="1" applyFill="1" applyBorder="1" applyAlignment="1" applyProtection="1">
      <alignment horizontal="center" vertical="center"/>
    </xf>
    <xf numFmtId="1" fontId="0" fillId="7" borderId="6" xfId="0" applyNumberFormat="1" applyFill="1" applyBorder="1" applyAlignment="1" applyProtection="1">
      <alignment horizontal="center" vertical="center"/>
    </xf>
    <xf numFmtId="2" fontId="0" fillId="8" borderId="6" xfId="0" applyNumberFormat="1" applyFill="1" applyBorder="1" applyAlignment="1" applyProtection="1">
      <alignment horizontal="right" vertical="center"/>
    </xf>
    <xf numFmtId="1" fontId="0" fillId="10" borderId="1" xfId="0" applyNumberFormat="1" applyFill="1" applyBorder="1" applyAlignment="1" applyProtection="1">
      <alignment horizontal="center" vertical="center"/>
    </xf>
    <xf numFmtId="1" fontId="0" fillId="6" borderId="1" xfId="0" applyNumberFormat="1" applyFill="1" applyBorder="1" applyAlignment="1" applyProtection="1">
      <alignment horizontal="center" vertical="center"/>
    </xf>
    <xf numFmtId="1" fontId="0" fillId="7" borderId="1" xfId="0" applyNumberFormat="1" applyFill="1" applyBorder="1" applyAlignment="1" applyProtection="1">
      <alignment horizontal="center" vertical="center"/>
    </xf>
    <xf numFmtId="1" fontId="0" fillId="11" borderId="0" xfId="0" applyNumberFormat="1" applyFill="1" applyBorder="1" applyAlignment="1" applyProtection="1">
      <alignment horizontal="center" vertical="center"/>
    </xf>
    <xf numFmtId="1" fontId="2" fillId="3" borderId="11" xfId="0" applyNumberFormat="1" applyFont="1" applyFill="1" applyBorder="1" applyAlignment="1" applyProtection="1">
      <alignment horizontal="center" vertical="center"/>
    </xf>
    <xf numFmtId="1" fontId="0" fillId="10" borderId="3" xfId="0" applyNumberFormat="1" applyFill="1" applyBorder="1" applyAlignment="1" applyProtection="1">
      <alignment horizontal="center" vertical="center"/>
    </xf>
    <xf numFmtId="1" fontId="0" fillId="6" borderId="3" xfId="0" applyNumberFormat="1" applyFill="1" applyBorder="1" applyAlignment="1" applyProtection="1">
      <alignment horizontal="center" vertical="center"/>
    </xf>
    <xf numFmtId="1" fontId="0" fillId="7" borderId="3" xfId="0" applyNumberFormat="1" applyFill="1" applyBorder="1" applyAlignment="1" applyProtection="1">
      <alignment horizontal="center" vertical="center"/>
    </xf>
    <xf numFmtId="2" fontId="0" fillId="8" borderId="3" xfId="0" applyNumberFormat="1" applyFill="1" applyBorder="1" applyAlignment="1" applyProtection="1">
      <alignment horizontal="right" vertical="center"/>
    </xf>
    <xf numFmtId="2" fontId="0" fillId="8" borderId="6" xfId="0" applyNumberFormat="1" applyFont="1" applyFill="1" applyBorder="1" applyAlignment="1" applyProtection="1">
      <alignment horizontal="right" vertical="center"/>
    </xf>
    <xf numFmtId="2" fontId="14" fillId="8" borderId="1" xfId="0" applyNumberFormat="1" applyFont="1" applyFill="1" applyBorder="1" applyAlignment="1" applyProtection="1">
      <alignment horizontal="right" vertical="center"/>
    </xf>
    <xf numFmtId="2" fontId="14" fillId="8" borderId="19" xfId="0" applyNumberFormat="1" applyFont="1" applyFill="1" applyBorder="1" applyAlignment="1" applyProtection="1">
      <alignment horizontal="right" vertical="center"/>
    </xf>
    <xf numFmtId="2" fontId="0" fillId="8" borderId="2" xfId="0" applyNumberFormat="1" applyFill="1" applyBorder="1" applyAlignment="1" applyProtection="1">
      <alignment horizontal="right" vertical="center"/>
    </xf>
    <xf numFmtId="1" fontId="0" fillId="7" borderId="9" xfId="0" applyNumberFormat="1" applyFill="1" applyBorder="1" applyAlignment="1" applyProtection="1">
      <alignment horizontal="center" vertical="center"/>
    </xf>
    <xf numFmtId="1" fontId="2" fillId="3" borderId="11" xfId="0" applyNumberFormat="1" applyFont="1" applyFill="1" applyBorder="1" applyAlignment="1" applyProtection="1">
      <alignment horizontal="center" vertical="center"/>
    </xf>
    <xf numFmtId="1" fontId="0" fillId="10" borderId="2" xfId="0" applyNumberFormat="1" applyFill="1" applyBorder="1" applyAlignment="1" applyProtection="1">
      <alignment horizontal="center" vertical="center"/>
    </xf>
    <xf numFmtId="1" fontId="0" fillId="6" borderId="2" xfId="0" applyNumberFormat="1" applyFill="1" applyBorder="1" applyAlignment="1" applyProtection="1">
      <alignment horizontal="center" vertical="center"/>
    </xf>
    <xf numFmtId="1" fontId="0" fillId="7" borderId="2" xfId="0" applyNumberFormat="1" applyFill="1" applyBorder="1" applyAlignment="1" applyProtection="1">
      <alignment horizontal="center" vertical="center"/>
    </xf>
    <xf numFmtId="2" fontId="0" fillId="8" borderId="19" xfId="0" applyNumberFormat="1" applyFont="1" applyFill="1" applyBorder="1" applyAlignment="1" applyProtection="1">
      <alignment horizontal="right" vertical="center"/>
      <protection locked="0"/>
    </xf>
    <xf numFmtId="0" fontId="12" fillId="13" borderId="0" xfId="0" applyFont="1" applyFill="1"/>
    <xf numFmtId="1" fontId="0" fillId="10" borderId="6" xfId="0" applyNumberFormat="1" applyFill="1" applyBorder="1" applyAlignment="1" applyProtection="1">
      <alignment horizontal="center" vertical="center"/>
      <protection locked="0" hidden="1"/>
    </xf>
    <xf numFmtId="1" fontId="0" fillId="6" borderId="6" xfId="0" applyNumberFormat="1" applyFill="1" applyBorder="1" applyAlignment="1" applyProtection="1">
      <alignment horizontal="center" vertical="center"/>
      <protection locked="0" hidden="1"/>
    </xf>
    <xf numFmtId="1" fontId="0" fillId="7" borderId="6" xfId="0" applyNumberFormat="1" applyFill="1" applyBorder="1" applyAlignment="1" applyProtection="1">
      <alignment horizontal="center" vertical="center"/>
      <protection locked="0" hidden="1"/>
    </xf>
    <xf numFmtId="2" fontId="0" fillId="8" borderId="6" xfId="0" applyNumberFormat="1" applyFill="1" applyBorder="1" applyAlignment="1" applyProtection="1">
      <alignment horizontal="right" vertical="center"/>
      <protection locked="0" hidden="1"/>
    </xf>
    <xf numFmtId="1" fontId="0" fillId="10" borderId="1" xfId="0" applyNumberFormat="1" applyFill="1" applyBorder="1" applyAlignment="1" applyProtection="1">
      <alignment horizontal="center" vertical="center"/>
      <protection locked="0" hidden="1"/>
    </xf>
    <xf numFmtId="1" fontId="0" fillId="6" borderId="1" xfId="0" applyNumberFormat="1" applyFill="1" applyBorder="1" applyAlignment="1" applyProtection="1">
      <alignment horizontal="center" vertical="center"/>
      <protection locked="0" hidden="1"/>
    </xf>
    <xf numFmtId="1" fontId="0" fillId="7" borderId="1" xfId="0" applyNumberFormat="1" applyFill="1" applyBorder="1" applyAlignment="1" applyProtection="1">
      <alignment horizontal="center" vertical="center"/>
      <protection locked="0" hidden="1"/>
    </xf>
    <xf numFmtId="2" fontId="0" fillId="8" borderId="1" xfId="0" applyNumberFormat="1" applyFill="1" applyBorder="1" applyAlignment="1" applyProtection="1">
      <alignment horizontal="right" vertical="center"/>
      <protection locked="0" hidden="1"/>
    </xf>
    <xf numFmtId="2" fontId="0" fillId="8" borderId="2" xfId="0" applyNumberFormat="1" applyFill="1" applyBorder="1" applyAlignment="1" applyProtection="1">
      <alignment horizontal="right" vertical="center"/>
      <protection locked="0" hidden="1"/>
    </xf>
    <xf numFmtId="2" fontId="0" fillId="8" borderId="19" xfId="0" applyNumberFormat="1" applyFill="1" applyBorder="1" applyAlignment="1" applyProtection="1">
      <alignment horizontal="right" vertical="center"/>
      <protection locked="0" hidden="1"/>
    </xf>
    <xf numFmtId="2" fontId="2" fillId="3" borderId="21" xfId="0" applyNumberFormat="1" applyFont="1" applyFill="1" applyBorder="1" applyAlignment="1" applyProtection="1">
      <alignment horizontal="right" vertical="center"/>
      <protection hidden="1"/>
    </xf>
    <xf numFmtId="1" fontId="0" fillId="7" borderId="9" xfId="0" applyNumberFormat="1" applyFill="1" applyBorder="1" applyAlignment="1" applyProtection="1">
      <alignment horizontal="center" vertical="center"/>
      <protection locked="0" hidden="1"/>
    </xf>
    <xf numFmtId="1" fontId="0" fillId="10" borderId="2" xfId="0" applyNumberFormat="1" applyFill="1" applyBorder="1" applyAlignment="1" applyProtection="1">
      <alignment horizontal="center" vertical="center"/>
      <protection hidden="1"/>
    </xf>
    <xf numFmtId="1" fontId="0" fillId="6" borderId="2" xfId="0" applyNumberFormat="1" applyFill="1" applyBorder="1" applyAlignment="1" applyProtection="1">
      <alignment horizontal="center" vertical="center"/>
      <protection hidden="1"/>
    </xf>
    <xf numFmtId="1" fontId="0" fillId="7" borderId="2" xfId="0" applyNumberFormat="1" applyFill="1" applyBorder="1" applyAlignment="1" applyProtection="1">
      <alignment horizontal="center" vertical="center"/>
      <protection hidden="1"/>
    </xf>
    <xf numFmtId="2" fontId="2" fillId="3" borderId="26" xfId="0" applyNumberFormat="1" applyFont="1" applyFill="1" applyBorder="1" applyAlignment="1" applyProtection="1">
      <alignment horizontal="right" vertical="center"/>
      <protection hidden="1"/>
    </xf>
    <xf numFmtId="2" fontId="2" fillId="0" borderId="1" xfId="0" applyNumberFormat="1" applyFont="1" applyBorder="1" applyAlignment="1" applyProtection="1">
      <alignment horizontal="right" vertical="center"/>
    </xf>
    <xf numFmtId="2" fontId="0" fillId="0" borderId="1" xfId="0" applyNumberFormat="1" applyFont="1" applyBorder="1" applyAlignment="1" applyProtection="1">
      <alignment horizontal="right" vertical="center"/>
      <protection locked="0"/>
    </xf>
    <xf numFmtId="2" fontId="2" fillId="0" borderId="1" xfId="0" applyNumberFormat="1" applyFont="1" applyBorder="1" applyAlignment="1" applyProtection="1">
      <alignment horizontal="right" vertical="center"/>
      <protection locked="0"/>
    </xf>
    <xf numFmtId="1" fontId="2" fillId="3" borderId="11" xfId="0" applyNumberFormat="1" applyFont="1" applyFill="1" applyBorder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2" fontId="3" fillId="4" borderId="1" xfId="0" applyNumberFormat="1" applyFont="1" applyFill="1" applyBorder="1" applyAlignment="1" applyProtection="1">
      <alignment horizontal="center" vertical="center"/>
    </xf>
    <xf numFmtId="0" fontId="13" fillId="13" borderId="0" xfId="0" applyFont="1" applyFill="1"/>
    <xf numFmtId="1" fontId="30" fillId="10" borderId="1" xfId="0" applyNumberFormat="1" applyFont="1" applyFill="1" applyBorder="1" applyAlignment="1" applyProtection="1">
      <alignment horizontal="center" vertical="center"/>
      <protection locked="0"/>
    </xf>
    <xf numFmtId="1" fontId="30" fillId="6" borderId="1" xfId="0" applyNumberFormat="1" applyFont="1" applyFill="1" applyBorder="1" applyAlignment="1" applyProtection="1">
      <alignment horizontal="center" vertical="center"/>
      <protection locked="0"/>
    </xf>
    <xf numFmtId="1" fontId="30" fillId="7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2" fontId="14" fillId="15" borderId="34" xfId="0" applyNumberFormat="1" applyFont="1" applyFill="1" applyBorder="1"/>
    <xf numFmtId="0" fontId="0" fillId="0" borderId="35" xfId="0" applyBorder="1"/>
    <xf numFmtId="0" fontId="0" fillId="0" borderId="36" xfId="0" applyBorder="1"/>
    <xf numFmtId="4" fontId="0" fillId="0" borderId="36" xfId="0" applyNumberFormat="1" applyBorder="1"/>
    <xf numFmtId="0" fontId="0" fillId="0" borderId="37" xfId="0" applyBorder="1"/>
    <xf numFmtId="0" fontId="0" fillId="0" borderId="38" xfId="0" applyBorder="1"/>
    <xf numFmtId="1" fontId="2" fillId="3" borderId="1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wrapText="1"/>
    </xf>
    <xf numFmtId="0" fontId="1" fillId="19" borderId="1" xfId="0" applyFont="1" applyFill="1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left"/>
    </xf>
    <xf numFmtId="0" fontId="1" fillId="3" borderId="2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</xf>
    <xf numFmtId="1" fontId="0" fillId="3" borderId="9" xfId="0" applyNumberFormat="1" applyFill="1" applyBorder="1" applyAlignment="1" applyProtection="1">
      <alignment horizontal="center" vertical="center"/>
    </xf>
    <xf numFmtId="0" fontId="0" fillId="3" borderId="32" xfId="0" applyFill="1" applyBorder="1" applyAlignment="1" applyProtection="1">
      <alignment horizontal="center" vertical="center"/>
    </xf>
    <xf numFmtId="0" fontId="0" fillId="3" borderId="20" xfId="0" applyFill="1" applyBorder="1" applyAlignment="1" applyProtection="1">
      <alignment horizontal="center" vertical="center"/>
    </xf>
    <xf numFmtId="0" fontId="0" fillId="6" borderId="5" xfId="0" applyFont="1" applyFill="1" applyBorder="1" applyAlignment="1" applyProtection="1">
      <alignment horizontal="center" vertical="center"/>
    </xf>
    <xf numFmtId="1" fontId="2" fillId="3" borderId="11" xfId="0" applyNumberFormat="1" applyFont="1" applyFill="1" applyBorder="1" applyAlignment="1" applyProtection="1">
      <alignment horizontal="center" vertical="center"/>
    </xf>
    <xf numFmtId="0" fontId="2" fillId="3" borderId="30" xfId="0" applyFont="1" applyFill="1" applyBorder="1" applyAlignment="1" applyProtection="1">
      <alignment horizontal="center" vertical="center"/>
    </xf>
    <xf numFmtId="0" fontId="2" fillId="3" borderId="31" xfId="0" applyFont="1" applyFill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top" wrapText="1"/>
    </xf>
    <xf numFmtId="0" fontId="7" fillId="6" borderId="2" xfId="0" applyFont="1" applyFill="1" applyBorder="1" applyAlignment="1" applyProtection="1">
      <alignment horizontal="center" vertic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0" fontId="7" fillId="8" borderId="2" xfId="0" applyFont="1" applyFill="1" applyBorder="1" applyAlignment="1" applyProtection="1">
      <alignment horizontal="right" vertical="center" wrapText="1"/>
    </xf>
    <xf numFmtId="0" fontId="7" fillId="9" borderId="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3" fillId="8" borderId="2" xfId="0" applyFont="1" applyFill="1" applyBorder="1" applyAlignment="1" applyProtection="1">
      <alignment horizontal="center" vertical="center" wrapText="1"/>
    </xf>
    <xf numFmtId="0" fontId="0" fillId="6" borderId="16" xfId="0" applyFont="1" applyFill="1" applyBorder="1" applyAlignment="1" applyProtection="1">
      <alignment horizontal="center" vertical="center"/>
    </xf>
    <xf numFmtId="0" fontId="0" fillId="6" borderId="29" xfId="0" applyFont="1" applyFill="1" applyBorder="1" applyAlignment="1" applyProtection="1">
      <alignment horizontal="center" vertical="center"/>
    </xf>
    <xf numFmtId="0" fontId="0" fillId="6" borderId="13" xfId="0" applyFont="1" applyFill="1" applyBorder="1" applyAlignment="1" applyProtection="1">
      <alignment horizontal="center" vertical="center"/>
    </xf>
    <xf numFmtId="1" fontId="2" fillId="3" borderId="30" xfId="0" applyNumberFormat="1" applyFont="1" applyFill="1" applyBorder="1" applyAlignment="1" applyProtection="1">
      <alignment horizontal="center" vertical="center"/>
    </xf>
    <xf numFmtId="1" fontId="2" fillId="3" borderId="31" xfId="0" applyNumberFormat="1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left" wrapText="1"/>
    </xf>
    <xf numFmtId="0" fontId="20" fillId="0" borderId="0" xfId="0" applyFont="1" applyAlignment="1">
      <alignment horizontal="left" readingOrder="1"/>
    </xf>
    <xf numFmtId="0" fontId="27" fillId="0" borderId="0" xfId="0" applyFont="1" applyAlignment="1">
      <alignment horizontal="left" wrapText="1"/>
    </xf>
  </cellXfs>
  <cellStyles count="1">
    <cellStyle name="Normal" xfId="0" builtinId="0"/>
  </cellStyles>
  <dxfs count="4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0CEC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A9D18E"/>
      <rgbColor rgb="FFFBE5D6"/>
      <rgbColor rgb="FFD9D9D9"/>
      <rgbColor rgb="FFFFD966"/>
      <rgbColor rgb="FF3366FF"/>
      <rgbColor rgb="FF33CCCC"/>
      <rgbColor rgb="FF99CC00"/>
      <rgbColor rgb="FFFFCC00"/>
      <rgbColor rgb="FFFF9900"/>
      <rgbColor rgb="FFFF6600"/>
      <rgbColor rgb="FF7C7C7C"/>
      <rgbColor rgb="FFA6A6A6"/>
      <rgbColor rgb="FF003366"/>
      <rgbColor rgb="FF00B050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Sausis (žalos €)</a:t>
            </a:r>
          </a:p>
        </c:rich>
      </c:tx>
      <c:spPr>
        <a:noFill/>
        <a:ln>
          <a:noFill/>
        </a:ln>
      </c:spPr>
    </c:title>
    <c:plotArea>
      <c:layout/>
      <c:barChart>
        <c:barDir val="col"/>
        <c:grouping val="stacked"/>
        <c:ser>
          <c:idx val="0"/>
          <c:order val="0"/>
          <c:tx>
            <c:strRef>
              <c:f>'Dinamika (registruotų)'!$A$3</c:f>
              <c:strCache>
                <c:ptCount val="1"/>
                <c:pt idx="0">
                  <c:v>Sausis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3"/>
            <c:spPr>
              <a:solidFill>
                <a:srgbClr val="FF0000"/>
              </a:solidFill>
              <a:ln>
                <a:noFill/>
              </a:ln>
            </c:spPr>
          </c:dPt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7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24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ctr"/>
            <c:showVal val="1"/>
            <c:separator>; </c:separator>
          </c:dLbls>
          <c:cat>
            <c:strRef>
              <c:f>'Dinamika (registruotų)'!$B$2:$AF$2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'Dinamika (registruotų)'!$B$3:$AF$3</c:f>
              <c:numCache>
                <c:formatCode>General</c:formatCode>
                <c:ptCount val="31"/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overlap val="100"/>
        <c:axId val="152980480"/>
        <c:axId val="152994560"/>
      </c:barChart>
      <c:catAx>
        <c:axId val="15298048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2994560"/>
        <c:crosses val="autoZero"/>
        <c:auto val="1"/>
        <c:lblAlgn val="ctr"/>
        <c:lblOffset val="100"/>
      </c:catAx>
      <c:valAx>
        <c:axId val="15299456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298048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0000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Vasaris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stacked"/>
        <c:ser>
          <c:idx val="0"/>
          <c:order val="0"/>
          <c:tx>
            <c:strRef>
              <c:f>'Dinamika (registruotų)'!$A$29</c:f>
              <c:strCache>
                <c:ptCount val="1"/>
                <c:pt idx="0">
                  <c:v>Vasaris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'Dinamika (registruotų)'!$B$28:$AC$28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'Dinamika (registruotų)'!$B$29:$AC$29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#,##0.00">
                  <c:v>0</c:v>
                </c:pt>
                <c:pt idx="20">
                  <c:v>0</c:v>
                </c:pt>
                <c:pt idx="21">
                  <c:v>0</c:v>
                </c:pt>
                <c:pt idx="22" formatCode="#,##0.00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cat>
            <c:strRef>
              <c:f>'Dinamika (registruotų)'!$B$28:$AC$28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'Dinamika (registruotų)'!$A$38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shape val="box"/>
        <c:axId val="153376256"/>
        <c:axId val="153377792"/>
        <c:axId val="0"/>
      </c:bar3DChart>
      <c:catAx>
        <c:axId val="15337625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377792"/>
        <c:crosses val="autoZero"/>
        <c:auto val="1"/>
        <c:lblAlgn val="ctr"/>
        <c:lblOffset val="100"/>
      </c:catAx>
      <c:valAx>
        <c:axId val="15337779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37625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Vasaris (reg. pranešimų sk.)</a:t>
            </a:r>
          </a:p>
        </c:rich>
      </c:tx>
      <c:layout>
        <c:manualLayout>
          <c:xMode val="edge"/>
          <c:yMode val="edge"/>
          <c:x val="0.44026402640264001"/>
          <c:y val="0.10372960372960677"/>
        </c:manualLayout>
      </c:layout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stacked"/>
        <c:ser>
          <c:idx val="0"/>
          <c:order val="0"/>
          <c:tx>
            <c:strRef>
              <c:f>'Dinamika (registruotų)'!$A$30</c:f>
              <c:strCache>
                <c:ptCount val="1"/>
                <c:pt idx="0">
                  <c:v>Vasaris</c:v>
                </c:pt>
              </c:strCache>
            </c:strRef>
          </c:tx>
          <c:spPr>
            <a:solidFill>
              <a:srgbClr val="7C7C7C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10"/>
              <c:spPr>
                <a:ln w="9360">
                  <a:solidFill>
                    <a:srgbClr val="595959"/>
                  </a:solidFill>
                </a:ln>
              </c:spPr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'Dinamika (registruotų)'!$B$28:$AC$28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'Dinamika (registruotų)'!$B$30:$AC$30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hape val="box"/>
        <c:axId val="151070976"/>
        <c:axId val="151080960"/>
        <c:axId val="0"/>
      </c:bar3DChart>
      <c:catAx>
        <c:axId val="15107097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1080960"/>
        <c:crosses val="autoZero"/>
        <c:auto val="1"/>
        <c:lblAlgn val="ctr"/>
        <c:lblOffset val="100"/>
      </c:catAx>
      <c:valAx>
        <c:axId val="15108096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107097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Sausis (reg. pranešimų sk.)</a:t>
            </a:r>
          </a:p>
        </c:rich>
      </c:tx>
      <c:spPr>
        <a:noFill/>
        <a:ln>
          <a:noFill/>
        </a:ln>
      </c:spPr>
    </c:title>
    <c:plotArea>
      <c:layout/>
      <c:barChart>
        <c:barDir val="col"/>
        <c:grouping val="stacked"/>
        <c:ser>
          <c:idx val="0"/>
          <c:order val="0"/>
          <c:tx>
            <c:strRef>
              <c:f>'Dinamika (registruotų)'!$A$4</c:f>
              <c:strCache>
                <c:ptCount val="1"/>
                <c:pt idx="0">
                  <c:v>Sausis</c:v>
                </c:pt>
              </c:strCache>
            </c:strRef>
          </c:tx>
          <c:spPr>
            <a:solidFill>
              <a:srgbClr val="7C7C7C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ctr"/>
            <c:showVal val="1"/>
            <c:separator>; </c:separator>
          </c:dLbls>
          <c:cat>
            <c:strRef>
              <c:f>'Dinamika (registruotų)'!$B$2:$AF$2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'Dinamika (registruotų)'!$B$4:$AF$4</c:f>
              <c:numCache>
                <c:formatCode>General</c:formatCode>
                <c:ptCount val="31"/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overlap val="100"/>
        <c:axId val="151088512"/>
        <c:axId val="151102592"/>
      </c:barChart>
      <c:catAx>
        <c:axId val="15108851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1102592"/>
        <c:crosses val="autoZero"/>
        <c:auto val="1"/>
        <c:lblAlgn val="ctr"/>
        <c:lblOffset val="100"/>
      </c:catAx>
      <c:valAx>
        <c:axId val="15110259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108851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Kovas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(registruotų)'!$A$59</c:f>
              <c:strCache>
                <c:ptCount val="1"/>
                <c:pt idx="0">
                  <c:v>Kovas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Pt>
            <c:idx val="28"/>
            <c:spPr>
              <a:solidFill>
                <a:srgbClr val="FF0000"/>
              </a:solidFill>
              <a:ln>
                <a:noFill/>
              </a:ln>
            </c:spPr>
          </c:dPt>
          <c:dPt>
            <c:idx val="29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10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11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13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1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'Dinamika (registruotų)'!$B$58:$AF$58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'Dinamika (registruotų)'!$B$59:$AF$59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#,##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53660416"/>
        <c:axId val="153662208"/>
        <c:axId val="0"/>
      </c:bar3DChart>
      <c:catAx>
        <c:axId val="1536604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662208"/>
        <c:crosses val="autoZero"/>
        <c:auto val="1"/>
        <c:lblAlgn val="ctr"/>
        <c:lblOffset val="100"/>
      </c:catAx>
      <c:valAx>
        <c:axId val="15366220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66041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Kovas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(registruotų)'!$A$60</c:f>
              <c:strCache>
                <c:ptCount val="1"/>
                <c:pt idx="0">
                  <c:v>Kovas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Pt>
            <c:idx val="28"/>
            <c:spPr>
              <a:solidFill>
                <a:srgbClr val="FF0000"/>
              </a:solidFill>
              <a:ln>
                <a:noFill/>
              </a:ln>
            </c:spPr>
          </c:dPt>
          <c:dPt>
            <c:idx val="29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(registruotų)'!$B$60:$AF$60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53719552"/>
        <c:axId val="153721088"/>
        <c:axId val="0"/>
      </c:bar3DChart>
      <c:catAx>
        <c:axId val="15371955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721088"/>
        <c:crosses val="autoZero"/>
        <c:auto val="1"/>
        <c:lblAlgn val="ctr"/>
        <c:lblOffset val="100"/>
      </c:catAx>
      <c:valAx>
        <c:axId val="15372108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71955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(registruotų)'!$A$92</c:f>
              <c:strCache>
                <c:ptCount val="1"/>
                <c:pt idx="0">
                  <c:v>Balandis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(registruotų)'!$B$92:$AE$92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53560960"/>
        <c:axId val="153562496"/>
        <c:axId val="0"/>
      </c:bar3DChart>
      <c:catAx>
        <c:axId val="15356096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562496"/>
        <c:crosses val="autoZero"/>
        <c:auto val="1"/>
        <c:lblAlgn val="ctr"/>
        <c:lblOffset val="100"/>
      </c:catAx>
      <c:valAx>
        <c:axId val="15356249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56096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(registruotų)'!$A$91</c:f>
              <c:strCache>
                <c:ptCount val="1"/>
                <c:pt idx="0">
                  <c:v>Balandis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9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(registruotų)'!$B$91:$AE$91</c:f>
              <c:numCache>
                <c:formatCode>#,##0.00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53751552"/>
        <c:axId val="153753088"/>
        <c:axId val="0"/>
      </c:bar3DChart>
      <c:catAx>
        <c:axId val="15375155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753088"/>
        <c:crosses val="autoZero"/>
        <c:auto val="1"/>
        <c:lblAlgn val="ctr"/>
        <c:lblOffset val="100"/>
      </c:catAx>
      <c:valAx>
        <c:axId val="15375308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75155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(registruotų)'!$A$124</c:f>
              <c:strCache>
                <c:ptCount val="1"/>
                <c:pt idx="0">
                  <c:v>Gegužė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val>
            <c:numRef>
              <c:f>'Dinamika (registruotų)'!$B$124:$AF$124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@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53788800"/>
        <c:axId val="153790336"/>
        <c:axId val="0"/>
      </c:bar3DChart>
      <c:catAx>
        <c:axId val="15378880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790336"/>
        <c:crosses val="autoZero"/>
        <c:auto val="1"/>
        <c:lblAlgn val="ctr"/>
        <c:lblOffset val="100"/>
      </c:catAx>
      <c:valAx>
        <c:axId val="15379033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7888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(registruotų)'!$A$123</c:f>
              <c:strCache>
                <c:ptCount val="1"/>
                <c:pt idx="0">
                  <c:v>Gegužė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(registruotų)'!$B$123:$AF$123</c:f>
              <c:numCache>
                <c:formatCode>#,##0.00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53900160"/>
        <c:axId val="153901696"/>
        <c:axId val="0"/>
      </c:bar3DChart>
      <c:catAx>
        <c:axId val="15390016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901696"/>
        <c:crosses val="autoZero"/>
        <c:auto val="1"/>
        <c:lblAlgn val="ctr"/>
        <c:lblOffset val="100"/>
      </c:catAx>
      <c:valAx>
        <c:axId val="15390169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90016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(registruotų)'!$A$157</c:f>
              <c:strCache>
                <c:ptCount val="1"/>
                <c:pt idx="0">
                  <c:v>Birželis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(registruotų)'!$B$157:$AE$157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53823104"/>
        <c:axId val="153824640"/>
        <c:axId val="0"/>
      </c:bar3DChart>
      <c:catAx>
        <c:axId val="15382310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824640"/>
        <c:crosses val="autoZero"/>
        <c:auto val="1"/>
        <c:lblAlgn val="ctr"/>
        <c:lblOffset val="100"/>
      </c:catAx>
      <c:valAx>
        <c:axId val="15382464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8231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(registruotų)'!$A$156</c:f>
              <c:strCache>
                <c:ptCount val="1"/>
                <c:pt idx="0">
                  <c:v>Birželis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(registruotų)'!$B$156:$AE$156</c:f>
              <c:numCache>
                <c:formatCode>#,##0.00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53954944"/>
        <c:axId val="153960832"/>
        <c:axId val="0"/>
      </c:bar3DChart>
      <c:catAx>
        <c:axId val="15395494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960832"/>
        <c:crosses val="autoZero"/>
        <c:auto val="1"/>
        <c:lblAlgn val="ctr"/>
        <c:lblOffset val="100"/>
      </c:catAx>
      <c:valAx>
        <c:axId val="15396083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395494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Dinamika!$A$101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Dinamika!$B$101:$AE$101</c:f>
              <c:numCache>
                <c:formatCode>General</c:formatCode>
                <c:ptCount val="30"/>
              </c:numCache>
            </c:numRef>
          </c:val>
        </c:ser>
        <c:shape val="box"/>
        <c:axId val="154186112"/>
        <c:axId val="154187648"/>
        <c:axId val="0"/>
      </c:bar3DChart>
      <c:catAx>
        <c:axId val="15418611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187648"/>
        <c:crosses val="autoZero"/>
        <c:auto val="1"/>
        <c:lblAlgn val="ctr"/>
        <c:lblOffset val="100"/>
      </c:catAx>
      <c:valAx>
        <c:axId val="15418764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18611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Dinamika!$A$100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9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Dinamika!$B$100:$AE$100</c:f>
              <c:numCache>
                <c:formatCode>#,##0.00</c:formatCode>
                <c:ptCount val="30"/>
              </c:numCache>
            </c:numRef>
          </c:val>
        </c:ser>
        <c:shape val="box"/>
        <c:axId val="149334272"/>
        <c:axId val="149344256"/>
        <c:axId val="0"/>
      </c:bar3DChart>
      <c:catAx>
        <c:axId val="14933427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49344256"/>
        <c:crosses val="autoZero"/>
        <c:auto val="1"/>
        <c:lblAlgn val="ctr"/>
        <c:lblOffset val="100"/>
      </c:catAx>
      <c:valAx>
        <c:axId val="14934425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4933427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Dinamika!$A$133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val>
            <c:numRef>
              <c:f>Dinamika!$B$133:$AF$133</c:f>
              <c:numCache>
                <c:formatCode>General</c:formatCode>
                <c:ptCount val="31"/>
              </c:numCache>
            </c:numRef>
          </c:val>
        </c:ser>
        <c:shape val="box"/>
        <c:axId val="154479232"/>
        <c:axId val="154489216"/>
        <c:axId val="0"/>
      </c:bar3DChart>
      <c:catAx>
        <c:axId val="15447923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489216"/>
        <c:crosses val="autoZero"/>
        <c:auto val="1"/>
        <c:lblAlgn val="ctr"/>
        <c:lblOffset val="100"/>
      </c:catAx>
      <c:valAx>
        <c:axId val="15448921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47923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Dinamika!$A$132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Dinamika!$B$132:$AF$132</c:f>
              <c:numCache>
                <c:formatCode>#,##0.00</c:formatCode>
                <c:ptCount val="31"/>
              </c:numCache>
            </c:numRef>
          </c:val>
        </c:ser>
        <c:shape val="box"/>
        <c:axId val="154516864"/>
        <c:axId val="154526848"/>
        <c:axId val="0"/>
      </c:bar3DChart>
      <c:catAx>
        <c:axId val="1545168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526848"/>
        <c:crosses val="autoZero"/>
        <c:auto val="1"/>
        <c:lblAlgn val="ctr"/>
        <c:lblOffset val="100"/>
      </c:catAx>
      <c:valAx>
        <c:axId val="15452684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51686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Dinamika!$A$166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Dinamika!$B$166:$AE$166</c:f>
              <c:numCache>
                <c:formatCode>General</c:formatCode>
                <c:ptCount val="30"/>
              </c:numCache>
            </c:numRef>
          </c:val>
        </c:ser>
        <c:shape val="box"/>
        <c:axId val="154374528"/>
        <c:axId val="154376064"/>
        <c:axId val="0"/>
      </c:bar3DChart>
      <c:catAx>
        <c:axId val="15437452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376064"/>
        <c:crosses val="autoZero"/>
        <c:auto val="1"/>
        <c:lblAlgn val="ctr"/>
        <c:lblOffset val="100"/>
      </c:catAx>
      <c:valAx>
        <c:axId val="15437606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37452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Dinamika!$A$165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Dinamika!$B$165:$AE$165</c:f>
              <c:numCache>
                <c:formatCode>#,##0.00</c:formatCode>
                <c:ptCount val="30"/>
              </c:numCache>
            </c:numRef>
          </c:val>
        </c:ser>
        <c:shape val="box"/>
        <c:axId val="154563712"/>
        <c:axId val="154565248"/>
        <c:axId val="0"/>
      </c:bar3DChart>
      <c:catAx>
        <c:axId val="15456371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565248"/>
        <c:crosses val="autoZero"/>
        <c:auto val="1"/>
        <c:lblAlgn val="ctr"/>
        <c:lblOffset val="100"/>
      </c:catAx>
      <c:valAx>
        <c:axId val="15456524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56371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lt-LT"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defRPr>
            </a:pPr>
            <a:r>
              <a:t>Registruota pranešimų (Iš viso 843)</a:t>
            </a:r>
          </a:p>
        </c:rich>
      </c:tx>
      <c:layout/>
      <c:overlay val="1"/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>
        <c:manualLayout>
          <c:layoutTarget val="inner"/>
          <c:xMode val="edge"/>
          <c:yMode val="edge"/>
          <c:x val="1.0795833333333341E-2"/>
          <c:y val="0.19196150793650787"/>
          <c:w val="0.98920416666666156"/>
          <c:h val="0.59213015873013819"/>
        </c:manualLayout>
      </c:layout>
      <c:bar3DChart>
        <c:barDir val="col"/>
        <c:grouping val="clustered"/>
        <c:ser>
          <c:idx val="0"/>
          <c:order val="0"/>
          <c:tx>
            <c:strRef>
              <c:f>Dinamika!$A$18</c:f>
              <c:strCache>
                <c:ptCount val="1"/>
                <c:pt idx="0">
                  <c:v>Registruota pranešimų (iš viso 843)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"/>
            <c:spPr>
              <a:solidFill>
                <a:srgbClr val="808080"/>
              </a:solidFill>
              <a:ln>
                <a:noFill/>
              </a:ln>
            </c:spPr>
          </c:dPt>
          <c:dPt>
            <c:idx val="3"/>
            <c:spPr>
              <a:solidFill>
                <a:srgbClr val="808080"/>
              </a:solidFill>
              <a:ln>
                <a:noFill/>
              </a:ln>
            </c:spPr>
          </c:dPt>
          <c:dPt>
            <c:idx val="4"/>
            <c:spPr>
              <a:solidFill>
                <a:srgbClr val="808080"/>
              </a:solidFill>
            </c:spPr>
          </c:dPt>
          <c:dPt>
            <c:idx val="5"/>
            <c:spPr>
              <a:solidFill>
                <a:srgbClr val="808080"/>
              </a:solidFill>
              <a:ln>
                <a:noFill/>
              </a:ln>
            </c:spPr>
          </c:dPt>
          <c:dPt>
            <c:idx val="6"/>
            <c:spPr>
              <a:solidFill>
                <a:srgbClr val="80808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9"/>
            <c:spPr>
              <a:solidFill>
                <a:srgbClr val="808080"/>
              </a:solidFill>
              <a:ln>
                <a:noFill/>
              </a:ln>
            </c:spPr>
          </c:dPt>
          <c:dPt>
            <c:idx val="10"/>
            <c:spPr>
              <a:solidFill>
                <a:srgbClr val="808080"/>
              </a:solidFill>
              <a:ln>
                <a:noFill/>
              </a:ln>
            </c:spPr>
          </c:dPt>
          <c:dPt>
            <c:idx val="11"/>
            <c:spPr>
              <a:solidFill>
                <a:srgbClr val="808080"/>
              </a:solidFill>
              <a:ln>
                <a:noFill/>
              </a:ln>
            </c:spPr>
          </c:dPt>
          <c:dPt>
            <c:idx val="12"/>
            <c:spPr>
              <a:solidFill>
                <a:srgbClr val="808080"/>
              </a:solidFill>
              <a:ln>
                <a:noFill/>
              </a:ln>
            </c:spPr>
          </c:dPt>
          <c:dPt>
            <c:idx val="13"/>
            <c:spPr>
              <a:solidFill>
                <a:srgbClr val="80808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6"/>
            <c:spPr>
              <a:solidFill>
                <a:srgbClr val="808080"/>
              </a:solidFill>
              <a:ln>
                <a:noFill/>
              </a:ln>
            </c:spPr>
          </c:dPt>
          <c:dPt>
            <c:idx val="17"/>
            <c:spPr>
              <a:solidFill>
                <a:srgbClr val="808080"/>
              </a:solidFill>
              <a:ln>
                <a:noFill/>
              </a:ln>
            </c:spPr>
          </c:dPt>
          <c:dPt>
            <c:idx val="18"/>
            <c:spPr>
              <a:solidFill>
                <a:srgbClr val="808080"/>
              </a:solidFill>
              <a:ln>
                <a:noFill/>
              </a:ln>
            </c:spPr>
          </c:dPt>
          <c:dPt>
            <c:idx val="19"/>
            <c:spPr>
              <a:solidFill>
                <a:srgbClr val="808080"/>
              </a:solidFill>
              <a:ln>
                <a:noFill/>
              </a:ln>
            </c:spPr>
          </c:dPt>
          <c:dPt>
            <c:idx val="20"/>
            <c:spPr>
              <a:solidFill>
                <a:srgbClr val="80808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Pt>
            <c:idx val="23"/>
            <c:spPr>
              <a:solidFill>
                <a:srgbClr val="808080"/>
              </a:solidFill>
              <a:ln>
                <a:noFill/>
              </a:ln>
            </c:spPr>
          </c:dPt>
          <c:dPt>
            <c:idx val="24"/>
            <c:spPr>
              <a:solidFill>
                <a:srgbClr val="808080"/>
              </a:solidFill>
              <a:ln>
                <a:noFill/>
              </a:ln>
            </c:spPr>
          </c:dPt>
          <c:dPt>
            <c:idx val="25"/>
            <c:spPr>
              <a:solidFill>
                <a:srgbClr val="808080"/>
              </a:solidFill>
              <a:ln>
                <a:noFill/>
              </a:ln>
            </c:spPr>
          </c:dPt>
          <c:dPt>
            <c:idx val="26"/>
            <c:spPr>
              <a:solidFill>
                <a:srgbClr val="808080"/>
              </a:solidFill>
              <a:ln>
                <a:noFill/>
              </a:ln>
            </c:spPr>
          </c:dPt>
          <c:dPt>
            <c:idx val="27"/>
            <c:spPr>
              <a:solidFill>
                <a:srgbClr val="808080"/>
              </a:solidFill>
              <a:ln>
                <a:noFill/>
              </a:ln>
            </c:spPr>
          </c:dPt>
          <c:dLbls>
            <c:spPr>
              <a:noFill/>
            </c:spPr>
            <c:txPr>
              <a:bodyPr/>
              <a:lstStyle/>
              <a:p>
                <a:pPr>
                  <a:defRPr lang="lt-LT" b="1"/>
                </a:pPr>
                <a:endParaRPr lang="en-US"/>
              </a:p>
            </c:txPr>
            <c:showVal val="1"/>
          </c:dLbls>
          <c:cat>
            <c:strRef>
              <c:f>Dinamika!$D$11:$AH$11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Dinamika!$D$12:$AE$12</c:f>
              <c:numCache>
                <c:formatCode>General</c:formatCode>
                <c:ptCount val="28"/>
                <c:pt idx="0">
                  <c:v>7</c:v>
                </c:pt>
                <c:pt idx="1">
                  <c:v>18</c:v>
                </c:pt>
                <c:pt idx="2">
                  <c:v>93</c:v>
                </c:pt>
                <c:pt idx="3">
                  <c:v>96</c:v>
                </c:pt>
                <c:pt idx="4">
                  <c:v>99</c:v>
                </c:pt>
                <c:pt idx="5">
                  <c:v>82</c:v>
                </c:pt>
                <c:pt idx="6">
                  <c:v>92</c:v>
                </c:pt>
                <c:pt idx="7">
                  <c:v>25</c:v>
                </c:pt>
                <c:pt idx="8">
                  <c:v>15</c:v>
                </c:pt>
                <c:pt idx="9">
                  <c:v>80</c:v>
                </c:pt>
                <c:pt idx="10">
                  <c:v>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53</c:v>
                </c:pt>
                <c:pt idx="20">
                  <c:v>92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</c:ser>
        <c:shape val="box"/>
        <c:axId val="154716416"/>
        <c:axId val="154718208"/>
        <c:axId val="0"/>
      </c:bar3DChart>
      <c:catAx>
        <c:axId val="1547164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718208"/>
        <c:crosses val="autoZero"/>
        <c:auto val="1"/>
        <c:lblAlgn val="ctr"/>
        <c:lblOffset val="100"/>
      </c:catAx>
      <c:valAx>
        <c:axId val="154718208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one"/>
        <c:crossAx val="15471641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968253968253968E-2"/>
          <c:y val="0.1078431372549019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Dinamika!$I$1</c:f>
              <c:strCache>
                <c:ptCount val="1"/>
                <c:pt idx="0">
                  <c:v>Dinamika!$D$12:$AE$12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54606208"/>
        <c:axId val="154608000"/>
      </c:barChart>
      <c:catAx>
        <c:axId val="154606208"/>
        <c:scaling>
          <c:orientation val="minMax"/>
        </c:scaling>
        <c:delete val="1"/>
        <c:axPos val="b"/>
        <c:tickLblPos val="none"/>
        <c:crossAx val="154608000"/>
        <c:crosses val="autoZero"/>
        <c:auto val="1"/>
        <c:lblAlgn val="ctr"/>
        <c:lblOffset val="100"/>
      </c:catAx>
      <c:valAx>
        <c:axId val="154608000"/>
        <c:scaling>
          <c:orientation val="minMax"/>
        </c:scaling>
        <c:delete val="1"/>
        <c:axPos val="l"/>
        <c:numFmt formatCode="General" sourceLinked="1"/>
        <c:tickLblPos val="none"/>
        <c:crossAx val="154606208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 rtl="0">
              <a:defRPr lang="en-US"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defRPr>
            </a:pPr>
            <a:r>
              <a:rPr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rPr>
              <a:t>Patirtos žalos** (iš viso 1474,7 €)</a:t>
            </a:r>
          </a:p>
          <a:p>
            <a:pPr algn="ctr" rtl="0">
              <a:defRPr lang="en-US"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defRPr>
            </a:pPr>
            <a:r>
              <a:rPr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rPr>
              <a:t>** Skaičiuojama tūkst. €</a:t>
            </a:r>
          </a:p>
        </c:rich>
      </c:tx>
      <c:layout/>
      <c:overlay val="1"/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>
        <c:manualLayout>
          <c:layoutTarget val="inner"/>
          <c:xMode val="edge"/>
          <c:yMode val="edge"/>
          <c:x val="8.8284188034188048E-3"/>
          <c:y val="0.20662698412698421"/>
          <c:w val="0.98845790598288252"/>
          <c:h val="0.63794087301591096"/>
        </c:manualLayout>
      </c:layout>
      <c:bar3DChart>
        <c:barDir val="col"/>
        <c:grouping val="clustered"/>
        <c:ser>
          <c:idx val="0"/>
          <c:order val="0"/>
          <c:tx>
            <c:strRef>
              <c:f>Dinamika!$A$52</c:f>
              <c:strCache>
                <c:ptCount val="1"/>
                <c:pt idx="0">
                  <c:v>Patirtos žalos** (iš viso 993 065,3 €)_x000d_** Skaičiuojama tūkst. € 
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8"/>
              <c:layout>
                <c:manualLayout>
                  <c:x val="2.7136752136752151E-3"/>
                  <c:y val="-5.0396825396827301E-3"/>
                </c:manualLayout>
              </c:layout>
              <c:showVal val="1"/>
              <c:separator>; </c:separator>
            </c:dLbl>
            <c:dLbl>
              <c:idx val="12"/>
              <c:layout>
                <c:manualLayout>
                  <c:x val="1.3568376068376581E-3"/>
                  <c:y val="-1.007936507936508E-2"/>
                </c:manualLayout>
              </c:layout>
              <c:showVal val="1"/>
              <c:separator>; </c:separator>
            </c:dLbl>
            <c:dLbl>
              <c:idx val="24"/>
              <c:layout>
                <c:manualLayout>
                  <c:x val="-1.068376067381135E-7"/>
                  <c:y val="-1.511904761904762E-2"/>
                </c:manualLayout>
              </c:layout>
              <c:showVal val="1"/>
              <c:separator>; </c:separator>
            </c:dLbl>
            <c:txPr>
              <a:bodyPr/>
              <a:lstStyle/>
              <a:p>
                <a:pPr>
                  <a:defRPr lang="lt-LT" sz="1000" b="1" strike="noStrike" spc="-1">
                    <a:solidFill>
                      <a:srgbClr val="404040"/>
                    </a:solidFill>
                    <a:latin typeface="Times New Roman" pitchFamily="18" charset="0"/>
                    <a:ea typeface="DejaVu Sans"/>
                    <a:cs typeface="Times New Roman" pitchFamily="18" charset="0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Dinamika!$D$11:$AH$11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Dinamika!$D$14:$AE$14</c:f>
              <c:numCache>
                <c:formatCode>0.0</c:formatCode>
                <c:ptCount val="28"/>
                <c:pt idx="0">
                  <c:v>0</c:v>
                </c:pt>
                <c:pt idx="1">
                  <c:v>14.7605</c:v>
                </c:pt>
                <c:pt idx="2">
                  <c:v>22.811670000000003</c:v>
                </c:pt>
                <c:pt idx="3">
                  <c:v>20.698</c:v>
                </c:pt>
                <c:pt idx="4">
                  <c:v>57.598390000000002</c:v>
                </c:pt>
                <c:pt idx="5">
                  <c:v>5.9956700000000005</c:v>
                </c:pt>
                <c:pt idx="6">
                  <c:v>41.810869999999994</c:v>
                </c:pt>
                <c:pt idx="7">
                  <c:v>48.78</c:v>
                </c:pt>
                <c:pt idx="8">
                  <c:v>4.6079999999999997</c:v>
                </c:pt>
                <c:pt idx="9">
                  <c:v>39.658619999999999</c:v>
                </c:pt>
                <c:pt idx="10">
                  <c:v>20.350459999999998</c:v>
                </c:pt>
                <c:pt idx="11">
                  <c:v>39.06765</c:v>
                </c:pt>
                <c:pt idx="12">
                  <c:v>29.077500000000001</c:v>
                </c:pt>
                <c:pt idx="13">
                  <c:v>23.531320000000001</c:v>
                </c:pt>
                <c:pt idx="14">
                  <c:v>47.795539999999995</c:v>
                </c:pt>
                <c:pt idx="15">
                  <c:v>9.4730000000000008</c:v>
                </c:pt>
                <c:pt idx="16">
                  <c:v>3.0880000000000001</c:v>
                </c:pt>
                <c:pt idx="17">
                  <c:v>19.955089999999998</c:v>
                </c:pt>
                <c:pt idx="18">
                  <c:v>94.089289999999991</c:v>
                </c:pt>
                <c:pt idx="19">
                  <c:v>177.48777999999999</c:v>
                </c:pt>
                <c:pt idx="20">
                  <c:v>194.75498000000002</c:v>
                </c:pt>
                <c:pt idx="21">
                  <c:v>0</c:v>
                </c:pt>
                <c:pt idx="22">
                  <c:v>0</c:v>
                </c:pt>
                <c:pt idx="23">
                  <c:v>77.672989999999999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hape val="box"/>
        <c:axId val="154660864"/>
        <c:axId val="154662400"/>
        <c:axId val="0"/>
      </c:bar3DChart>
      <c:catAx>
        <c:axId val="1546608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662400"/>
        <c:crosses val="autoZero"/>
        <c:auto val="1"/>
        <c:lblAlgn val="ctr"/>
        <c:lblOffset val="100"/>
      </c:catAx>
      <c:valAx>
        <c:axId val="154662400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one"/>
        <c:crossAx val="15466086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968253968253968E-2"/>
          <c:y val="0.1078431372549019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Dinamika!$I$2</c:f>
              <c:strCache>
                <c:ptCount val="1"/>
                <c:pt idx="0">
                  <c:v>Dinamika!$D$14:$AE$14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54743168"/>
        <c:axId val="154744704"/>
      </c:barChart>
      <c:catAx>
        <c:axId val="154743168"/>
        <c:scaling>
          <c:orientation val="minMax"/>
        </c:scaling>
        <c:delete val="1"/>
        <c:axPos val="b"/>
        <c:tickLblPos val="none"/>
        <c:crossAx val="154744704"/>
        <c:crosses val="autoZero"/>
        <c:auto val="1"/>
        <c:lblAlgn val="ctr"/>
        <c:lblOffset val="100"/>
      </c:catAx>
      <c:valAx>
        <c:axId val="154744704"/>
        <c:scaling>
          <c:orientation val="minMax"/>
        </c:scaling>
        <c:delete val="1"/>
        <c:axPos val="l"/>
        <c:numFmt formatCode="General" sourceLinked="1"/>
        <c:tickLblPos val="none"/>
        <c:crossAx val="154743168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Metine_suvestine!$A$101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Metine_suvestine!$B$101:$O$101</c:f>
              <c:numCache>
                <c:formatCode>General</c:formatCode>
                <c:ptCount val="14"/>
              </c:numCache>
            </c:numRef>
          </c:val>
        </c:ser>
        <c:shape val="box"/>
        <c:axId val="154910720"/>
        <c:axId val="154912256"/>
        <c:axId val="0"/>
      </c:bar3DChart>
      <c:catAx>
        <c:axId val="15491072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912256"/>
        <c:crosses val="autoZero"/>
        <c:auto val="1"/>
        <c:lblAlgn val="ctr"/>
        <c:lblOffset val="100"/>
      </c:catAx>
      <c:valAx>
        <c:axId val="15491225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91072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Metine_suvestine!$A$100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9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Metine_suvestine!$B$100:$O$100</c:f>
              <c:numCache>
                <c:formatCode>#,##0.00</c:formatCode>
                <c:ptCount val="14"/>
              </c:numCache>
            </c:numRef>
          </c:val>
        </c:ser>
        <c:shape val="box"/>
        <c:axId val="154853376"/>
        <c:axId val="154854912"/>
        <c:axId val="0"/>
      </c:bar3DChart>
      <c:catAx>
        <c:axId val="15485337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854912"/>
        <c:crosses val="autoZero"/>
        <c:auto val="1"/>
        <c:lblAlgn val="ctr"/>
        <c:lblOffset val="100"/>
      </c:catAx>
      <c:valAx>
        <c:axId val="15485491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5485337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Metine_suvestine!$A$133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val>
            <c:numRef>
              <c:f>Metine_suvestine!$B$133:$O$133</c:f>
              <c:numCache>
                <c:formatCode>General</c:formatCode>
                <c:ptCount val="14"/>
              </c:numCache>
            </c:numRef>
          </c:val>
        </c:ser>
        <c:shape val="box"/>
        <c:axId val="181631616"/>
        <c:axId val="181633408"/>
        <c:axId val="0"/>
      </c:bar3DChart>
      <c:catAx>
        <c:axId val="1816316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633408"/>
        <c:crosses val="autoZero"/>
        <c:auto val="1"/>
        <c:lblAlgn val="ctr"/>
        <c:lblOffset val="100"/>
      </c:catAx>
      <c:valAx>
        <c:axId val="18163340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63161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Metine_suvestine!$A$132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Metine_suvestine!$B$132:$O$132</c:f>
              <c:numCache>
                <c:formatCode>#,##0.00</c:formatCode>
                <c:ptCount val="14"/>
              </c:numCache>
            </c:numRef>
          </c:val>
        </c:ser>
        <c:shape val="box"/>
        <c:axId val="181737344"/>
        <c:axId val="181738880"/>
        <c:axId val="0"/>
      </c:bar3DChart>
      <c:catAx>
        <c:axId val="18173734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738880"/>
        <c:crosses val="autoZero"/>
        <c:auto val="1"/>
        <c:lblAlgn val="ctr"/>
        <c:lblOffset val="100"/>
      </c:catAx>
      <c:valAx>
        <c:axId val="18173888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73734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Metine_suvestine!$A$166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Metine_suvestine!$B$166:$O$166</c:f>
              <c:numCache>
                <c:formatCode>General</c:formatCode>
                <c:ptCount val="14"/>
              </c:numCache>
            </c:numRef>
          </c:val>
        </c:ser>
        <c:shape val="box"/>
        <c:axId val="181781632"/>
        <c:axId val="181783168"/>
        <c:axId val="0"/>
      </c:bar3DChart>
      <c:catAx>
        <c:axId val="18178163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783168"/>
        <c:crosses val="autoZero"/>
        <c:auto val="1"/>
        <c:lblAlgn val="ctr"/>
        <c:lblOffset val="100"/>
      </c:catAx>
      <c:valAx>
        <c:axId val="18178316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78163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Metine_suvestine!$A$165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Metine_suvestine!$B$165:$O$165</c:f>
              <c:numCache>
                <c:formatCode>#,##0.00</c:formatCode>
                <c:ptCount val="14"/>
              </c:numCache>
            </c:numRef>
          </c:val>
        </c:ser>
        <c:shape val="box"/>
        <c:axId val="181821824"/>
        <c:axId val="181823360"/>
        <c:axId val="0"/>
      </c:bar3DChart>
      <c:catAx>
        <c:axId val="18182182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823360"/>
        <c:crosses val="autoZero"/>
        <c:auto val="1"/>
        <c:lblAlgn val="ctr"/>
        <c:lblOffset val="100"/>
      </c:catAx>
      <c:valAx>
        <c:axId val="18182336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8182182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Metine_suvestine!$I$17</c:f>
              <c:strCache>
                <c:ptCount val="1"/>
                <c:pt idx="0">
                  <c:v>Metine_suvestine!$D$12:$E$12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1855360"/>
        <c:axId val="181856896"/>
      </c:barChart>
      <c:catAx>
        <c:axId val="181855360"/>
        <c:scaling>
          <c:orientation val="minMax"/>
        </c:scaling>
        <c:delete val="1"/>
        <c:axPos val="b"/>
        <c:tickLblPos val="none"/>
        <c:crossAx val="181856896"/>
        <c:crosses val="autoZero"/>
        <c:auto val="1"/>
        <c:lblAlgn val="ctr"/>
        <c:lblOffset val="100"/>
      </c:catAx>
      <c:valAx>
        <c:axId val="181856896"/>
        <c:scaling>
          <c:orientation val="minMax"/>
        </c:scaling>
        <c:delete val="1"/>
        <c:axPos val="l"/>
        <c:numFmt formatCode="General" sourceLinked="1"/>
        <c:tickLblPos val="none"/>
        <c:crossAx val="181855360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1851303991625479"/>
          <c:y val="0.17241379310345292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968253968253968E-2"/>
          <c:y val="0.1078431372549019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Metine_suvestine!$I$52</c:f>
              <c:strCache>
                <c:ptCount val="1"/>
                <c:pt idx="0">
                  <c:v>Metine_suvestine!$D$13:$E$13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1876608"/>
        <c:axId val="181878144"/>
      </c:barChart>
      <c:catAx>
        <c:axId val="181876608"/>
        <c:scaling>
          <c:orientation val="minMax"/>
        </c:scaling>
        <c:delete val="1"/>
        <c:axPos val="b"/>
        <c:tickLblPos val="none"/>
        <c:crossAx val="181878144"/>
        <c:crosses val="autoZero"/>
        <c:auto val="1"/>
        <c:lblAlgn val="ctr"/>
        <c:lblOffset val="100"/>
      </c:catAx>
      <c:valAx>
        <c:axId val="181878144"/>
        <c:scaling>
          <c:orientation val="minMax"/>
        </c:scaling>
        <c:delete val="1"/>
        <c:axPos val="l"/>
        <c:numFmt formatCode="General" sourceLinked="1"/>
        <c:tickLblPos val="none"/>
        <c:crossAx val="181876608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lt-LT"/>
            </a:pPr>
            <a:r>
              <a:t>2025 m. sausio 27 d. - 2025 m. vasario 28 d. registruota pranešimų</a:t>
            </a:r>
          </a:p>
          <a:p>
            <a:pPr>
              <a:defRPr lang="lt-LT"/>
            </a:pPr>
            <a:r>
              <a:t>(Iš viso 1 040)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1.3269123931623933E-2"/>
          <c:y val="0.29856388888889851"/>
          <c:w val="0.96902222222222223"/>
          <c:h val="0.44654603174603175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Metine_suvestine!$A$18</c:f>
              <c:strCache>
                <c:ptCount val="1"/>
                <c:pt idx="0">
                  <c:v>2025 m. sausio 27 d. – 2025 m. vasario 28 d. registruota pranešimų_x000d_ (iš viso: 1 040)</c:v>
                </c:pt>
              </c:strCache>
            </c:strRef>
          </c:tx>
          <c:spPr>
            <a:ln w="0">
              <a:solidFill>
                <a:srgbClr val="000000"/>
              </a:solidFill>
            </a:ln>
          </c:spPr>
          <c:dLbls>
            <c:txPr>
              <a:bodyPr/>
              <a:lstStyle/>
              <a:p>
                <a:pPr>
                  <a:defRPr lang="lt-LT"/>
                </a:pPr>
                <a:endParaRPr lang="en-US"/>
              </a:p>
            </c:txPr>
            <c:showVal val="1"/>
          </c:dLbls>
          <c:cat>
            <c:strRef>
              <c:f>Metine_suvestine!$D$11:$O$11</c:f>
              <c:strCache>
                <c:ptCount val="12"/>
                <c:pt idx="0">
                  <c:v>Sausis*</c:v>
                </c:pt>
                <c:pt idx="1">
                  <c:v>Vasaris</c:v>
                </c:pt>
                <c:pt idx="2">
                  <c:v>Kovas</c:v>
                </c:pt>
                <c:pt idx="3">
                  <c:v>Balandis</c:v>
                </c:pt>
                <c:pt idx="4">
                  <c:v>Gegužė</c:v>
                </c:pt>
                <c:pt idx="5">
                  <c:v>Birželis</c:v>
                </c:pt>
                <c:pt idx="6">
                  <c:v>Liepa</c:v>
                </c:pt>
                <c:pt idx="7">
                  <c:v>Rugpjūtis</c:v>
                </c:pt>
                <c:pt idx="8">
                  <c:v>Rugsėjis</c:v>
                </c:pt>
                <c:pt idx="9">
                  <c:v>Spalis</c:v>
                </c:pt>
                <c:pt idx="10">
                  <c:v>Lapkritis</c:v>
                </c:pt>
                <c:pt idx="11">
                  <c:v>Gruodis</c:v>
                </c:pt>
              </c:strCache>
            </c:strRef>
          </c:cat>
          <c:val>
            <c:numRef>
              <c:f>Metine_suvestine!$D$12:$E$12</c:f>
              <c:numCache>
                <c:formatCode>General</c:formatCode>
                <c:ptCount val="2"/>
                <c:pt idx="0">
                  <c:v>197</c:v>
                </c:pt>
                <c:pt idx="1">
                  <c:v>843</c:v>
                </c:pt>
              </c:numCache>
            </c:numRef>
          </c:val>
        </c:ser>
        <c:dLbls>
          <c:showVal val="1"/>
        </c:dLbls>
        <c:axId val="181902336"/>
        <c:axId val="181929088"/>
      </c:barChart>
      <c:catAx>
        <c:axId val="181902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lt-LT"/>
                </a:pPr>
                <a:r>
                  <a:rPr lang="lt-LT"/>
                  <a:t>* skaičiuojama nuo sausio 27 d.</a:t>
                </a:r>
                <a:endParaRPr lang="en-US"/>
              </a:p>
            </c:rich>
          </c:tx>
        </c:title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000000"/>
                </a:solidFill>
                <a:latin typeface="Times New Roman"/>
                <a:ea typeface="Calibri"/>
              </a:defRPr>
            </a:pPr>
            <a:endParaRPr lang="en-US"/>
          </a:p>
        </c:txPr>
        <c:crossAx val="181929088"/>
        <c:crosses val="autoZero"/>
        <c:auto val="1"/>
        <c:lblAlgn val="ctr"/>
        <c:lblOffset val="100"/>
      </c:catAx>
      <c:valAx>
        <c:axId val="181929088"/>
        <c:scaling>
          <c:orientation val="minMax"/>
        </c:scaling>
        <c:delete val="1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tickLblPos val="none"/>
        <c:crossAx val="181902336"/>
        <c:crossesAt val="1"/>
        <c:crossBetween val="between"/>
      </c:valAx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12600">
      <a:solidFill>
        <a:srgbClr val="000000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lt-LT"/>
            </a:pPr>
            <a:r>
              <a:t>2025 m. sausio 27 d. - 2025 m. vasario 28 d. patirta žalų</a:t>
            </a:r>
          </a:p>
          <a:p>
            <a:pPr>
              <a:defRPr lang="lt-LT"/>
            </a:pPr>
            <a:r>
              <a:t>(Iš viso 1 521 382 €)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2367521367521365E-3"/>
          <c:y val="0.32208240740742394"/>
          <c:w val="0.97444957264961163"/>
          <c:h val="0.45242546296297648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Metine_suvestine!$A$53</c:f>
              <c:strCache>
                <c:ptCount val="1"/>
                <c:pt idx="0">
                  <c:v>2025 m. sausio 27 d. – 2025 m. vasario 28 d. patirta žalų _x000d_(iš viso 1 039 716 €)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dLbls>
            <c:dLbl>
              <c:idx val="0"/>
              <c:layout>
                <c:manualLayout>
                  <c:x val="3.0020507117704052E-3"/>
                  <c:y val="-2.5531454427225656E-2"/>
                </c:manualLayout>
              </c:layout>
              <c:numFmt formatCode="#,##0&quot; €&quot;" sourceLinked="0"/>
              <c:spPr/>
              <c:txPr>
                <a:bodyPr wrap="square"/>
                <a:lstStyle/>
                <a:p>
                  <a:pPr>
                    <a:defRPr lang="lt-LT" sz="1000" b="1" strike="noStrike" spc="-1">
                      <a:solidFill>
                        <a:srgbClr val="000000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outEnd"/>
              <c:showVal val="1"/>
              <c:separator>; </c:separator>
            </c:dLbl>
            <c:dLbl>
              <c:idx val="1"/>
              <c:layout>
                <c:manualLayout>
                  <c:x val="3.0723608296115601E-3"/>
                  <c:y val="-2.9690844499128202E-2"/>
                </c:manualLayout>
              </c:layout>
              <c:numFmt formatCode="#,##0&quot; €&quot;" sourceLinked="0"/>
              <c:spPr/>
              <c:txPr>
                <a:bodyPr wrap="square"/>
                <a:lstStyle/>
                <a:p>
                  <a:pPr>
                    <a:defRPr lang="lt-LT" sz="1000" b="1" strike="noStrike" spc="-1">
                      <a:solidFill>
                        <a:srgbClr val="000000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outEnd"/>
              <c:showVal val="1"/>
              <c:separator>; </c:separator>
            </c:dLbl>
            <c:dLbl>
              <c:idx val="2"/>
              <c:layout>
                <c:manualLayout>
                  <c:x val="3.8910910623644952E-3"/>
                  <c:y val="-8.4830984283224223E-3"/>
                </c:manualLayout>
              </c:layout>
              <c:numFmt formatCode="#,##0&quot; €&quot;" sourceLinked="0"/>
              <c:spPr/>
              <c:txPr>
                <a:bodyPr wrap="square"/>
                <a:lstStyle/>
                <a:p>
                  <a:pPr>
                    <a:defRPr lang="lt-LT" sz="1000" b="1" strike="noStrike" spc="-1">
                      <a:solidFill>
                        <a:srgbClr val="000000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outEnd"/>
              <c:showVal val="1"/>
              <c:separator>; </c:separator>
            </c:dLbl>
            <c:numFmt formatCode="#,##0&quot; €&quot;" sourceLinked="0"/>
            <c:txPr>
              <a:bodyPr wrap="square"/>
              <a:lstStyle/>
              <a:p>
                <a:pPr>
                  <a:defRPr lang="lt-LT" sz="1000" b="1" strike="noStrike" spc="-1">
                    <a:solidFill>
                      <a:srgbClr val="000000"/>
                    </a:solidFill>
                    <a:latin typeface="Times New Roman"/>
                    <a:ea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Metine_suvestine!$D$11:$O$11</c:f>
              <c:strCache>
                <c:ptCount val="12"/>
                <c:pt idx="0">
                  <c:v>Sausis*</c:v>
                </c:pt>
                <c:pt idx="1">
                  <c:v>Vasaris</c:v>
                </c:pt>
                <c:pt idx="2">
                  <c:v>Kovas</c:v>
                </c:pt>
                <c:pt idx="3">
                  <c:v>Balandis</c:v>
                </c:pt>
                <c:pt idx="4">
                  <c:v>Gegužė</c:v>
                </c:pt>
                <c:pt idx="5">
                  <c:v>Birželis</c:v>
                </c:pt>
                <c:pt idx="6">
                  <c:v>Liepa</c:v>
                </c:pt>
                <c:pt idx="7">
                  <c:v>Rugpjūtis</c:v>
                </c:pt>
                <c:pt idx="8">
                  <c:v>Rugsėjis</c:v>
                </c:pt>
                <c:pt idx="9">
                  <c:v>Spalis</c:v>
                </c:pt>
                <c:pt idx="10">
                  <c:v>Lapkritis</c:v>
                </c:pt>
                <c:pt idx="11">
                  <c:v>Gruodis</c:v>
                </c:pt>
              </c:strCache>
            </c:strRef>
          </c:cat>
          <c:val>
            <c:numRef>
              <c:f>Metine_suvestine!$D$13:$E$13</c:f>
              <c:numCache>
                <c:formatCode>0</c:formatCode>
                <c:ptCount val="2"/>
                <c:pt idx="0">
                  <c:v>46650.2</c:v>
                </c:pt>
                <c:pt idx="1">
                  <c:v>993065.32000000007</c:v>
                </c:pt>
              </c:numCache>
            </c:numRef>
          </c:val>
        </c:ser>
        <c:axId val="181962624"/>
        <c:axId val="181964160"/>
      </c:barChart>
      <c:catAx>
        <c:axId val="181962624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000000"/>
                </a:solidFill>
                <a:latin typeface="Times New Roman"/>
                <a:ea typeface="Calibri"/>
              </a:defRPr>
            </a:pPr>
            <a:endParaRPr lang="en-US"/>
          </a:p>
        </c:txPr>
        <c:crossAx val="181964160"/>
        <c:crosses val="autoZero"/>
        <c:auto val="1"/>
        <c:lblAlgn val="ctr"/>
        <c:lblOffset val="100"/>
      </c:catAx>
      <c:valAx>
        <c:axId val="181964160"/>
        <c:scaling>
          <c:orientation val="minMax"/>
        </c:scaling>
        <c:delete val="1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0" sourceLinked="1"/>
        <c:majorTickMark val="none"/>
        <c:tickLblPos val="none"/>
        <c:crossAx val="181962624"/>
        <c:crosses val="autoZero"/>
        <c:crossBetween val="between"/>
      </c:valAx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12600">
      <a:solidFill>
        <a:srgbClr val="000000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>
            <a:defRPr lang="lt-LT" sz="24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Kita!$D$7</c:f>
              <c:strCache>
                <c:ptCount val="1"/>
                <c:pt idx="0">
                  <c:v>2025 m. sausio 27 d. – 2025 m. vasario 28 d.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078848"/>
        <c:axId val="182011008"/>
      </c:barChart>
      <c:catAx>
        <c:axId val="182078848"/>
        <c:scaling>
          <c:orientation val="minMax"/>
        </c:scaling>
        <c:delete val="1"/>
        <c:axPos val="b"/>
        <c:tickLblPos val="none"/>
        <c:crossAx val="182011008"/>
        <c:crosses val="autoZero"/>
        <c:auto val="1"/>
        <c:lblAlgn val="ctr"/>
        <c:lblOffset val="100"/>
      </c:catAx>
      <c:valAx>
        <c:axId val="182011008"/>
        <c:scaling>
          <c:orientation val="minMax"/>
        </c:scaling>
        <c:delete val="1"/>
        <c:axPos val="l"/>
        <c:numFmt formatCode="General" sourceLinked="1"/>
        <c:tickLblPos val="none"/>
        <c:crossAx val="182078848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788"/>
        </c:manualLayout>
      </c:layout>
      <c:overlay val="1"/>
      <c:txPr>
        <a:bodyPr/>
        <a:lstStyle/>
        <a:p>
          <a:pPr>
            <a:defRPr lang="lt-LT" sz="18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Kita!$G$19</c:f>
              <c:strCache>
                <c:ptCount val="1"/>
                <c:pt idx="0">
                  <c:v>Lietuvos bankai – 100 pranešimų;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298112"/>
        <c:axId val="182299648"/>
      </c:barChart>
      <c:catAx>
        <c:axId val="182298112"/>
        <c:scaling>
          <c:orientation val="minMax"/>
        </c:scaling>
        <c:delete val="1"/>
        <c:axPos val="b"/>
        <c:tickLblPos val="none"/>
        <c:crossAx val="182299648"/>
        <c:crosses val="autoZero"/>
        <c:auto val="1"/>
        <c:lblAlgn val="ctr"/>
        <c:lblOffset val="100"/>
      </c:catAx>
      <c:valAx>
        <c:axId val="182299648"/>
        <c:scaling>
          <c:orientation val="minMax"/>
        </c:scaling>
        <c:delete val="1"/>
        <c:axPos val="l"/>
        <c:numFmt formatCode="General" sourceLinked="1"/>
        <c:tickLblPos val="none"/>
        <c:crossAx val="182298112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793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Kita!$G$20</c:f>
              <c:strCache>
                <c:ptCount val="1"/>
                <c:pt idx="0">
                  <c:v>LR ryšių reguliavimo tarnyba – 0 pranešimų;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409472"/>
        <c:axId val="182411264"/>
      </c:barChart>
      <c:catAx>
        <c:axId val="182409472"/>
        <c:scaling>
          <c:orientation val="minMax"/>
        </c:scaling>
        <c:delete val="1"/>
        <c:axPos val="b"/>
        <c:tickLblPos val="none"/>
        <c:crossAx val="182411264"/>
        <c:crosses val="autoZero"/>
        <c:auto val="1"/>
        <c:lblAlgn val="ctr"/>
        <c:lblOffset val="100"/>
      </c:catAx>
      <c:valAx>
        <c:axId val="182411264"/>
        <c:scaling>
          <c:orientation val="minMax"/>
        </c:scaling>
        <c:delete val="1"/>
        <c:axPos val="l"/>
        <c:numFmt formatCode="General" sourceLinked="1"/>
        <c:tickLblPos val="none"/>
        <c:crossAx val="182409472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796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9674733066743724E-2"/>
          <c:y val="0.7642067347964482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Kita!$G$21</c:f>
              <c:strCache>
                <c:ptCount val="1"/>
                <c:pt idx="0">
                  <c:v>Finansinių nusikaltimų tyrimo tarnyba prie LR VRM – 0 pranešimų;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426624"/>
        <c:axId val="182432512"/>
      </c:barChart>
      <c:catAx>
        <c:axId val="182426624"/>
        <c:scaling>
          <c:orientation val="minMax"/>
        </c:scaling>
        <c:delete val="1"/>
        <c:axPos val="b"/>
        <c:tickLblPos val="none"/>
        <c:crossAx val="182432512"/>
        <c:crosses val="autoZero"/>
        <c:auto val="1"/>
        <c:lblAlgn val="ctr"/>
        <c:lblOffset val="100"/>
      </c:catAx>
      <c:valAx>
        <c:axId val="182432512"/>
        <c:scaling>
          <c:orientation val="minMax"/>
        </c:scaling>
        <c:delete val="1"/>
        <c:axPos val="l"/>
        <c:numFmt formatCode="General" sourceLinked="1"/>
        <c:tickLblPos val="none"/>
        <c:crossAx val="182426624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799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9674733066743724E-2"/>
          <c:y val="0.7642067347964482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Kita!$G$22</c:f>
              <c:strCache>
                <c:ptCount val="1"/>
                <c:pt idx="0">
                  <c:v>Nacionalinis kibernetinio saugumo centras prie KAM – 35 pranešimai;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325248"/>
        <c:axId val="182326784"/>
      </c:barChart>
      <c:catAx>
        <c:axId val="182325248"/>
        <c:scaling>
          <c:orientation val="minMax"/>
        </c:scaling>
        <c:delete val="1"/>
        <c:axPos val="b"/>
        <c:tickLblPos val="none"/>
        <c:crossAx val="182326784"/>
        <c:crosses val="autoZero"/>
        <c:auto val="1"/>
        <c:lblAlgn val="ctr"/>
        <c:lblOffset val="100"/>
      </c:catAx>
      <c:valAx>
        <c:axId val="182326784"/>
        <c:scaling>
          <c:orientation val="minMax"/>
        </c:scaling>
        <c:delete val="1"/>
        <c:axPos val="l"/>
        <c:numFmt formatCode="General" sourceLinked="1"/>
        <c:tickLblPos val="none"/>
        <c:crossAx val="182325248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801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9674733066743724E-2"/>
          <c:y val="0.7642067347964482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Kita!$G$23</c:f>
              <c:strCache>
                <c:ptCount val="1"/>
                <c:pt idx="0">
                  <c:v>„Facebook“ – 63 pranešimai.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350592"/>
        <c:axId val="182352128"/>
      </c:barChart>
      <c:catAx>
        <c:axId val="182350592"/>
        <c:scaling>
          <c:orientation val="minMax"/>
        </c:scaling>
        <c:delete val="1"/>
        <c:axPos val="b"/>
        <c:tickLblPos val="none"/>
        <c:crossAx val="182352128"/>
        <c:crosses val="autoZero"/>
        <c:auto val="1"/>
        <c:lblAlgn val="ctr"/>
        <c:lblOffset val="100"/>
      </c:catAx>
      <c:valAx>
        <c:axId val="182352128"/>
        <c:scaling>
          <c:orientation val="minMax"/>
        </c:scaling>
        <c:delete val="1"/>
        <c:axPos val="l"/>
        <c:numFmt formatCode="General" sourceLinked="1"/>
        <c:tickLblPos val="none"/>
        <c:crossAx val="182350592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>
            <a:defRPr lang="lt-LT"/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Kita!$D$7</c:f>
              <c:strCache>
                <c:ptCount val="1"/>
                <c:pt idx="0">
                  <c:v>2025 m. sausio 27 d. – 2025 m. vasario 28 d.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453760"/>
        <c:axId val="182455296"/>
      </c:barChart>
      <c:catAx>
        <c:axId val="182453760"/>
        <c:scaling>
          <c:orientation val="minMax"/>
        </c:scaling>
        <c:delete val="1"/>
        <c:axPos val="b"/>
        <c:tickLblPos val="none"/>
        <c:crossAx val="182455296"/>
        <c:crosses val="autoZero"/>
        <c:auto val="1"/>
        <c:lblAlgn val="ctr"/>
        <c:lblOffset val="100"/>
      </c:catAx>
      <c:valAx>
        <c:axId val="182455296"/>
        <c:scaling>
          <c:orientation val="minMax"/>
        </c:scaling>
        <c:delete val="1"/>
        <c:axPos val="l"/>
        <c:numFmt formatCode="General" sourceLinked="1"/>
        <c:tickLblPos val="none"/>
        <c:crossAx val="182453760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689239016260377"/>
          <c:y val="7.2633219954650524E-2"/>
        </c:manualLayout>
      </c:layout>
      <c:overlay val="1"/>
      <c:txPr>
        <a:bodyPr/>
        <a:lstStyle/>
        <a:p>
          <a:pPr algn="l">
            <a:defRPr lang="lt-LT"/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9234980904634933E-2"/>
          <c:y val="0.82102485768826705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Kita!$F$24</c:f>
              <c:strCache>
                <c:ptCount val="1"/>
                <c:pt idx="0">
                  <c:v>Lietuvos bankai – 100 pranešimų;
LR ryšių reguliavimo tarnyba – 0 pranešimų;
Finansinių nusikaltimų tyrimo tarnyba prie LR VRM – 0 pranešimų;
Nacionalinis kibernetinio saugumo centras prie KAM – 35 pranešimai;
„Facebook“ – 63 pranešimai.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491392"/>
        <c:axId val="182497280"/>
      </c:barChart>
      <c:catAx>
        <c:axId val="182491392"/>
        <c:scaling>
          <c:orientation val="minMax"/>
        </c:scaling>
        <c:delete val="1"/>
        <c:axPos val="b"/>
        <c:tickLblPos val="none"/>
        <c:crossAx val="182497280"/>
        <c:crosses val="autoZero"/>
        <c:auto val="1"/>
        <c:lblAlgn val="ctr"/>
        <c:lblOffset val="100"/>
      </c:catAx>
      <c:valAx>
        <c:axId val="182497280"/>
        <c:scaling>
          <c:orientation val="minMax"/>
        </c:scaling>
        <c:delete val="1"/>
        <c:axPos val="l"/>
        <c:numFmt formatCode="General" sourceLinked="1"/>
        <c:tickLblPos val="none"/>
        <c:crossAx val="1824913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ln w="0"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>
            <a:defRPr lang="lt-LT" sz="2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Kita!$D$8</c:f>
              <c:strCache>
                <c:ptCount val="1"/>
                <c:pt idx="0">
                  <c:v>2025 m. sausio 27 d. – 2025 m. vasario 28 d.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82508544"/>
        <c:axId val="182518528"/>
      </c:barChart>
      <c:catAx>
        <c:axId val="182508544"/>
        <c:scaling>
          <c:orientation val="minMax"/>
        </c:scaling>
        <c:delete val="1"/>
        <c:axPos val="b"/>
        <c:tickLblPos val="none"/>
        <c:crossAx val="182518528"/>
        <c:crosses val="autoZero"/>
        <c:auto val="1"/>
        <c:lblAlgn val="ctr"/>
        <c:lblOffset val="100"/>
      </c:catAx>
      <c:valAx>
        <c:axId val="182518528"/>
        <c:scaling>
          <c:orientation val="minMax"/>
        </c:scaling>
        <c:delete val="1"/>
        <c:axPos val="l"/>
        <c:numFmt formatCode="General" sourceLinked="1"/>
        <c:tickLblPos val="none"/>
        <c:crossAx val="182508544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744180</xdr:colOff>
      <xdr:row>1</xdr:row>
      <xdr:rowOff>155714</xdr:rowOff>
    </xdr:from>
    <xdr:to>
      <xdr:col>8</xdr:col>
      <xdr:colOff>998010</xdr:colOff>
      <xdr:row>5</xdr:row>
      <xdr:rowOff>38099</xdr:rowOff>
    </xdr:to>
    <xdr:sp macro="" textlink="">
      <xdr:nvSpPr>
        <xdr:cNvPr id="2" name="CustomShape 1"/>
        <xdr:cNvSpPr/>
      </xdr:nvSpPr>
      <xdr:spPr>
        <a:xfrm>
          <a:off x="6563955" y="346214"/>
          <a:ext cx="3901905" cy="625335"/>
        </a:xfrm>
        <a:prstGeom prst="wedgeRectCallout">
          <a:avLst>
            <a:gd name="adj1" fmla="val -68928"/>
            <a:gd name="adj2" fmla="val 37729"/>
          </a:avLst>
        </a:prstGeom>
        <a:gradFill rotWithShape="0">
          <a:gsLst>
            <a:gs pos="0">
              <a:srgbClr val="B5D4A7"/>
            </a:gs>
            <a:gs pos="100000">
              <a:srgbClr val="A9CD99"/>
            </a:gs>
          </a:gsLst>
          <a:lin ang="5400000"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lt-LT" sz="2000" b="0" strike="noStrike" spc="-1">
              <a:solidFill>
                <a:srgbClr val="000000"/>
              </a:solidFill>
              <a:latin typeface="Times New Roman"/>
              <a:ea typeface="DejaVu Sans"/>
            </a:rPr>
            <a:t>Informacija teikiama ypatingai suvestinei</a:t>
          </a:r>
          <a:endParaRPr lang="lt-LT" sz="2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9720</xdr:colOff>
      <xdr:row>5</xdr:row>
      <xdr:rowOff>10080</xdr:rowOff>
    </xdr:from>
    <xdr:to>
      <xdr:col>24</xdr:col>
      <xdr:colOff>87120</xdr:colOff>
      <xdr:row>14</xdr:row>
      <xdr:rowOff>36360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9720</xdr:colOff>
      <xdr:row>31</xdr:row>
      <xdr:rowOff>3240</xdr:rowOff>
    </xdr:from>
    <xdr:to>
      <xdr:col>24</xdr:col>
      <xdr:colOff>14400</xdr:colOff>
      <xdr:row>42</xdr:row>
      <xdr:rowOff>127080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9720</xdr:colOff>
      <xdr:row>44</xdr:row>
      <xdr:rowOff>2880</xdr:rowOff>
    </xdr:from>
    <xdr:to>
      <xdr:col>24</xdr:col>
      <xdr:colOff>14760</xdr:colOff>
      <xdr:row>53</xdr:row>
      <xdr:rowOff>141480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1080</xdr:colOff>
      <xdr:row>16</xdr:row>
      <xdr:rowOff>24120</xdr:rowOff>
    </xdr:from>
    <xdr:to>
      <xdr:col>24</xdr:col>
      <xdr:colOff>95400</xdr:colOff>
      <xdr:row>24</xdr:row>
      <xdr:rowOff>129960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360</xdr:colOff>
      <xdr:row>61</xdr:row>
      <xdr:rowOff>28440</xdr:rowOff>
    </xdr:from>
    <xdr:to>
      <xdr:col>24</xdr:col>
      <xdr:colOff>102960</xdr:colOff>
      <xdr:row>73</xdr:row>
      <xdr:rowOff>10800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19440</xdr:colOff>
      <xdr:row>75</xdr:row>
      <xdr:rowOff>19440</xdr:rowOff>
    </xdr:from>
    <xdr:to>
      <xdr:col>24</xdr:col>
      <xdr:colOff>112680</xdr:colOff>
      <xdr:row>84</xdr:row>
      <xdr:rowOff>173520</xdr:rowOff>
    </xdr:to>
    <xdr:graphicFrame macro="">
      <xdr:nvGraphicFramePr>
        <xdr:cNvPr id="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533520</xdr:colOff>
      <xdr:row>106</xdr:row>
      <xdr:rowOff>360</xdr:rowOff>
    </xdr:from>
    <xdr:to>
      <xdr:col>23</xdr:col>
      <xdr:colOff>460080</xdr:colOff>
      <xdr:row>115</xdr:row>
      <xdr:rowOff>182100</xdr:rowOff>
    </xdr:to>
    <xdr:graphicFrame macro="">
      <xdr:nvGraphicFramePr>
        <xdr:cNvPr id="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524880</xdr:colOff>
      <xdr:row>93</xdr:row>
      <xdr:rowOff>5040</xdr:rowOff>
    </xdr:from>
    <xdr:to>
      <xdr:col>23</xdr:col>
      <xdr:colOff>490320</xdr:colOff>
      <xdr:row>104</xdr:row>
      <xdr:rowOff>7920</xdr:rowOff>
    </xdr:to>
    <xdr:graphicFrame macro="">
      <xdr:nvGraphicFramePr>
        <xdr:cNvPr id="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533520</xdr:colOff>
      <xdr:row>138</xdr:row>
      <xdr:rowOff>12240</xdr:rowOff>
    </xdr:from>
    <xdr:to>
      <xdr:col>22</xdr:col>
      <xdr:colOff>290160</xdr:colOff>
      <xdr:row>148</xdr:row>
      <xdr:rowOff>11160</xdr:rowOff>
    </xdr:to>
    <xdr:graphicFrame macro="">
      <xdr:nvGraphicFramePr>
        <xdr:cNvPr id="1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524880</xdr:colOff>
      <xdr:row>125</xdr:row>
      <xdr:rowOff>17280</xdr:rowOff>
    </xdr:from>
    <xdr:to>
      <xdr:col>22</xdr:col>
      <xdr:colOff>310680</xdr:colOff>
      <xdr:row>136</xdr:row>
      <xdr:rowOff>20160</xdr:rowOff>
    </xdr:to>
    <xdr:graphicFrame macro="">
      <xdr:nvGraphicFramePr>
        <xdr:cNvPr id="1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533520</xdr:colOff>
      <xdr:row>171</xdr:row>
      <xdr:rowOff>12240</xdr:rowOff>
    </xdr:from>
    <xdr:to>
      <xdr:col>22</xdr:col>
      <xdr:colOff>290160</xdr:colOff>
      <xdr:row>181</xdr:row>
      <xdr:rowOff>11520</xdr:rowOff>
    </xdr:to>
    <xdr:graphicFrame macro="">
      <xdr:nvGraphicFramePr>
        <xdr:cNvPr id="12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524880</xdr:colOff>
      <xdr:row>158</xdr:row>
      <xdr:rowOff>16200</xdr:rowOff>
    </xdr:from>
    <xdr:to>
      <xdr:col>22</xdr:col>
      <xdr:colOff>310680</xdr:colOff>
      <xdr:row>169</xdr:row>
      <xdr:rowOff>19080</xdr:rowOff>
    </xdr:to>
    <xdr:graphicFrame macro="">
      <xdr:nvGraphicFramePr>
        <xdr:cNvPr id="1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533520</xdr:colOff>
      <xdr:row>115</xdr:row>
      <xdr:rowOff>360</xdr:rowOff>
    </xdr:from>
    <xdr:to>
      <xdr:col>24</xdr:col>
      <xdr:colOff>79080</xdr:colOff>
      <xdr:row>125</xdr:row>
      <xdr:rowOff>1991</xdr:rowOff>
    </xdr:to>
    <xdr:graphicFrame macro="">
      <xdr:nvGraphicFramePr>
        <xdr:cNvPr id="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524880</xdr:colOff>
      <xdr:row>102</xdr:row>
      <xdr:rowOff>5040</xdr:rowOff>
    </xdr:from>
    <xdr:to>
      <xdr:col>24</xdr:col>
      <xdr:colOff>109320</xdr:colOff>
      <xdr:row>113</xdr:row>
      <xdr:rowOff>7920</xdr:rowOff>
    </xdr:to>
    <xdr:graphicFrame macro="">
      <xdr:nvGraphicFramePr>
        <xdr:cNvPr id="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533520</xdr:colOff>
      <xdr:row>147</xdr:row>
      <xdr:rowOff>12240</xdr:rowOff>
    </xdr:from>
    <xdr:to>
      <xdr:col>22</xdr:col>
      <xdr:colOff>503520</xdr:colOff>
      <xdr:row>157</xdr:row>
      <xdr:rowOff>11160</xdr:rowOff>
    </xdr:to>
    <xdr:graphicFrame macro="">
      <xdr:nvGraphicFramePr>
        <xdr:cNvPr id="1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524880</xdr:colOff>
      <xdr:row>134</xdr:row>
      <xdr:rowOff>17280</xdr:rowOff>
    </xdr:from>
    <xdr:to>
      <xdr:col>22</xdr:col>
      <xdr:colOff>524040</xdr:colOff>
      <xdr:row>145</xdr:row>
      <xdr:rowOff>20160</xdr:rowOff>
    </xdr:to>
    <xdr:graphicFrame macro="">
      <xdr:nvGraphicFramePr>
        <xdr:cNvPr id="1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533520</xdr:colOff>
      <xdr:row>180</xdr:row>
      <xdr:rowOff>12240</xdr:rowOff>
    </xdr:from>
    <xdr:to>
      <xdr:col>22</xdr:col>
      <xdr:colOff>503520</xdr:colOff>
      <xdr:row>190</xdr:row>
      <xdr:rowOff>11520</xdr:rowOff>
    </xdr:to>
    <xdr:graphicFrame macro="">
      <xdr:nvGraphicFramePr>
        <xdr:cNvPr id="12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524880</xdr:colOff>
      <xdr:row>167</xdr:row>
      <xdr:rowOff>16200</xdr:rowOff>
    </xdr:from>
    <xdr:to>
      <xdr:col>22</xdr:col>
      <xdr:colOff>524040</xdr:colOff>
      <xdr:row>178</xdr:row>
      <xdr:rowOff>19080</xdr:rowOff>
    </xdr:to>
    <xdr:graphicFrame macro="">
      <xdr:nvGraphicFramePr>
        <xdr:cNvPr id="1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195349</xdr:colOff>
      <xdr:row>17</xdr:row>
      <xdr:rowOff>27709</xdr:rowOff>
    </xdr:from>
    <xdr:to>
      <xdr:col>15</xdr:col>
      <xdr:colOff>464689</xdr:colOff>
      <xdr:row>28</xdr:row>
      <xdr:rowOff>94070</xdr:rowOff>
    </xdr:to>
    <xdr:graphicFrame macro="">
      <xdr:nvGraphicFramePr>
        <xdr:cNvPr id="1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694805</xdr:colOff>
      <xdr:row>14</xdr:row>
      <xdr:rowOff>117764</xdr:rowOff>
    </xdr:from>
    <xdr:to>
      <xdr:col>15</xdr:col>
      <xdr:colOff>392083</xdr:colOff>
      <xdr:row>16</xdr:row>
      <xdr:rowOff>159326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353984</xdr:colOff>
      <xdr:row>32</xdr:row>
      <xdr:rowOff>30481</xdr:rowOff>
    </xdr:from>
    <xdr:to>
      <xdr:col>15</xdr:col>
      <xdr:colOff>623324</xdr:colOff>
      <xdr:row>52</xdr:row>
      <xdr:rowOff>96840</xdr:rowOff>
    </xdr:to>
    <xdr:graphicFrame macro="">
      <xdr:nvGraphicFramePr>
        <xdr:cNvPr id="2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651856</xdr:colOff>
      <xdr:row>29</xdr:row>
      <xdr:rowOff>166256</xdr:rowOff>
    </xdr:from>
    <xdr:to>
      <xdr:col>15</xdr:col>
      <xdr:colOff>369916</xdr:colOff>
      <xdr:row>31</xdr:row>
      <xdr:rowOff>221674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533520</xdr:colOff>
      <xdr:row>115</xdr:row>
      <xdr:rowOff>360</xdr:rowOff>
    </xdr:from>
    <xdr:to>
      <xdr:col>17</xdr:col>
      <xdr:colOff>33360</xdr:colOff>
      <xdr:row>124</xdr:row>
      <xdr:rowOff>182100</xdr:rowOff>
    </xdr:to>
    <xdr:graphicFrame macro="">
      <xdr:nvGraphicFramePr>
        <xdr:cNvPr id="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524880</xdr:colOff>
      <xdr:row>102</xdr:row>
      <xdr:rowOff>5040</xdr:rowOff>
    </xdr:from>
    <xdr:to>
      <xdr:col>17</xdr:col>
      <xdr:colOff>63600</xdr:colOff>
      <xdr:row>113</xdr:row>
      <xdr:rowOff>7920</xdr:rowOff>
    </xdr:to>
    <xdr:graphicFrame macro="">
      <xdr:nvGraphicFramePr>
        <xdr:cNvPr id="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533520</xdr:colOff>
      <xdr:row>147</xdr:row>
      <xdr:rowOff>12240</xdr:rowOff>
    </xdr:from>
    <xdr:to>
      <xdr:col>16</xdr:col>
      <xdr:colOff>305400</xdr:colOff>
      <xdr:row>157</xdr:row>
      <xdr:rowOff>11160</xdr:rowOff>
    </xdr:to>
    <xdr:graphicFrame macro="">
      <xdr:nvGraphicFramePr>
        <xdr:cNvPr id="4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524880</xdr:colOff>
      <xdr:row>134</xdr:row>
      <xdr:rowOff>17280</xdr:rowOff>
    </xdr:from>
    <xdr:to>
      <xdr:col>16</xdr:col>
      <xdr:colOff>325920</xdr:colOff>
      <xdr:row>145</xdr:row>
      <xdr:rowOff>20160</xdr:rowOff>
    </xdr:to>
    <xdr:graphicFrame macro="">
      <xdr:nvGraphicFramePr>
        <xdr:cNvPr id="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533520</xdr:colOff>
      <xdr:row>180</xdr:row>
      <xdr:rowOff>12240</xdr:rowOff>
    </xdr:from>
    <xdr:to>
      <xdr:col>16</xdr:col>
      <xdr:colOff>305400</xdr:colOff>
      <xdr:row>190</xdr:row>
      <xdr:rowOff>11520</xdr:rowOff>
    </xdr:to>
    <xdr:graphicFrame macro="">
      <xdr:nvGraphicFramePr>
        <xdr:cNvPr id="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524880</xdr:colOff>
      <xdr:row>167</xdr:row>
      <xdr:rowOff>16200</xdr:rowOff>
    </xdr:from>
    <xdr:to>
      <xdr:col>16</xdr:col>
      <xdr:colOff>325920</xdr:colOff>
      <xdr:row>178</xdr:row>
      <xdr:rowOff>19080</xdr:rowOff>
    </xdr:to>
    <xdr:graphicFrame macro="">
      <xdr:nvGraphicFramePr>
        <xdr:cNvPr id="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853440</xdr:colOff>
      <xdr:row>15</xdr:row>
      <xdr:rowOff>114300</xdr:rowOff>
    </xdr:from>
    <xdr:to>
      <xdr:col>13</xdr:col>
      <xdr:colOff>350520</xdr:colOff>
      <xdr:row>17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548640</xdr:colOff>
      <xdr:row>51</xdr:row>
      <xdr:rowOff>68580</xdr:rowOff>
    </xdr:from>
    <xdr:to>
      <xdr:col>12</xdr:col>
      <xdr:colOff>160020</xdr:colOff>
      <xdr:row>52</xdr:row>
      <xdr:rowOff>160020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51435</xdr:colOff>
      <xdr:row>23</xdr:row>
      <xdr:rowOff>5715</xdr:rowOff>
    </xdr:from>
    <xdr:to>
      <xdr:col>12</xdr:col>
      <xdr:colOff>219810</xdr:colOff>
      <xdr:row>47</xdr:row>
      <xdr:rowOff>33975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381000</xdr:colOff>
      <xdr:row>54</xdr:row>
      <xdr:rowOff>45720</xdr:rowOff>
    </xdr:from>
    <xdr:to>
      <xdr:col>12</xdr:col>
      <xdr:colOff>33120</xdr:colOff>
      <xdr:row>66</xdr:row>
      <xdr:rowOff>11160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0.39482</cdr:x>
      <cdr:y>0.87566</cdr:y>
    </cdr:from>
    <cdr:to>
      <cdr:x>0.594</cdr:x>
      <cdr:y>0.98939</cdr:y>
    </cdr:to>
    <cdr:sp macro="" textlink="">
      <cdr:nvSpPr>
        <cdr:cNvPr id="167" name="Rectangle 1"/>
        <cdr:cNvSpPr/>
      </cdr:nvSpPr>
      <cdr:spPr>
        <a:xfrm xmlns:a="http://schemas.openxmlformats.org/drawingml/2006/main">
          <a:off x="3695515" y="1891426"/>
          <a:ext cx="1864334" cy="2456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wrap="none" lIns="90000" tIns="45000" rIns="90000" bIns="45000" anchor="t">
          <a:spAutoFit/>
        </a:bodyPr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lang="lt-LT" sz="1050" b="0" strike="noStrike" spc="-1">
              <a:solidFill>
                <a:srgbClr val="000000"/>
              </a:solidFill>
              <a:latin typeface="Times New Roman"/>
              <a:ea typeface="Verdana"/>
            </a:rPr>
            <a:t>*skaičiuojama nuo sausio 27 d.</a:t>
          </a:r>
          <a:endParaRPr sz="1050" b="0" strike="noStrike" spc="-1">
            <a:latin typeface="Times New Roman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8</xdr:row>
      <xdr:rowOff>60960</xdr:rowOff>
    </xdr:from>
    <xdr:to>
      <xdr:col>14</xdr:col>
      <xdr:colOff>228600</xdr:colOff>
      <xdr:row>11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13</xdr:row>
      <xdr:rowOff>15240</xdr:rowOff>
    </xdr:from>
    <xdr:to>
      <xdr:col>13</xdr:col>
      <xdr:colOff>585660</xdr:colOff>
      <xdr:row>15</xdr:row>
      <xdr:rowOff>171246</xdr:rowOff>
    </xdr:to>
    <xdr:sp macro="" textlink="">
      <xdr:nvSpPr>
        <xdr:cNvPr id="3" name="TextBox 14"/>
        <xdr:cNvSpPr/>
      </xdr:nvSpPr>
      <xdr:spPr>
        <a:xfrm>
          <a:off x="7620" y="3787140"/>
          <a:ext cx="8502840" cy="52176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square" lIns="90000" tIns="45000" rIns="90000" bIns="4500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00000"/>
            </a:lnSpc>
            <a:buNone/>
          </a:pPr>
          <a:r>
            <a:rPr lang="lt-LT" sz="2800" b="1" strike="noStrike" spc="-1">
              <a:solidFill>
                <a:srgbClr val="000000"/>
              </a:solidFill>
              <a:latin typeface="Times New Roman"/>
              <a:ea typeface="Verdana"/>
            </a:rPr>
            <a:t>INFORMUOTOS INSTITUCIJOS, PARTNERIAI</a:t>
          </a:r>
          <a:endParaRPr lang="lt-LT" sz="2800" b="0" strike="noStrike" spc="-1">
            <a:latin typeface="Arial"/>
          </a:endParaRPr>
        </a:p>
      </xdr:txBody>
    </xdr:sp>
    <xdr:clientData/>
  </xdr:twoCellAnchor>
  <xdr:twoCellAnchor>
    <xdr:from>
      <xdr:col>8</xdr:col>
      <xdr:colOff>289560</xdr:colOff>
      <xdr:row>18</xdr:row>
      <xdr:rowOff>167640</xdr:rowOff>
    </xdr:from>
    <xdr:to>
      <xdr:col>19</xdr:col>
      <xdr:colOff>38100</xdr:colOff>
      <xdr:row>18</xdr:row>
      <xdr:rowOff>525780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19</xdr:row>
      <xdr:rowOff>182880</xdr:rowOff>
    </xdr:from>
    <xdr:to>
      <xdr:col>19</xdr:col>
      <xdr:colOff>53340</xdr:colOff>
      <xdr:row>19</xdr:row>
      <xdr:rowOff>541020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</xdr:colOff>
      <xdr:row>20</xdr:row>
      <xdr:rowOff>99060</xdr:rowOff>
    </xdr:from>
    <xdr:to>
      <xdr:col>21</xdr:col>
      <xdr:colOff>495300</xdr:colOff>
      <xdr:row>20</xdr:row>
      <xdr:rowOff>457200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21</xdr:row>
      <xdr:rowOff>137160</xdr:rowOff>
    </xdr:from>
    <xdr:to>
      <xdr:col>21</xdr:col>
      <xdr:colOff>472440</xdr:colOff>
      <xdr:row>21</xdr:row>
      <xdr:rowOff>495300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22860</xdr:colOff>
      <xdr:row>22</xdr:row>
      <xdr:rowOff>152400</xdr:rowOff>
    </xdr:from>
    <xdr:to>
      <xdr:col>11</xdr:col>
      <xdr:colOff>350520</xdr:colOff>
      <xdr:row>22</xdr:row>
      <xdr:rowOff>510540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114300</xdr:colOff>
      <xdr:row>17</xdr:row>
      <xdr:rowOff>678180</xdr:rowOff>
    </xdr:from>
    <xdr:to>
      <xdr:col>14</xdr:col>
      <xdr:colOff>373380</xdr:colOff>
      <xdr:row>17</xdr:row>
      <xdr:rowOff>1181100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17145</xdr:colOff>
      <xdr:row>18</xdr:row>
      <xdr:rowOff>15240</xdr:rowOff>
    </xdr:from>
    <xdr:to>
      <xdr:col>21</xdr:col>
      <xdr:colOff>530329</xdr:colOff>
      <xdr:row>24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:lc="http://schemas.openxmlformats.org/drawingml/2006/lockedCanvas" xmlns="" id="{5742FCEE-7D66-FD14-5B86-A3AD36E40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579120</xdr:colOff>
      <xdr:row>16</xdr:row>
      <xdr:rowOff>365760</xdr:rowOff>
    </xdr:from>
    <xdr:to>
      <xdr:col>14</xdr:col>
      <xdr:colOff>228600</xdr:colOff>
      <xdr:row>17</xdr:row>
      <xdr:rowOff>320040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223"/>
  <sheetViews>
    <sheetView topLeftCell="A9" workbookViewId="0">
      <selection activeCell="E24" sqref="E24"/>
    </sheetView>
  </sheetViews>
  <sheetFormatPr defaultRowHeight="14.4"/>
  <cols>
    <col min="2" max="2" width="14" customWidth="1"/>
    <col min="4" max="4" width="12.109375" customWidth="1"/>
    <col min="7" max="33" width="4" customWidth="1"/>
  </cols>
  <sheetData>
    <row r="1" spans="1:35" ht="23.4">
      <c r="A1" t="s">
        <v>110</v>
      </c>
      <c r="B1" t="s">
        <v>19</v>
      </c>
      <c r="C1" s="48" t="s">
        <v>111</v>
      </c>
      <c r="D1">
        <v>2025</v>
      </c>
      <c r="I1" s="49">
        <v>1</v>
      </c>
      <c r="J1" s="49"/>
      <c r="K1" s="49"/>
      <c r="AG1">
        <v>0</v>
      </c>
      <c r="AH1" t="s">
        <v>162</v>
      </c>
      <c r="AI1" t="s">
        <v>160</v>
      </c>
    </row>
    <row r="2" spans="1:35" ht="23.4">
      <c r="A2" t="s">
        <v>112</v>
      </c>
      <c r="B2" t="s">
        <v>20</v>
      </c>
      <c r="C2" s="48" t="s">
        <v>113</v>
      </c>
      <c r="D2">
        <v>2026</v>
      </c>
      <c r="I2" s="49">
        <v>16</v>
      </c>
      <c r="J2" s="49"/>
      <c r="K2" s="49"/>
      <c r="AG2">
        <v>0</v>
      </c>
      <c r="AH2" t="s">
        <v>162</v>
      </c>
      <c r="AI2" t="s">
        <v>161</v>
      </c>
    </row>
    <row r="3" spans="1:35" ht="23.4">
      <c r="A3" t="s">
        <v>114</v>
      </c>
      <c r="B3" t="s">
        <v>21</v>
      </c>
      <c r="C3" s="48" t="s">
        <v>115</v>
      </c>
      <c r="D3">
        <v>2027</v>
      </c>
      <c r="I3" s="49">
        <v>11</v>
      </c>
      <c r="J3" s="49"/>
      <c r="K3" s="50" t="str">
        <f>IF(B29=3,B28,"")</f>
        <v/>
      </c>
      <c r="AG3">
        <v>0</v>
      </c>
      <c r="AH3" t="s">
        <v>165</v>
      </c>
      <c r="AI3" t="s">
        <v>164</v>
      </c>
    </row>
    <row r="4" spans="1:35" ht="23.4">
      <c r="A4" t="s">
        <v>116</v>
      </c>
      <c r="B4" t="s">
        <v>22</v>
      </c>
      <c r="C4" s="48" t="s">
        <v>117</v>
      </c>
      <c r="D4">
        <v>2028</v>
      </c>
      <c r="I4" s="49"/>
      <c r="J4" s="49"/>
      <c r="K4" s="50">
        <f>IF(B29=4,B28,IF(K3=31,1,""))</f>
        <v>20</v>
      </c>
      <c r="AG4">
        <v>0</v>
      </c>
      <c r="AH4" t="s">
        <v>165</v>
      </c>
      <c r="AI4" t="s">
        <v>163</v>
      </c>
    </row>
    <row r="5" spans="1:35">
      <c r="A5" t="s">
        <v>118</v>
      </c>
      <c r="B5" t="s">
        <v>23</v>
      </c>
      <c r="D5">
        <v>2029</v>
      </c>
      <c r="I5" s="49">
        <v>1</v>
      </c>
      <c r="J5" s="49"/>
      <c r="K5" s="49"/>
      <c r="AG5">
        <v>0</v>
      </c>
      <c r="AH5" t="s">
        <v>153</v>
      </c>
      <c r="AI5" t="s">
        <v>52</v>
      </c>
    </row>
    <row r="6" spans="1:35">
      <c r="A6" t="s">
        <v>119</v>
      </c>
      <c r="B6" t="s">
        <v>24</v>
      </c>
      <c r="D6">
        <v>2030</v>
      </c>
      <c r="I6" s="49">
        <v>26</v>
      </c>
      <c r="J6" s="49"/>
      <c r="K6" s="49"/>
      <c r="AG6">
        <v>0</v>
      </c>
      <c r="AH6" t="s">
        <v>153</v>
      </c>
      <c r="AI6" t="s">
        <v>145</v>
      </c>
    </row>
    <row r="7" spans="1:35">
      <c r="A7" t="s">
        <v>120</v>
      </c>
      <c r="B7" t="s">
        <v>25</v>
      </c>
      <c r="D7">
        <v>2031</v>
      </c>
      <c r="I7" s="49">
        <v>6</v>
      </c>
      <c r="J7" s="49"/>
      <c r="K7" s="49"/>
      <c r="AG7">
        <v>0</v>
      </c>
      <c r="AH7" t="s">
        <v>150</v>
      </c>
      <c r="AI7" t="s">
        <v>58</v>
      </c>
    </row>
    <row r="8" spans="1:35">
      <c r="A8" t="s">
        <v>121</v>
      </c>
      <c r="B8" t="s">
        <v>26</v>
      </c>
      <c r="D8">
        <v>2032</v>
      </c>
      <c r="I8" s="49">
        <v>15</v>
      </c>
      <c r="J8" s="49"/>
      <c r="K8" s="49"/>
      <c r="AG8">
        <v>0</v>
      </c>
      <c r="AH8" t="s">
        <v>150</v>
      </c>
      <c r="AI8" t="s">
        <v>47</v>
      </c>
    </row>
    <row r="9" spans="1:35" ht="15.6">
      <c r="A9" t="s">
        <v>122</v>
      </c>
      <c r="B9" t="s">
        <v>27</v>
      </c>
      <c r="D9">
        <v>2033</v>
      </c>
      <c r="H9" s="51"/>
      <c r="I9" s="49"/>
      <c r="J9" s="49"/>
      <c r="K9" s="49"/>
      <c r="AG9">
        <v>0</v>
      </c>
      <c r="AH9" t="s">
        <v>159</v>
      </c>
      <c r="AI9" t="s">
        <v>158</v>
      </c>
    </row>
    <row r="10" spans="1:35">
      <c r="A10" t="s">
        <v>123</v>
      </c>
      <c r="B10" t="s">
        <v>28</v>
      </c>
      <c r="D10">
        <v>2034</v>
      </c>
      <c r="I10" s="49"/>
      <c r="J10" s="49"/>
      <c r="K10" s="49"/>
      <c r="AG10">
        <v>0</v>
      </c>
      <c r="AH10" t="s">
        <v>159</v>
      </c>
      <c r="AI10" t="s">
        <v>157</v>
      </c>
    </row>
    <row r="11" spans="1:35">
      <c r="A11" t="s">
        <v>124</v>
      </c>
      <c r="B11" t="s">
        <v>29</v>
      </c>
      <c r="D11">
        <v>2035</v>
      </c>
      <c r="I11" s="49">
        <v>1</v>
      </c>
      <c r="J11" s="49">
        <v>2</v>
      </c>
      <c r="K11" s="49"/>
      <c r="AG11">
        <v>0</v>
      </c>
      <c r="AH11" t="s">
        <v>171</v>
      </c>
      <c r="AI11" t="s">
        <v>169</v>
      </c>
    </row>
    <row r="12" spans="1:35">
      <c r="A12" t="s">
        <v>125</v>
      </c>
      <c r="B12" t="s">
        <v>30</v>
      </c>
      <c r="D12">
        <v>2036</v>
      </c>
      <c r="I12" s="49">
        <v>24</v>
      </c>
      <c r="J12" s="49">
        <v>25</v>
      </c>
      <c r="K12" s="49">
        <v>26</v>
      </c>
      <c r="AG12">
        <v>0</v>
      </c>
      <c r="AH12" t="s">
        <v>171</v>
      </c>
      <c r="AI12" t="s">
        <v>170</v>
      </c>
    </row>
    <row r="13" spans="1:35">
      <c r="D13">
        <v>2037</v>
      </c>
      <c r="AG13">
        <v>0</v>
      </c>
      <c r="AH13" t="s">
        <v>151</v>
      </c>
      <c r="AI13" t="s">
        <v>48</v>
      </c>
    </row>
    <row r="14" spans="1:35">
      <c r="D14">
        <v>2038</v>
      </c>
      <c r="AG14">
        <v>0</v>
      </c>
      <c r="AH14" t="s">
        <v>151</v>
      </c>
      <c r="AI14" t="s">
        <v>51</v>
      </c>
    </row>
    <row r="15" spans="1:35">
      <c r="D15">
        <v>2039</v>
      </c>
      <c r="AG15">
        <v>0</v>
      </c>
      <c r="AH15" t="s">
        <v>149</v>
      </c>
      <c r="AI15" s="59" t="s">
        <v>46</v>
      </c>
    </row>
    <row r="16" spans="1:35">
      <c r="D16" t="s">
        <v>139</v>
      </c>
      <c r="AG16">
        <v>0</v>
      </c>
      <c r="AH16" t="s">
        <v>149</v>
      </c>
      <c r="AI16" t="s">
        <v>54</v>
      </c>
    </row>
    <row r="17" spans="1:35">
      <c r="A17" t="s">
        <v>126</v>
      </c>
      <c r="AG17">
        <v>0</v>
      </c>
      <c r="AH17" t="s">
        <v>146</v>
      </c>
      <c r="AI17" t="s">
        <v>50</v>
      </c>
    </row>
    <row r="18" spans="1:35">
      <c r="AG18">
        <v>0</v>
      </c>
      <c r="AH18" t="s">
        <v>146</v>
      </c>
      <c r="AI18" s="56" t="s">
        <v>59</v>
      </c>
    </row>
    <row r="19" spans="1:35">
      <c r="A19" t="s">
        <v>127</v>
      </c>
      <c r="B19" s="53">
        <f>Dinamika!$B$1</f>
        <v>2025</v>
      </c>
      <c r="D19" t="s">
        <v>143</v>
      </c>
      <c r="E19" s="54">
        <v>8</v>
      </c>
      <c r="AG19">
        <v>0</v>
      </c>
      <c r="AH19" t="s">
        <v>147</v>
      </c>
      <c r="AI19" t="s">
        <v>55</v>
      </c>
    </row>
    <row r="20" spans="1:35">
      <c r="A20" t="s">
        <v>128</v>
      </c>
      <c r="B20" s="53">
        <f>MOD(B19,19)</f>
        <v>11</v>
      </c>
      <c r="AG20">
        <v>0</v>
      </c>
      <c r="AH20" t="s">
        <v>147</v>
      </c>
      <c r="AI20" t="s">
        <v>64</v>
      </c>
    </row>
    <row r="21" spans="1:35">
      <c r="A21" t="s">
        <v>129</v>
      </c>
      <c r="B21" s="53">
        <f>TRUNC(B19/4)</f>
        <v>506</v>
      </c>
      <c r="AG21">
        <v>0</v>
      </c>
      <c r="AH21" t="s">
        <v>152</v>
      </c>
      <c r="AI21" t="s">
        <v>49</v>
      </c>
    </row>
    <row r="22" spans="1:35">
      <c r="A22" t="s">
        <v>130</v>
      </c>
      <c r="B22" s="53">
        <f>TRUNC(B21/25)+1</f>
        <v>21</v>
      </c>
      <c r="AG22">
        <v>0</v>
      </c>
      <c r="AH22" t="s">
        <v>152</v>
      </c>
      <c r="AI22" t="s">
        <v>60</v>
      </c>
    </row>
    <row r="23" spans="1:35">
      <c r="A23" t="s">
        <v>131</v>
      </c>
      <c r="B23" s="53">
        <f>TRUNC(B22*3/4)</f>
        <v>15</v>
      </c>
      <c r="AG23">
        <v>0</v>
      </c>
      <c r="AH23" t="s">
        <v>148</v>
      </c>
      <c r="AI23" t="s">
        <v>56</v>
      </c>
    </row>
    <row r="24" spans="1:35">
      <c r="A24" t="s">
        <v>132</v>
      </c>
      <c r="B24" s="53">
        <f>MOD((B20*19)-(TRUNC((B22*8+5)/25)+B23+15),30)</f>
        <v>23</v>
      </c>
      <c r="AG24">
        <v>0</v>
      </c>
      <c r="AH24" t="s">
        <v>148</v>
      </c>
      <c r="AI24" s="119" t="s">
        <v>53</v>
      </c>
    </row>
    <row r="25" spans="1:35">
      <c r="A25" t="s">
        <v>133</v>
      </c>
      <c r="B25" s="53">
        <f>B24+TRUNC((29578-B20-B24*32)/1024)</f>
        <v>51</v>
      </c>
      <c r="AG25">
        <v>9</v>
      </c>
      <c r="AH25" t="s">
        <v>156</v>
      </c>
      <c r="AI25" t="s">
        <v>68</v>
      </c>
    </row>
    <row r="26" spans="1:35">
      <c r="A26" t="s">
        <v>134</v>
      </c>
      <c r="B26" s="53">
        <f>B25-MOD((MOD(B19,7)+B21-B23+B25+2),7)</f>
        <v>51</v>
      </c>
      <c r="AG26">
        <v>9</v>
      </c>
      <c r="AH26" t="s">
        <v>166</v>
      </c>
      <c r="AI26" s="57" t="s">
        <v>66</v>
      </c>
    </row>
    <row r="27" spans="1:35">
      <c r="A27" t="s">
        <v>131</v>
      </c>
      <c r="B27" s="53">
        <f>TRUNC(B26/32)</f>
        <v>1</v>
      </c>
      <c r="AG27">
        <v>9</v>
      </c>
      <c r="AH27" s="87" t="s">
        <v>155</v>
      </c>
      <c r="AI27" s="87" t="s">
        <v>67</v>
      </c>
    </row>
    <row r="28" spans="1:35">
      <c r="A28" t="s">
        <v>135</v>
      </c>
      <c r="B28" s="53">
        <f>B26-B27*31</f>
        <v>20</v>
      </c>
      <c r="AG28">
        <v>9</v>
      </c>
      <c r="AH28" s="87" t="s">
        <v>154</v>
      </c>
      <c r="AI28" s="87" t="s">
        <v>65</v>
      </c>
    </row>
    <row r="29" spans="1:35">
      <c r="A29" t="s">
        <v>136</v>
      </c>
      <c r="B29" s="53">
        <f>B27+3</f>
        <v>4</v>
      </c>
    </row>
    <row r="31" spans="1:35">
      <c r="A31" t="s">
        <v>137</v>
      </c>
      <c r="B31" s="52">
        <f>DATE(B19,B29,B28)</f>
        <v>45767</v>
      </c>
    </row>
    <row r="33" ht="16.95" customHeight="1"/>
    <row r="34" ht="3" customHeight="1"/>
    <row r="35" ht="16.95" hidden="1" customHeight="1"/>
    <row r="36" ht="16.95" hidden="1" customHeight="1"/>
    <row r="37" ht="16.95" hidden="1" customHeight="1"/>
    <row r="38" ht="16.95" hidden="1" customHeight="1"/>
    <row r="39" ht="16.95" hidden="1" customHeight="1"/>
    <row r="40" ht="16.95" hidden="1" customHeight="1"/>
    <row r="41" ht="16.95" hidden="1" customHeight="1"/>
    <row r="42" ht="16.95" hidden="1" customHeight="1"/>
    <row r="43" ht="9.6" hidden="1" customHeight="1"/>
    <row r="44" ht="16.95" hidden="1" customHeight="1"/>
    <row r="45" ht="16.95" hidden="1" customHeight="1"/>
    <row r="46" ht="16.95" hidden="1" customHeight="1"/>
    <row r="47" ht="16.95" hidden="1" customHeight="1"/>
    <row r="48" ht="16.95" hidden="1" customHeight="1"/>
    <row r="49" ht="16.95" hidden="1" customHeight="1"/>
    <row r="50" ht="16.95" hidden="1" customHeight="1"/>
    <row r="51" ht="16.95" hidden="1" customHeight="1"/>
    <row r="52" ht="16.95" hidden="1" customHeight="1"/>
    <row r="53" ht="16.95" hidden="1" customHeight="1"/>
    <row r="54" ht="16.95" hidden="1" customHeight="1"/>
    <row r="55" ht="16.95" hidden="1" customHeight="1"/>
    <row r="56" ht="16.95" hidden="1" customHeight="1"/>
    <row r="57" ht="16.95" hidden="1" customHeight="1"/>
    <row r="58" ht="16.95" hidden="1" customHeight="1"/>
    <row r="59" ht="16.95" hidden="1" customHeight="1"/>
    <row r="60" ht="9" hidden="1" customHeight="1"/>
    <row r="61" ht="16.95" hidden="1" customHeight="1"/>
    <row r="62" ht="16.95" hidden="1" customHeight="1"/>
    <row r="63" ht="16.95" hidden="1" customHeight="1"/>
    <row r="64" ht="16.95" hidden="1" customHeight="1"/>
    <row r="65" ht="16.95" hidden="1" customHeight="1"/>
    <row r="66" ht="16.95" hidden="1" customHeight="1"/>
    <row r="67" ht="16.95" hidden="1" customHeight="1"/>
    <row r="68" ht="16.95" hidden="1" customHeight="1"/>
    <row r="69" ht="16.95" hidden="1" customHeight="1"/>
    <row r="70" ht="16.95" hidden="1" customHeight="1"/>
    <row r="71" ht="16.95" hidden="1" customHeight="1"/>
    <row r="72" ht="16.95" hidden="1" customHeight="1"/>
    <row r="73" ht="16.95" hidden="1" customHeight="1"/>
    <row r="74" ht="16.95" hidden="1" customHeight="1"/>
    <row r="75" ht="16.95" hidden="1" customHeight="1"/>
    <row r="76" ht="16.95" hidden="1" customHeight="1"/>
    <row r="77" ht="16.95" hidden="1" customHeight="1"/>
    <row r="78" ht="16.95" hidden="1" customHeight="1"/>
    <row r="79" ht="16.95" hidden="1" customHeight="1"/>
    <row r="80" ht="16.95" hidden="1" customHeight="1"/>
    <row r="81" ht="16.95" hidden="1" customHeight="1"/>
    <row r="82" ht="16.95" hidden="1" customHeight="1"/>
    <row r="83" ht="16.95" hidden="1" customHeight="1"/>
    <row r="84" ht="16.95" hidden="1" customHeight="1"/>
    <row r="85" ht="16.95" hidden="1" customHeight="1"/>
    <row r="86" ht="16.95" hidden="1" customHeight="1"/>
    <row r="87" ht="1.2" hidden="1" customHeight="1"/>
    <row r="88" ht="16.95" hidden="1" customHeight="1"/>
    <row r="89" ht="16.95" hidden="1" customHeight="1"/>
    <row r="90" ht="16.95" hidden="1" customHeight="1"/>
    <row r="91" ht="16.95" hidden="1" customHeight="1"/>
    <row r="92" ht="16.95" hidden="1" customHeight="1"/>
    <row r="93" ht="16.95" hidden="1" customHeight="1"/>
    <row r="94" ht="16.95" hidden="1" customHeight="1"/>
    <row r="95" ht="16.95" hidden="1" customHeight="1"/>
    <row r="96" ht="16.95" hidden="1" customHeight="1"/>
    <row r="97" spans="1:32" ht="16.95" hidden="1" customHeight="1"/>
    <row r="98" spans="1:32" ht="16.95" hidden="1" customHeight="1"/>
    <row r="99" spans="1:32" ht="16.95" hidden="1" customHeight="1"/>
    <row r="100" spans="1:32" ht="16.95" hidden="1" customHeight="1"/>
    <row r="101" spans="1:32" ht="16.95" hidden="1" customHeight="1"/>
    <row r="102" spans="1:32" ht="16.95" hidden="1" customHeight="1"/>
    <row r="103" spans="1:32" ht="16.95" hidden="1" customHeight="1"/>
    <row r="104" spans="1:32" ht="16.95" hidden="1" customHeight="1"/>
    <row r="105" spans="1:32" ht="16.95" hidden="1" customHeight="1"/>
    <row r="106" spans="1:32" ht="16.95" hidden="1" customHeight="1"/>
    <row r="107" spans="1:32" ht="16.95" customHeight="1"/>
    <row r="108" spans="1:32" ht="16.95" customHeight="1"/>
    <row r="109" spans="1:32">
      <c r="A109" t="s">
        <v>127</v>
      </c>
      <c r="B109" t="s">
        <v>142</v>
      </c>
      <c r="C109" t="s">
        <v>141</v>
      </c>
      <c r="F109" t="s">
        <v>140</v>
      </c>
    </row>
    <row r="110" spans="1:32">
      <c r="A110">
        <f>Dinamika!$B$1</f>
        <v>2025</v>
      </c>
      <c r="B110">
        <v>1</v>
      </c>
      <c r="C110">
        <f>DAY(EOMONTH(DATE(A110,B110,1),0))</f>
        <v>31</v>
      </c>
      <c r="F110" t="str">
        <f>CHOOSE($B110,$B$1,$B$2,$B$3,$B$4,$B$5,$B$6,$B$7,$B$8,$B$9,$B$10,$B$11,$B$12)</f>
        <v>Sausis</v>
      </c>
    </row>
    <row r="111" spans="1:32">
      <c r="A111" t="str">
        <f>CHOOSE($B110,$B$1,$B$2,$B$3,$B$4,$B$5,$B$6,$B$7,$B$8,$B$9,$B$10,$B$11,$B$12)</f>
        <v>Sausis</v>
      </c>
      <c r="B111">
        <v>1</v>
      </c>
      <c r="C111">
        <f t="shared" ref="C111:AC111" si="0">B111+1</f>
        <v>2</v>
      </c>
      <c r="D111">
        <f t="shared" si="0"/>
        <v>3</v>
      </c>
      <c r="E111">
        <f t="shared" si="0"/>
        <v>4</v>
      </c>
      <c r="F111">
        <f t="shared" si="0"/>
        <v>5</v>
      </c>
      <c r="G111">
        <f t="shared" si="0"/>
        <v>6</v>
      </c>
      <c r="H111">
        <f t="shared" si="0"/>
        <v>7</v>
      </c>
      <c r="I111">
        <f t="shared" si="0"/>
        <v>8</v>
      </c>
      <c r="J111">
        <f t="shared" si="0"/>
        <v>9</v>
      </c>
      <c r="K111">
        <f t="shared" si="0"/>
        <v>10</v>
      </c>
      <c r="L111">
        <f t="shared" si="0"/>
        <v>11</v>
      </c>
      <c r="M111">
        <f t="shared" si="0"/>
        <v>12</v>
      </c>
      <c r="N111">
        <f t="shared" si="0"/>
        <v>13</v>
      </c>
      <c r="O111">
        <f t="shared" si="0"/>
        <v>14</v>
      </c>
      <c r="P111">
        <f t="shared" si="0"/>
        <v>15</v>
      </c>
      <c r="Q111">
        <f t="shared" si="0"/>
        <v>16</v>
      </c>
      <c r="R111">
        <f t="shared" si="0"/>
        <v>17</v>
      </c>
      <c r="S111">
        <f t="shared" si="0"/>
        <v>18</v>
      </c>
      <c r="T111">
        <f t="shared" si="0"/>
        <v>19</v>
      </c>
      <c r="U111">
        <f t="shared" si="0"/>
        <v>20</v>
      </c>
      <c r="V111">
        <f t="shared" si="0"/>
        <v>21</v>
      </c>
      <c r="W111">
        <f t="shared" si="0"/>
        <v>22</v>
      </c>
      <c r="X111">
        <f t="shared" si="0"/>
        <v>23</v>
      </c>
      <c r="Y111">
        <f t="shared" si="0"/>
        <v>24</v>
      </c>
      <c r="Z111">
        <f t="shared" si="0"/>
        <v>25</v>
      </c>
      <c r="AA111">
        <f t="shared" si="0"/>
        <v>26</v>
      </c>
      <c r="AB111">
        <f t="shared" si="0"/>
        <v>27</v>
      </c>
      <c r="AC111">
        <f t="shared" si="0"/>
        <v>28</v>
      </c>
      <c r="AD111">
        <f>IF(ABS(AC111)&lt;$C110,AC111+1,-AC111+1)</f>
        <v>29</v>
      </c>
      <c r="AE111">
        <f>IF(ABS(AD111)&lt;$C110,AD111+1,-AD111+1)</f>
        <v>30</v>
      </c>
      <c r="AF111">
        <f>IF(ABS(AE111)&lt;$C110,AE111+1,-AE111+1)</f>
        <v>31</v>
      </c>
    </row>
    <row r="112" spans="1:32">
      <c r="A112" t="str">
        <f>A111</f>
        <v>Sausis</v>
      </c>
      <c r="B112" t="str">
        <f t="shared" ref="B112:AF112" ca="1" si="1">IF(B111&gt;0,IF(OR(OFFSET($I$1,$B110-1,0)=B111,OFFSET($I$1,$B110-1,1)=B111,OFFSET($I$1,$B110-1,2)=B111),"SV",CHOOSE(WEEKDAY(DATE($A110,$B110,B111),2),"--","--","--","--","--","SS","SK")),"XX")</f>
        <v>SV</v>
      </c>
      <c r="C112" t="str">
        <f t="shared" ca="1" si="1"/>
        <v>--</v>
      </c>
      <c r="D112" t="str">
        <f t="shared" ca="1" si="1"/>
        <v>--</v>
      </c>
      <c r="E112" t="str">
        <f t="shared" ca="1" si="1"/>
        <v>SS</v>
      </c>
      <c r="F112" t="str">
        <f t="shared" ca="1" si="1"/>
        <v>SK</v>
      </c>
      <c r="G112" t="str">
        <f t="shared" ca="1" si="1"/>
        <v>--</v>
      </c>
      <c r="H112" t="str">
        <f t="shared" ca="1" si="1"/>
        <v>--</v>
      </c>
      <c r="I112" t="str">
        <f t="shared" ca="1" si="1"/>
        <v>--</v>
      </c>
      <c r="J112" t="str">
        <f t="shared" ca="1" si="1"/>
        <v>--</v>
      </c>
      <c r="K112" t="str">
        <f t="shared" ca="1" si="1"/>
        <v>--</v>
      </c>
      <c r="L112" t="str">
        <f t="shared" ca="1" si="1"/>
        <v>SS</v>
      </c>
      <c r="M112" t="str">
        <f t="shared" ca="1" si="1"/>
        <v>SK</v>
      </c>
      <c r="N112" t="str">
        <f t="shared" ca="1" si="1"/>
        <v>--</v>
      </c>
      <c r="O112" t="str">
        <f t="shared" ca="1" si="1"/>
        <v>--</v>
      </c>
      <c r="P112" t="str">
        <f t="shared" ca="1" si="1"/>
        <v>--</v>
      </c>
      <c r="Q112" t="str">
        <f t="shared" ca="1" si="1"/>
        <v>--</v>
      </c>
      <c r="R112" t="str">
        <f t="shared" ca="1" si="1"/>
        <v>--</v>
      </c>
      <c r="S112" t="str">
        <f t="shared" ca="1" si="1"/>
        <v>SS</v>
      </c>
      <c r="T112" t="str">
        <f t="shared" ca="1" si="1"/>
        <v>SK</v>
      </c>
      <c r="U112" t="str">
        <f t="shared" ca="1" si="1"/>
        <v>--</v>
      </c>
      <c r="V112" t="str">
        <f t="shared" ca="1" si="1"/>
        <v>--</v>
      </c>
      <c r="W112" t="str">
        <f t="shared" ca="1" si="1"/>
        <v>--</v>
      </c>
      <c r="X112" t="str">
        <f t="shared" ca="1" si="1"/>
        <v>--</v>
      </c>
      <c r="Y112" t="str">
        <f t="shared" ca="1" si="1"/>
        <v>--</v>
      </c>
      <c r="Z112" t="str">
        <f t="shared" ca="1" si="1"/>
        <v>SS</v>
      </c>
      <c r="AA112" t="str">
        <f t="shared" ca="1" si="1"/>
        <v>SK</v>
      </c>
      <c r="AB112" t="str">
        <f t="shared" ca="1" si="1"/>
        <v>--</v>
      </c>
      <c r="AC112" t="str">
        <f t="shared" ca="1" si="1"/>
        <v>--</v>
      </c>
      <c r="AD112" t="str">
        <f t="shared" ca="1" si="1"/>
        <v>--</v>
      </c>
      <c r="AE112" t="str">
        <f t="shared" ca="1" si="1"/>
        <v>--</v>
      </c>
      <c r="AF112" t="str">
        <f t="shared" ca="1" si="1"/>
        <v>--</v>
      </c>
    </row>
    <row r="113" spans="1:32">
      <c r="A113" s="161">
        <f>ROW(Sausis!$A254)-1</f>
        <v>253</v>
      </c>
      <c r="B113" s="161">
        <f>ROW(Sausis!$A11)-1</f>
        <v>10</v>
      </c>
      <c r="C113" s="161">
        <f>ROW(Sausis!$A19)-1</f>
        <v>18</v>
      </c>
      <c r="D113" s="161">
        <f>ROW(Sausis!$A27)-1</f>
        <v>26</v>
      </c>
      <c r="E113" s="161">
        <f>ROW(Sausis!$A35)-1</f>
        <v>34</v>
      </c>
      <c r="F113" s="161">
        <f>ROW(Sausis!$A43)-1</f>
        <v>42</v>
      </c>
      <c r="G113" s="161">
        <f>ROW(Sausis!$A51)-1</f>
        <v>50</v>
      </c>
      <c r="H113" s="161">
        <f>ROW(Sausis!$A59)-1</f>
        <v>58</v>
      </c>
      <c r="I113" s="161">
        <f>ROW(Sausis!$A67)-1</f>
        <v>66</v>
      </c>
      <c r="J113" s="161">
        <f>ROW(Sausis!$A75)-1</f>
        <v>74</v>
      </c>
      <c r="K113" s="161">
        <f>ROW(Sausis!$A83)-1</f>
        <v>82</v>
      </c>
      <c r="L113" s="161">
        <f>ROW(Sausis!$A91)-1</f>
        <v>90</v>
      </c>
      <c r="M113" s="161">
        <f>ROW(Sausis!$A99)-1</f>
        <v>98</v>
      </c>
      <c r="N113" s="161">
        <f>ROW(Sausis!$A107)-1</f>
        <v>106</v>
      </c>
      <c r="O113" s="161">
        <f>ROW(Sausis!$A115)-1</f>
        <v>114</v>
      </c>
      <c r="P113" s="161">
        <f>ROW(Sausis!$A123)-1</f>
        <v>122</v>
      </c>
      <c r="Q113" s="161">
        <f>ROW(Sausis!$A131)-1</f>
        <v>130</v>
      </c>
      <c r="R113" s="161">
        <f>ROW(Sausis!$A139)-1</f>
        <v>138</v>
      </c>
      <c r="S113" s="161">
        <f>ROW(Sausis!$A147)-1</f>
        <v>146</v>
      </c>
      <c r="T113" s="161">
        <f>ROW(Sausis!$A155)-1</f>
        <v>154</v>
      </c>
      <c r="U113" s="161">
        <f>ROW(Sausis!$A163)-1</f>
        <v>162</v>
      </c>
      <c r="V113" s="161">
        <f>ROW(Sausis!$A171)-1</f>
        <v>170</v>
      </c>
      <c r="W113" s="161">
        <f>ROW(Sausis!$A179)-1</f>
        <v>178</v>
      </c>
      <c r="X113" s="161">
        <f>ROW(Sausis!$A187)-1</f>
        <v>186</v>
      </c>
      <c r="Y113" s="161">
        <f>ROW(Sausis!$A195)-1</f>
        <v>194</v>
      </c>
      <c r="Z113" s="161">
        <f>ROW(Sausis!$A203)-1</f>
        <v>202</v>
      </c>
      <c r="AA113" s="161">
        <f>ROW(Sausis!$A211)-1</f>
        <v>210</v>
      </c>
      <c r="AB113" s="161">
        <f>ROW(Sausis!$A219)-1</f>
        <v>218</v>
      </c>
      <c r="AC113" s="161">
        <f>ROW(Sausis!$A227)-1</f>
        <v>226</v>
      </c>
      <c r="AD113" s="161">
        <f>ROW(Sausis!$A235)-1</f>
        <v>234</v>
      </c>
      <c r="AE113" s="161">
        <f>ROW(Sausis!$A243)-1</f>
        <v>242</v>
      </c>
      <c r="AF113" s="161">
        <f>ROW(Sausis!$A251)-1</f>
        <v>250</v>
      </c>
    </row>
    <row r="119" spans="1:32">
      <c r="A119" t="s">
        <v>127</v>
      </c>
      <c r="B119" t="s">
        <v>142</v>
      </c>
      <c r="C119" t="s">
        <v>141</v>
      </c>
      <c r="F119" t="s">
        <v>140</v>
      </c>
    </row>
    <row r="120" spans="1:32">
      <c r="A120">
        <f>Dinamika!$B$1</f>
        <v>2025</v>
      </c>
      <c r="B120">
        <v>2</v>
      </c>
      <c r="C120">
        <f>DAY(EOMONTH(DATE(A120,B120,1),0))</f>
        <v>28</v>
      </c>
      <c r="F120" t="str">
        <f>CHOOSE($B120,$B$1,$B$2,$B$3,$B$4,$B$5,$B$6,$B$7,$B$8,$B$9,$B$10,$B$11,$B$12)</f>
        <v>Vasaris</v>
      </c>
    </row>
    <row r="121" spans="1:32">
      <c r="A121" t="str">
        <f>CHOOSE($B120,$B$1,$B$2,$B$3,$B$4,$B$5,$B$6,$B$7,$B$8,$B$9,$B$10,$B$11,$B$12)</f>
        <v>Vasaris</v>
      </c>
      <c r="B121">
        <v>1</v>
      </c>
      <c r="C121">
        <f>B121+1</f>
        <v>2</v>
      </c>
      <c r="D121">
        <f t="shared" ref="D121:T121" si="2">C121+1</f>
        <v>3</v>
      </c>
      <c r="E121">
        <f t="shared" si="2"/>
        <v>4</v>
      </c>
      <c r="F121">
        <f t="shared" si="2"/>
        <v>5</v>
      </c>
      <c r="G121">
        <f t="shared" si="2"/>
        <v>6</v>
      </c>
      <c r="H121">
        <f t="shared" si="2"/>
        <v>7</v>
      </c>
      <c r="I121">
        <f t="shared" si="2"/>
        <v>8</v>
      </c>
      <c r="J121">
        <f t="shared" si="2"/>
        <v>9</v>
      </c>
      <c r="K121">
        <f t="shared" si="2"/>
        <v>10</v>
      </c>
      <c r="L121">
        <f t="shared" si="2"/>
        <v>11</v>
      </c>
      <c r="M121">
        <f t="shared" si="2"/>
        <v>12</v>
      </c>
      <c r="N121">
        <f t="shared" si="2"/>
        <v>13</v>
      </c>
      <c r="O121">
        <f t="shared" si="2"/>
        <v>14</v>
      </c>
      <c r="P121">
        <f t="shared" si="2"/>
        <v>15</v>
      </c>
      <c r="Q121">
        <f t="shared" si="2"/>
        <v>16</v>
      </c>
      <c r="R121">
        <f t="shared" si="2"/>
        <v>17</v>
      </c>
      <c r="S121">
        <f t="shared" si="2"/>
        <v>18</v>
      </c>
      <c r="T121">
        <f t="shared" si="2"/>
        <v>19</v>
      </c>
      <c r="U121">
        <f>T121+1</f>
        <v>20</v>
      </c>
      <c r="V121">
        <f t="shared" ref="V121:AC121" si="3">U121+1</f>
        <v>21</v>
      </c>
      <c r="W121">
        <f t="shared" si="3"/>
        <v>22</v>
      </c>
      <c r="X121">
        <f t="shared" si="3"/>
        <v>23</v>
      </c>
      <c r="Y121">
        <f t="shared" si="3"/>
        <v>24</v>
      </c>
      <c r="Z121">
        <f t="shared" si="3"/>
        <v>25</v>
      </c>
      <c r="AA121">
        <f t="shared" si="3"/>
        <v>26</v>
      </c>
      <c r="AB121">
        <f t="shared" si="3"/>
        <v>27</v>
      </c>
      <c r="AC121">
        <f t="shared" si="3"/>
        <v>28</v>
      </c>
      <c r="AD121">
        <f>IF(ABS(AC121)&lt;$C120,AC121+1,-AC121+1)</f>
        <v>-27</v>
      </c>
      <c r="AE121">
        <f>IF(ABS(AD121)&lt;$C120,AD121+1,-AD121+1)</f>
        <v>-26</v>
      </c>
      <c r="AF121">
        <f>IF(ABS(AE121)&lt;$C120,AE121+1,-AE121+1)</f>
        <v>-25</v>
      </c>
    </row>
    <row r="122" spans="1:32">
      <c r="A122" t="str">
        <f>A121</f>
        <v>Vasaris</v>
      </c>
      <c r="B122" t="str">
        <f t="shared" ref="B122:AF122" ca="1" si="4">IF(B121&gt;0,IF(OR(OFFSET($I$1,$B120-1,0)=B121,OFFSET($I$1,$B120-1,1)=B121,OFFSET($I$1,$B120-1,2)=B121),"SV",CHOOSE(WEEKDAY(DATE($A120,$B120,B121),2),"--","--","--","--","--","SS","SK")),"XX")</f>
        <v>SS</v>
      </c>
      <c r="C122" t="str">
        <f t="shared" ca="1" si="4"/>
        <v>SK</v>
      </c>
      <c r="D122" t="str">
        <f t="shared" ca="1" si="4"/>
        <v>--</v>
      </c>
      <c r="E122" t="str">
        <f t="shared" ca="1" si="4"/>
        <v>--</v>
      </c>
      <c r="F122" t="str">
        <f t="shared" ca="1" si="4"/>
        <v>--</v>
      </c>
      <c r="G122" t="str">
        <f t="shared" ca="1" si="4"/>
        <v>--</v>
      </c>
      <c r="H122" t="str">
        <f t="shared" ca="1" si="4"/>
        <v>--</v>
      </c>
      <c r="I122" t="str">
        <f t="shared" ca="1" si="4"/>
        <v>SS</v>
      </c>
      <c r="J122" t="str">
        <f t="shared" ca="1" si="4"/>
        <v>SK</v>
      </c>
      <c r="K122" t="str">
        <f t="shared" ca="1" si="4"/>
        <v>--</v>
      </c>
      <c r="L122" t="str">
        <f t="shared" ca="1" si="4"/>
        <v>--</v>
      </c>
      <c r="M122" t="str">
        <f t="shared" ca="1" si="4"/>
        <v>--</v>
      </c>
      <c r="N122" t="str">
        <f t="shared" ca="1" si="4"/>
        <v>--</v>
      </c>
      <c r="O122" t="str">
        <f t="shared" ca="1" si="4"/>
        <v>--</v>
      </c>
      <c r="P122" t="str">
        <f t="shared" ca="1" si="4"/>
        <v>SS</v>
      </c>
      <c r="Q122" t="str">
        <f t="shared" ca="1" si="4"/>
        <v>SV</v>
      </c>
      <c r="R122" t="str">
        <f t="shared" ca="1" si="4"/>
        <v>--</v>
      </c>
      <c r="S122" t="str">
        <f t="shared" ca="1" si="4"/>
        <v>--</v>
      </c>
      <c r="T122" t="str">
        <f t="shared" ca="1" si="4"/>
        <v>--</v>
      </c>
      <c r="U122" t="str">
        <f t="shared" ca="1" si="4"/>
        <v>--</v>
      </c>
      <c r="V122" t="str">
        <f t="shared" ca="1" si="4"/>
        <v>--</v>
      </c>
      <c r="W122" t="str">
        <f t="shared" ca="1" si="4"/>
        <v>SS</v>
      </c>
      <c r="X122" t="str">
        <f t="shared" ca="1" si="4"/>
        <v>SK</v>
      </c>
      <c r="Y122" t="str">
        <f t="shared" ca="1" si="4"/>
        <v>--</v>
      </c>
      <c r="Z122" t="str">
        <f t="shared" ca="1" si="4"/>
        <v>--</v>
      </c>
      <c r="AA122" t="str">
        <f t="shared" ca="1" si="4"/>
        <v>--</v>
      </c>
      <c r="AB122" t="str">
        <f t="shared" ca="1" si="4"/>
        <v>--</v>
      </c>
      <c r="AC122" t="str">
        <f t="shared" ca="1" si="4"/>
        <v>--</v>
      </c>
      <c r="AD122" t="str">
        <f t="shared" ca="1" si="4"/>
        <v>XX</v>
      </c>
      <c r="AE122" t="str">
        <f t="shared" ca="1" si="4"/>
        <v>XX</v>
      </c>
      <c r="AF122" t="str">
        <f t="shared" ca="1" si="4"/>
        <v>XX</v>
      </c>
    </row>
    <row r="123" spans="1:32">
      <c r="A123" s="161">
        <f>ROW(Vasaris!A251)-1</f>
        <v>250</v>
      </c>
      <c r="B123" s="161">
        <f>ROW(Vasaris!$A7)-1</f>
        <v>6</v>
      </c>
      <c r="C123" s="161">
        <f>ROW(Vasaris!$A15)-1</f>
        <v>14</v>
      </c>
      <c r="D123" s="161">
        <f>ROW(Vasaris!$A23)-1</f>
        <v>22</v>
      </c>
      <c r="E123" s="161">
        <f>ROW(Vasaris!$A31)-1</f>
        <v>30</v>
      </c>
      <c r="F123" s="161">
        <f>ROW(Vasaris!$A39)-1</f>
        <v>38</v>
      </c>
      <c r="G123" s="161">
        <f>ROW(Vasaris!$A47)-1</f>
        <v>46</v>
      </c>
      <c r="H123" s="161">
        <f>ROW(Vasaris!$A55)-1</f>
        <v>54</v>
      </c>
      <c r="I123" s="161">
        <f>ROW(Vasaris!$A63)-1</f>
        <v>62</v>
      </c>
      <c r="J123" s="161">
        <f>ROW(Vasaris!$A71)-1</f>
        <v>70</v>
      </c>
      <c r="K123" s="161">
        <f>ROW(Vasaris!$A79)-1</f>
        <v>78</v>
      </c>
      <c r="L123" s="161">
        <f>ROW(Vasaris!$A87)-1</f>
        <v>86</v>
      </c>
      <c r="M123" s="161">
        <f>ROW(Vasaris!$A95)-1</f>
        <v>94</v>
      </c>
      <c r="N123" s="161">
        <f>ROW(Vasaris!$A103)-1</f>
        <v>102</v>
      </c>
      <c r="O123" s="161">
        <f>ROW(Vasaris!$A111)-1</f>
        <v>110</v>
      </c>
      <c r="P123" s="161">
        <f>ROW(Vasaris!$A119)-1</f>
        <v>118</v>
      </c>
      <c r="Q123" s="161">
        <f>ROW(Vasaris!$A127)-1</f>
        <v>126</v>
      </c>
      <c r="R123" s="161">
        <f>ROW(Vasaris!$A135)-1</f>
        <v>134</v>
      </c>
      <c r="S123" s="161">
        <f>ROW(Vasaris!$A143)-1</f>
        <v>142</v>
      </c>
      <c r="T123" s="161">
        <f>ROW(Vasaris!$A151)-1</f>
        <v>150</v>
      </c>
      <c r="U123" s="161">
        <f>ROW(Vasaris!$A159)-1</f>
        <v>158</v>
      </c>
      <c r="V123" s="161">
        <f>ROW(Vasaris!$A168)-1</f>
        <v>167</v>
      </c>
      <c r="W123" s="161">
        <f>ROW(Vasaris!$A176)-1</f>
        <v>175</v>
      </c>
      <c r="X123" s="161">
        <f>ROW(Vasaris!$A184)-1</f>
        <v>183</v>
      </c>
      <c r="Y123" s="161">
        <f>ROW(Vasaris!$A192)-1</f>
        <v>191</v>
      </c>
      <c r="Z123" s="161">
        <f>ROW(Vasaris!$A200)-1</f>
        <v>199</v>
      </c>
      <c r="AA123" s="161">
        <f>ROW(Vasaris!$A208)-1</f>
        <v>207</v>
      </c>
      <c r="AB123" s="161">
        <f>ROW(Vasaris!$A216)-1</f>
        <v>215</v>
      </c>
      <c r="AC123" s="161">
        <f>ROW(Vasaris!$A224)-1</f>
        <v>223</v>
      </c>
      <c r="AD123" s="161">
        <f>ROW(Vasaris!$A232)-1</f>
        <v>231</v>
      </c>
      <c r="AE123" s="161">
        <f>ROW(Vasaris!$A240)-1</f>
        <v>239</v>
      </c>
      <c r="AF123" s="161">
        <f>ROW(Vasaris!$A248)-1</f>
        <v>247</v>
      </c>
    </row>
    <row r="129" spans="1:32">
      <c r="A129" t="s">
        <v>127</v>
      </c>
      <c r="B129" t="s">
        <v>142</v>
      </c>
      <c r="C129" t="s">
        <v>141</v>
      </c>
      <c r="F129" t="s">
        <v>140</v>
      </c>
    </row>
    <row r="130" spans="1:32">
      <c r="A130">
        <f>Dinamika!$B$1</f>
        <v>2025</v>
      </c>
      <c r="B130">
        <v>3</v>
      </c>
      <c r="C130">
        <f>DAY(EOMONTH(DATE(A130,B130,1),0))</f>
        <v>31</v>
      </c>
      <c r="F130" t="str">
        <f>CHOOSE($B130,$B$1,$B$2,$B$3,$B$4,$B$5,$B$6,$B$7,$B$8,$B$9,$B$10,$B$11,$B$12)</f>
        <v>Kovas</v>
      </c>
    </row>
    <row r="131" spans="1:32">
      <c r="A131" t="str">
        <f>CHOOSE($B130,$B$1,$B$2,$B$3,$B$4,$B$5,$B$6,$B$7,$B$8,$B$9,$B$10,$B$11,$B$12)</f>
        <v>Kovas</v>
      </c>
      <c r="B131">
        <v>1</v>
      </c>
      <c r="C131">
        <f>B131+1</f>
        <v>2</v>
      </c>
      <c r="D131">
        <f t="shared" ref="D131:T131" si="5">C131+1</f>
        <v>3</v>
      </c>
      <c r="E131">
        <f t="shared" si="5"/>
        <v>4</v>
      </c>
      <c r="F131">
        <f t="shared" si="5"/>
        <v>5</v>
      </c>
      <c r="G131">
        <f t="shared" si="5"/>
        <v>6</v>
      </c>
      <c r="H131">
        <f t="shared" si="5"/>
        <v>7</v>
      </c>
      <c r="I131">
        <f t="shared" si="5"/>
        <v>8</v>
      </c>
      <c r="J131">
        <f t="shared" si="5"/>
        <v>9</v>
      </c>
      <c r="K131">
        <f t="shared" si="5"/>
        <v>10</v>
      </c>
      <c r="L131">
        <f t="shared" si="5"/>
        <v>11</v>
      </c>
      <c r="M131">
        <f t="shared" si="5"/>
        <v>12</v>
      </c>
      <c r="N131">
        <f t="shared" si="5"/>
        <v>13</v>
      </c>
      <c r="O131">
        <f t="shared" si="5"/>
        <v>14</v>
      </c>
      <c r="P131">
        <f t="shared" si="5"/>
        <v>15</v>
      </c>
      <c r="Q131">
        <f t="shared" si="5"/>
        <v>16</v>
      </c>
      <c r="R131">
        <f t="shared" si="5"/>
        <v>17</v>
      </c>
      <c r="S131">
        <f t="shared" si="5"/>
        <v>18</v>
      </c>
      <c r="T131">
        <f t="shared" si="5"/>
        <v>19</v>
      </c>
      <c r="U131">
        <f>T131+1</f>
        <v>20</v>
      </c>
      <c r="V131">
        <f t="shared" ref="V131:AC131" si="6">U131+1</f>
        <v>21</v>
      </c>
      <c r="W131">
        <f t="shared" si="6"/>
        <v>22</v>
      </c>
      <c r="X131">
        <f t="shared" si="6"/>
        <v>23</v>
      </c>
      <c r="Y131">
        <f t="shared" si="6"/>
        <v>24</v>
      </c>
      <c r="Z131">
        <f t="shared" si="6"/>
        <v>25</v>
      </c>
      <c r="AA131">
        <f t="shared" si="6"/>
        <v>26</v>
      </c>
      <c r="AB131">
        <f t="shared" si="6"/>
        <v>27</v>
      </c>
      <c r="AC131">
        <f t="shared" si="6"/>
        <v>28</v>
      </c>
      <c r="AD131">
        <f>IF(ABS(AC131)&lt;$C130,AC131+1,-AC131+1)</f>
        <v>29</v>
      </c>
      <c r="AE131">
        <f>IF(ABS(AD131)&lt;$C130,AD131+1,-AD131+1)</f>
        <v>30</v>
      </c>
      <c r="AF131">
        <f>IF(ABS(AE131)&lt;$C130,AE131+1,-AE131+1)</f>
        <v>31</v>
      </c>
    </row>
    <row r="132" spans="1:32">
      <c r="A132" s="161"/>
      <c r="B132" t="str">
        <f t="shared" ref="B132:AF132" ca="1" si="7">IF(B131&gt;0,IF(OR(OFFSET($I$1,$B130-1,0)=B131,OFFSET($I$1,$B130-1,1)=B131,OFFSET($I$1,$B130-1,2)=B131),"SV",CHOOSE(WEEKDAY(DATE($A130,$B130,B131),2),"--","--","--","--","--","SS","SK")),"XX")</f>
        <v>SS</v>
      </c>
      <c r="C132" t="str">
        <f t="shared" ca="1" si="7"/>
        <v>SK</v>
      </c>
      <c r="D132" t="str">
        <f t="shared" ca="1" si="7"/>
        <v>--</v>
      </c>
      <c r="E132" t="str">
        <f t="shared" ca="1" si="7"/>
        <v>--</v>
      </c>
      <c r="F132" t="str">
        <f t="shared" ca="1" si="7"/>
        <v>--</v>
      </c>
      <c r="G132" t="str">
        <f t="shared" ca="1" si="7"/>
        <v>--</v>
      </c>
      <c r="H132" t="str">
        <f t="shared" ca="1" si="7"/>
        <v>--</v>
      </c>
      <c r="I132" t="str">
        <f t="shared" ca="1" si="7"/>
        <v>SS</v>
      </c>
      <c r="J132" t="str">
        <f t="shared" ca="1" si="7"/>
        <v>SK</v>
      </c>
      <c r="K132" t="str">
        <f t="shared" ca="1" si="7"/>
        <v>--</v>
      </c>
      <c r="L132" t="str">
        <f t="shared" ca="1" si="7"/>
        <v>SV</v>
      </c>
      <c r="M132" t="str">
        <f t="shared" ca="1" si="7"/>
        <v>--</v>
      </c>
      <c r="N132" t="str">
        <f t="shared" ca="1" si="7"/>
        <v>--</v>
      </c>
      <c r="O132" t="str">
        <f t="shared" ca="1" si="7"/>
        <v>--</v>
      </c>
      <c r="P132" t="str">
        <f t="shared" ca="1" si="7"/>
        <v>SS</v>
      </c>
      <c r="Q132" t="str">
        <f t="shared" ca="1" si="7"/>
        <v>SK</v>
      </c>
      <c r="R132" t="str">
        <f t="shared" ca="1" si="7"/>
        <v>--</v>
      </c>
      <c r="S132" t="str">
        <f t="shared" ca="1" si="7"/>
        <v>--</v>
      </c>
      <c r="T132" t="str">
        <f t="shared" ca="1" si="7"/>
        <v>--</v>
      </c>
      <c r="U132" t="str">
        <f t="shared" ca="1" si="7"/>
        <v>--</v>
      </c>
      <c r="V132" t="str">
        <f t="shared" ca="1" si="7"/>
        <v>--</v>
      </c>
      <c r="W132" t="str">
        <f t="shared" ca="1" si="7"/>
        <v>SS</v>
      </c>
      <c r="X132" t="str">
        <f t="shared" ca="1" si="7"/>
        <v>SK</v>
      </c>
      <c r="Y132" t="str">
        <f t="shared" ca="1" si="7"/>
        <v>--</v>
      </c>
      <c r="Z132" t="str">
        <f t="shared" ca="1" si="7"/>
        <v>--</v>
      </c>
      <c r="AA132" t="str">
        <f t="shared" ca="1" si="7"/>
        <v>--</v>
      </c>
      <c r="AB132" t="str">
        <f t="shared" ca="1" si="7"/>
        <v>--</v>
      </c>
      <c r="AC132" t="str">
        <f t="shared" ca="1" si="7"/>
        <v>--</v>
      </c>
      <c r="AD132" t="str">
        <f t="shared" ca="1" si="7"/>
        <v>SS</v>
      </c>
      <c r="AE132" t="str">
        <f t="shared" ca="1" si="7"/>
        <v>SK</v>
      </c>
      <c r="AF132" t="str">
        <f t="shared" ca="1" si="7"/>
        <v>--</v>
      </c>
    </row>
    <row r="133" spans="1:32">
      <c r="A133" s="161">
        <f>ROW(Kovas!A254)-1</f>
        <v>253</v>
      </c>
      <c r="B133" s="161">
        <f>ROW(Kovas!$A11)-1</f>
        <v>10</v>
      </c>
      <c r="C133" s="161">
        <f>ROW(Kovas!$A19)-1</f>
        <v>18</v>
      </c>
      <c r="D133" s="161">
        <f>ROW(Kovas!$A27)-1</f>
        <v>26</v>
      </c>
      <c r="E133" s="161">
        <f>ROW(Kovas!$A35)-1</f>
        <v>34</v>
      </c>
      <c r="F133" s="161">
        <f>ROW(Kovas!$A43)-1</f>
        <v>42</v>
      </c>
      <c r="G133" s="161">
        <f>ROW(Kovas!$A51)-1</f>
        <v>50</v>
      </c>
      <c r="H133" s="161">
        <f>ROW(Kovas!$A59)-1</f>
        <v>58</v>
      </c>
      <c r="I133" s="161">
        <f>ROW(Kovas!$A67)-1</f>
        <v>66</v>
      </c>
      <c r="J133" s="161">
        <f>ROW(Kovas!$A75)-1</f>
        <v>74</v>
      </c>
      <c r="K133" s="161">
        <f>ROW(Kovas!$A83)-1</f>
        <v>82</v>
      </c>
      <c r="L133" s="161">
        <f>ROW(Kovas!$A91)-1</f>
        <v>90</v>
      </c>
      <c r="M133" s="161">
        <f>ROW(Kovas!$A99)-1</f>
        <v>98</v>
      </c>
      <c r="N133" s="161">
        <f>ROW(Kovas!$A107)-1</f>
        <v>106</v>
      </c>
      <c r="O133" s="161">
        <f>ROW(Kovas!$A115)-1</f>
        <v>114</v>
      </c>
      <c r="P133" s="161">
        <f>ROW(Kovas!$A123)-1</f>
        <v>122</v>
      </c>
      <c r="Q133" s="161">
        <f>ROW(Kovas!$A131)-1</f>
        <v>130</v>
      </c>
      <c r="R133" s="161">
        <f>ROW(Kovas!$A139)-1</f>
        <v>138</v>
      </c>
      <c r="S133" s="161">
        <f>ROW(Kovas!$A147)-1</f>
        <v>146</v>
      </c>
      <c r="T133" s="161">
        <f>ROW(Kovas!$A155)-1</f>
        <v>154</v>
      </c>
      <c r="U133" s="161">
        <f>ROW(Kovas!$A163)-1</f>
        <v>162</v>
      </c>
      <c r="V133" s="161">
        <f>ROW(Kovas!$A171)-1</f>
        <v>170</v>
      </c>
      <c r="W133" s="161">
        <f>ROW(Kovas!$A179)-1</f>
        <v>178</v>
      </c>
      <c r="X133" s="161">
        <f>ROW(Kovas!$A187)-1</f>
        <v>186</v>
      </c>
      <c r="Y133" s="161">
        <f>ROW(Kovas!$A195)-1</f>
        <v>194</v>
      </c>
      <c r="Z133" s="161">
        <f>ROW(Kovas!$A203)-1</f>
        <v>202</v>
      </c>
      <c r="AA133" s="161">
        <f>ROW(Kovas!$A211)-1</f>
        <v>210</v>
      </c>
      <c r="AB133" s="161">
        <f>ROW(Kovas!$A219)-1</f>
        <v>218</v>
      </c>
      <c r="AC133" s="161">
        <f>ROW(Kovas!$A227)-1</f>
        <v>226</v>
      </c>
      <c r="AD133" s="161">
        <f>ROW(Kovas!$A235)-1</f>
        <v>234</v>
      </c>
      <c r="AE133" s="161">
        <f>ROW(Kovas!$A243)-1</f>
        <v>242</v>
      </c>
      <c r="AF133" s="161">
        <f>ROW(Kovas!$A251)-1</f>
        <v>250</v>
      </c>
    </row>
    <row r="139" spans="1:32">
      <c r="A139" t="s">
        <v>127</v>
      </c>
      <c r="B139" t="s">
        <v>142</v>
      </c>
      <c r="C139" t="s">
        <v>141</v>
      </c>
      <c r="F139" t="s">
        <v>140</v>
      </c>
    </row>
    <row r="140" spans="1:32">
      <c r="A140">
        <f>Dinamika!$B$1</f>
        <v>2025</v>
      </c>
      <c r="B140">
        <v>4</v>
      </c>
      <c r="C140">
        <f>DAY(EOMONTH(DATE(A140,B140,1),0))</f>
        <v>30</v>
      </c>
      <c r="F140" t="str">
        <f>CHOOSE($B140,$B$1,$B$2,$B$3,$B$4,$B$5,$B$6,$B$7,$B$8,$B$9,$B$10,$B$11,$B$12)</f>
        <v>Balandis</v>
      </c>
    </row>
    <row r="141" spans="1:32">
      <c r="A141" t="str">
        <f>CHOOSE($B140,$B$1,$B$2,$B$3,$B$4,$B$5,$B$6,$B$7,$B$8,$B$9,$B$10,$B$11,$B$12)</f>
        <v>Balandis</v>
      </c>
      <c r="B141">
        <v>1</v>
      </c>
      <c r="C141">
        <f>B141+1</f>
        <v>2</v>
      </c>
      <c r="D141">
        <f t="shared" ref="D141:T141" si="8">C141+1</f>
        <v>3</v>
      </c>
      <c r="E141">
        <f t="shared" si="8"/>
        <v>4</v>
      </c>
      <c r="F141">
        <f t="shared" si="8"/>
        <v>5</v>
      </c>
      <c r="G141">
        <f t="shared" si="8"/>
        <v>6</v>
      </c>
      <c r="H141">
        <f t="shared" si="8"/>
        <v>7</v>
      </c>
      <c r="I141">
        <f t="shared" si="8"/>
        <v>8</v>
      </c>
      <c r="J141">
        <f t="shared" si="8"/>
        <v>9</v>
      </c>
      <c r="K141">
        <f t="shared" si="8"/>
        <v>10</v>
      </c>
      <c r="L141">
        <f t="shared" si="8"/>
        <v>11</v>
      </c>
      <c r="M141">
        <f t="shared" si="8"/>
        <v>12</v>
      </c>
      <c r="N141">
        <f t="shared" si="8"/>
        <v>13</v>
      </c>
      <c r="O141">
        <f t="shared" si="8"/>
        <v>14</v>
      </c>
      <c r="P141">
        <f t="shared" si="8"/>
        <v>15</v>
      </c>
      <c r="Q141">
        <f t="shared" si="8"/>
        <v>16</v>
      </c>
      <c r="R141">
        <f t="shared" si="8"/>
        <v>17</v>
      </c>
      <c r="S141">
        <f t="shared" si="8"/>
        <v>18</v>
      </c>
      <c r="T141">
        <f t="shared" si="8"/>
        <v>19</v>
      </c>
      <c r="U141">
        <f>T141+1</f>
        <v>20</v>
      </c>
      <c r="V141">
        <f t="shared" ref="V141:AC141" si="9">U141+1</f>
        <v>21</v>
      </c>
      <c r="W141">
        <f t="shared" si="9"/>
        <v>22</v>
      </c>
      <c r="X141">
        <f t="shared" si="9"/>
        <v>23</v>
      </c>
      <c r="Y141">
        <f t="shared" si="9"/>
        <v>24</v>
      </c>
      <c r="Z141">
        <f t="shared" si="9"/>
        <v>25</v>
      </c>
      <c r="AA141">
        <f t="shared" si="9"/>
        <v>26</v>
      </c>
      <c r="AB141">
        <f t="shared" si="9"/>
        <v>27</v>
      </c>
      <c r="AC141">
        <f t="shared" si="9"/>
        <v>28</v>
      </c>
      <c r="AD141">
        <f>IF(ABS(AC141)&lt;$C140,AC141+1,-AC141+1)</f>
        <v>29</v>
      </c>
      <c r="AE141">
        <f>IF(ABS(AD141)&lt;$C140,AD141+1,-AD141+1)</f>
        <v>30</v>
      </c>
      <c r="AF141">
        <f>IF(ABS(AE141)&lt;$C140,AE141+1,-AE141+1)</f>
        <v>-29</v>
      </c>
    </row>
    <row r="142" spans="1:32">
      <c r="A142" s="161"/>
      <c r="B142" t="str">
        <f t="shared" ref="B142:AF142" ca="1" si="10">IF(B141&gt;0,IF(OR(OFFSET($I$1,$B140-1,0)=B141,OFFSET($I$1,$B140-1,1)=B141,OFFSET($I$1,$B140-1,2)=B141),"SV",CHOOSE(WEEKDAY(DATE($A140,$B140,B141),2),"--","--","--","--","--","SS","SK")),"XX")</f>
        <v>--</v>
      </c>
      <c r="C142" t="str">
        <f t="shared" ca="1" si="10"/>
        <v>--</v>
      </c>
      <c r="D142" t="str">
        <f t="shared" ca="1" si="10"/>
        <v>--</v>
      </c>
      <c r="E142" t="str">
        <f t="shared" ca="1" si="10"/>
        <v>--</v>
      </c>
      <c r="F142" t="str">
        <f t="shared" ca="1" si="10"/>
        <v>SS</v>
      </c>
      <c r="G142" t="str">
        <f t="shared" ca="1" si="10"/>
        <v>SK</v>
      </c>
      <c r="H142" t="str">
        <f t="shared" ca="1" si="10"/>
        <v>--</v>
      </c>
      <c r="I142" t="str">
        <f t="shared" ca="1" si="10"/>
        <v>--</v>
      </c>
      <c r="J142" t="str">
        <f t="shared" ca="1" si="10"/>
        <v>--</v>
      </c>
      <c r="K142" t="str">
        <f t="shared" ca="1" si="10"/>
        <v>--</v>
      </c>
      <c r="L142" t="str">
        <f t="shared" ca="1" si="10"/>
        <v>--</v>
      </c>
      <c r="M142" t="str">
        <f t="shared" ca="1" si="10"/>
        <v>SS</v>
      </c>
      <c r="N142" t="str">
        <f t="shared" ca="1" si="10"/>
        <v>SK</v>
      </c>
      <c r="O142" t="str">
        <f t="shared" ca="1" si="10"/>
        <v>--</v>
      </c>
      <c r="P142" t="str">
        <f t="shared" ca="1" si="10"/>
        <v>--</v>
      </c>
      <c r="Q142" t="str">
        <f t="shared" ca="1" si="10"/>
        <v>--</v>
      </c>
      <c r="R142" t="str">
        <f t="shared" ca="1" si="10"/>
        <v>--</v>
      </c>
      <c r="S142" t="str">
        <f t="shared" ca="1" si="10"/>
        <v>--</v>
      </c>
      <c r="T142" t="str">
        <f t="shared" ca="1" si="10"/>
        <v>SS</v>
      </c>
      <c r="U142" t="str">
        <f t="shared" ca="1" si="10"/>
        <v>SV</v>
      </c>
      <c r="V142" t="str">
        <f t="shared" ca="1" si="10"/>
        <v>--</v>
      </c>
      <c r="W142" t="str">
        <f t="shared" ca="1" si="10"/>
        <v>--</v>
      </c>
      <c r="X142" t="str">
        <f t="shared" ca="1" si="10"/>
        <v>--</v>
      </c>
      <c r="Y142" t="str">
        <f t="shared" ca="1" si="10"/>
        <v>--</v>
      </c>
      <c r="Z142" t="str">
        <f t="shared" ca="1" si="10"/>
        <v>--</v>
      </c>
      <c r="AA142" t="str">
        <f t="shared" ca="1" si="10"/>
        <v>SS</v>
      </c>
      <c r="AB142" t="str">
        <f t="shared" ca="1" si="10"/>
        <v>SK</v>
      </c>
      <c r="AC142" t="str">
        <f t="shared" ca="1" si="10"/>
        <v>--</v>
      </c>
      <c r="AD142" t="str">
        <f t="shared" ca="1" si="10"/>
        <v>--</v>
      </c>
      <c r="AE142" t="str">
        <f t="shared" ca="1" si="10"/>
        <v>--</v>
      </c>
      <c r="AF142" t="str">
        <f t="shared" ca="1" si="10"/>
        <v>XX</v>
      </c>
    </row>
    <row r="143" spans="1:32">
      <c r="A143" s="161">
        <f>ROW(Balandis!A259)-1</f>
        <v>258</v>
      </c>
      <c r="B143" s="161">
        <f>ROW(Balandis!$A12)-1</f>
        <v>11</v>
      </c>
      <c r="C143" s="161">
        <f>ROW(Balandis!$A22)-1</f>
        <v>21</v>
      </c>
      <c r="D143" s="161">
        <f>ROW(Balandis!$A32)-1</f>
        <v>31</v>
      </c>
      <c r="E143" s="161">
        <f>ROW(Balandis!$A40)-1</f>
        <v>39</v>
      </c>
      <c r="F143" s="161">
        <f>ROW(Balandis!$A48)-1</f>
        <v>47</v>
      </c>
      <c r="G143" s="161">
        <f>ROW(Balandis!$A56)-1</f>
        <v>55</v>
      </c>
      <c r="H143" s="161">
        <f>ROW(Balandis!$A64)-1</f>
        <v>63</v>
      </c>
      <c r="I143" s="161">
        <f>ROW(Balandis!$A72)-1</f>
        <v>71</v>
      </c>
      <c r="J143" s="161">
        <f>ROW(Balandis!$A80)-1</f>
        <v>79</v>
      </c>
      <c r="K143" s="161">
        <f>ROW(Balandis!$A88)-1</f>
        <v>87</v>
      </c>
      <c r="L143" s="161">
        <f>ROW(Balandis!$A96)-1</f>
        <v>95</v>
      </c>
      <c r="M143" s="161">
        <f>ROW(Balandis!$A104)-1</f>
        <v>103</v>
      </c>
      <c r="N143" s="161">
        <f>ROW(Balandis!$A112)-1</f>
        <v>111</v>
      </c>
      <c r="O143" s="161">
        <f>ROW(Balandis!$A120)-1</f>
        <v>119</v>
      </c>
      <c r="P143" s="161">
        <f>ROW(Balandis!$A128)-1</f>
        <v>127</v>
      </c>
      <c r="Q143" s="161">
        <f>ROW(Balandis!$A136)-1</f>
        <v>135</v>
      </c>
      <c r="R143" s="161">
        <f>ROW(Balandis!$A144)-1</f>
        <v>143</v>
      </c>
      <c r="S143" s="161">
        <f>ROW(Balandis!$A152)-1</f>
        <v>151</v>
      </c>
      <c r="T143" s="161">
        <f>ROW(Balandis!$A160)-1</f>
        <v>159</v>
      </c>
      <c r="U143" s="161">
        <f>ROW(Balandis!$A168)-1</f>
        <v>167</v>
      </c>
      <c r="V143" s="161">
        <f>ROW(Balandis!$A176)-1</f>
        <v>175</v>
      </c>
      <c r="W143" s="161">
        <f>ROW(Balandis!$A184)-1</f>
        <v>183</v>
      </c>
      <c r="X143" s="161">
        <f>ROW(Balandis!$A192)-1</f>
        <v>191</v>
      </c>
      <c r="Y143" s="161">
        <f>ROW(Balandis!$A200)-1</f>
        <v>199</v>
      </c>
      <c r="Z143" s="161">
        <f>ROW(Balandis!$A208)-1</f>
        <v>207</v>
      </c>
      <c r="AA143" s="161">
        <f>ROW(Balandis!$A216)-1</f>
        <v>215</v>
      </c>
      <c r="AB143" s="161">
        <f>ROW(Balandis!$A224)-1</f>
        <v>223</v>
      </c>
      <c r="AC143" s="161">
        <f>ROW(Balandis!$A232)-1</f>
        <v>231</v>
      </c>
      <c r="AD143" s="161">
        <f>ROW(Balandis!$A240)-1</f>
        <v>239</v>
      </c>
      <c r="AE143" s="161">
        <f>ROW(Balandis!$A248)-1</f>
        <v>247</v>
      </c>
      <c r="AF143" s="161">
        <f>ROW(Balandis!$A256)-1</f>
        <v>255</v>
      </c>
    </row>
    <row r="149" spans="1:32">
      <c r="A149" t="s">
        <v>127</v>
      </c>
      <c r="B149" t="s">
        <v>142</v>
      </c>
      <c r="C149" t="s">
        <v>141</v>
      </c>
      <c r="F149" t="s">
        <v>140</v>
      </c>
    </row>
    <row r="150" spans="1:32">
      <c r="A150">
        <f>Dinamika!$B$1</f>
        <v>2025</v>
      </c>
      <c r="B150">
        <v>5</v>
      </c>
      <c r="C150">
        <f>DAY(EOMONTH(DATE(A150,B150,1),0))</f>
        <v>31</v>
      </c>
      <c r="F150" t="str">
        <f>CHOOSE($B150,$B$1,$B$2,$B$3,$B$4,$B$5,$B$6,$B$7,$B$8,$B$9,$B$10,$B$11,$B$12)</f>
        <v>Gegužė</v>
      </c>
    </row>
    <row r="151" spans="1:32">
      <c r="A151" t="str">
        <f>CHOOSE($B150,$B$1,$B$2,$B$3,$B$4,$B$5,$B$6,$B$7,$B$8,$B$9,$B$10,$B$11,$B$12)</f>
        <v>Gegužė</v>
      </c>
      <c r="B151">
        <v>1</v>
      </c>
      <c r="C151">
        <f>B151+1</f>
        <v>2</v>
      </c>
      <c r="D151">
        <f t="shared" ref="D151:T151" si="11">C151+1</f>
        <v>3</v>
      </c>
      <c r="E151">
        <f t="shared" si="11"/>
        <v>4</v>
      </c>
      <c r="F151">
        <f t="shared" si="11"/>
        <v>5</v>
      </c>
      <c r="G151">
        <f t="shared" si="11"/>
        <v>6</v>
      </c>
      <c r="H151">
        <f t="shared" si="11"/>
        <v>7</v>
      </c>
      <c r="I151">
        <f t="shared" si="11"/>
        <v>8</v>
      </c>
      <c r="J151">
        <f t="shared" si="11"/>
        <v>9</v>
      </c>
      <c r="K151">
        <f t="shared" si="11"/>
        <v>10</v>
      </c>
      <c r="L151">
        <f t="shared" si="11"/>
        <v>11</v>
      </c>
      <c r="M151">
        <f t="shared" si="11"/>
        <v>12</v>
      </c>
      <c r="N151">
        <f t="shared" si="11"/>
        <v>13</v>
      </c>
      <c r="O151">
        <f t="shared" si="11"/>
        <v>14</v>
      </c>
      <c r="P151">
        <f t="shared" si="11"/>
        <v>15</v>
      </c>
      <c r="Q151">
        <f t="shared" si="11"/>
        <v>16</v>
      </c>
      <c r="R151">
        <f t="shared" si="11"/>
        <v>17</v>
      </c>
      <c r="S151">
        <f t="shared" si="11"/>
        <v>18</v>
      </c>
      <c r="T151">
        <f t="shared" si="11"/>
        <v>19</v>
      </c>
      <c r="U151">
        <f>T151+1</f>
        <v>20</v>
      </c>
      <c r="V151">
        <f t="shared" ref="V151:AC151" si="12">U151+1</f>
        <v>21</v>
      </c>
      <c r="W151">
        <f t="shared" si="12"/>
        <v>22</v>
      </c>
      <c r="X151">
        <f t="shared" si="12"/>
        <v>23</v>
      </c>
      <c r="Y151">
        <f t="shared" si="12"/>
        <v>24</v>
      </c>
      <c r="Z151">
        <f t="shared" si="12"/>
        <v>25</v>
      </c>
      <c r="AA151">
        <f t="shared" si="12"/>
        <v>26</v>
      </c>
      <c r="AB151">
        <f t="shared" si="12"/>
        <v>27</v>
      </c>
      <c r="AC151">
        <f t="shared" si="12"/>
        <v>28</v>
      </c>
      <c r="AD151">
        <f>IF(ABS(AC151)&lt;$C150,AC151+1,-AC151+1)</f>
        <v>29</v>
      </c>
      <c r="AE151">
        <f>IF(ABS(AD151)&lt;$C150,AD151+1,-AD151+1)</f>
        <v>30</v>
      </c>
      <c r="AF151">
        <f>IF(ABS(AE151)&lt;$C150,AE151+1,-AE151+1)</f>
        <v>31</v>
      </c>
    </row>
    <row r="152" spans="1:32">
      <c r="A152" t="str">
        <f>A151</f>
        <v>Gegužė</v>
      </c>
      <c r="B152" t="str">
        <f t="shared" ref="B152:AF152" ca="1" si="13">IF(B151&gt;0,IF(OR(OFFSET($I$1,$B150-1,0)=B151,OFFSET($I$1,$B150-1,1)=B151,OFFSET($I$1,$B150-1,2)=B151),"SV",CHOOSE(WEEKDAY(DATE($A150,$B150,B151),2),"--","--","--","--","--","SS","SK")),"XX")</f>
        <v>SV</v>
      </c>
      <c r="C152" t="str">
        <f t="shared" ca="1" si="13"/>
        <v>--</v>
      </c>
      <c r="D152" t="str">
        <f t="shared" ca="1" si="13"/>
        <v>SS</v>
      </c>
      <c r="E152" t="str">
        <f t="shared" ca="1" si="13"/>
        <v>SK</v>
      </c>
      <c r="F152" t="str">
        <f t="shared" ca="1" si="13"/>
        <v>--</v>
      </c>
      <c r="G152" t="str">
        <f t="shared" ca="1" si="13"/>
        <v>--</v>
      </c>
      <c r="H152" t="str">
        <f t="shared" ca="1" si="13"/>
        <v>--</v>
      </c>
      <c r="I152" t="str">
        <f t="shared" ca="1" si="13"/>
        <v>--</v>
      </c>
      <c r="J152" t="str">
        <f t="shared" ca="1" si="13"/>
        <v>--</v>
      </c>
      <c r="K152" t="str">
        <f t="shared" ca="1" si="13"/>
        <v>SS</v>
      </c>
      <c r="L152" t="str">
        <f t="shared" ca="1" si="13"/>
        <v>SK</v>
      </c>
      <c r="M152" t="str">
        <f t="shared" ca="1" si="13"/>
        <v>--</v>
      </c>
      <c r="N152" t="str">
        <f t="shared" ca="1" si="13"/>
        <v>--</v>
      </c>
      <c r="O152" t="str">
        <f t="shared" ca="1" si="13"/>
        <v>--</v>
      </c>
      <c r="P152" t="str">
        <f t="shared" ca="1" si="13"/>
        <v>--</v>
      </c>
      <c r="Q152" t="str">
        <f t="shared" ca="1" si="13"/>
        <v>--</v>
      </c>
      <c r="R152" t="str">
        <f t="shared" ca="1" si="13"/>
        <v>SS</v>
      </c>
      <c r="S152" t="str">
        <f t="shared" ca="1" si="13"/>
        <v>SK</v>
      </c>
      <c r="T152" t="str">
        <f t="shared" ca="1" si="13"/>
        <v>--</v>
      </c>
      <c r="U152" t="str">
        <f t="shared" ca="1" si="13"/>
        <v>--</v>
      </c>
      <c r="V152" t="str">
        <f t="shared" ca="1" si="13"/>
        <v>--</v>
      </c>
      <c r="W152" t="str">
        <f t="shared" ca="1" si="13"/>
        <v>--</v>
      </c>
      <c r="X152" t="str">
        <f t="shared" ca="1" si="13"/>
        <v>--</v>
      </c>
      <c r="Y152" t="str">
        <f t="shared" ca="1" si="13"/>
        <v>SS</v>
      </c>
      <c r="Z152" t="str">
        <f t="shared" ca="1" si="13"/>
        <v>SK</v>
      </c>
      <c r="AA152" t="str">
        <f t="shared" ca="1" si="13"/>
        <v>--</v>
      </c>
      <c r="AB152" t="str">
        <f t="shared" ca="1" si="13"/>
        <v>--</v>
      </c>
      <c r="AC152" t="str">
        <f t="shared" ca="1" si="13"/>
        <v>--</v>
      </c>
      <c r="AD152" t="str">
        <f t="shared" ca="1" si="13"/>
        <v>--</v>
      </c>
      <c r="AE152" t="str">
        <f t="shared" ca="1" si="13"/>
        <v>--</v>
      </c>
      <c r="AF152" t="str">
        <f t="shared" ca="1" si="13"/>
        <v>SS</v>
      </c>
    </row>
    <row r="153" spans="1:32">
      <c r="A153" s="161">
        <f>ROW(Gegužė!A254)-1</f>
        <v>253</v>
      </c>
      <c r="B153" s="161">
        <f>ROW(Gegužė!$A11)-1</f>
        <v>10</v>
      </c>
      <c r="C153" s="161">
        <f>ROW(Gegužė!$A19)-1</f>
        <v>18</v>
      </c>
      <c r="D153" s="161">
        <f>ROW(Gegužė!$A27)-1</f>
        <v>26</v>
      </c>
      <c r="E153" s="161">
        <f>ROW(Gegužė!$A35)-1</f>
        <v>34</v>
      </c>
      <c r="F153" s="161">
        <f>ROW(Gegužė!$A43)-1</f>
        <v>42</v>
      </c>
      <c r="G153" s="161">
        <f>ROW(Gegužė!$A51)-1</f>
        <v>50</v>
      </c>
      <c r="H153" s="161">
        <f>ROW(Gegužė!$A59)-1</f>
        <v>58</v>
      </c>
      <c r="I153" s="161">
        <f>ROW(Gegužė!$A67)-1</f>
        <v>66</v>
      </c>
      <c r="J153" s="161">
        <f>ROW(Gegužė!$A75)-1</f>
        <v>74</v>
      </c>
      <c r="K153" s="161">
        <f>ROW(Gegužė!$A83)-1</f>
        <v>82</v>
      </c>
      <c r="L153" s="161">
        <f>ROW(Gegužė!$A91)-1</f>
        <v>90</v>
      </c>
      <c r="M153" s="161">
        <f>ROW(Gegužė!$A99)-1</f>
        <v>98</v>
      </c>
      <c r="N153" s="161">
        <f>ROW(Gegužė!$A107)-1</f>
        <v>106</v>
      </c>
      <c r="O153" s="161">
        <f>ROW(Gegužė!$A115)-1</f>
        <v>114</v>
      </c>
      <c r="P153" s="161">
        <f>ROW(Gegužė!$A123)-1</f>
        <v>122</v>
      </c>
      <c r="Q153" s="161">
        <f>ROW(Gegužė!$A131)-1</f>
        <v>130</v>
      </c>
      <c r="R153" s="161">
        <f>ROW(Gegužė!$A139)-1</f>
        <v>138</v>
      </c>
      <c r="S153" s="161">
        <f>ROW(Gegužė!$A147)-1</f>
        <v>146</v>
      </c>
      <c r="T153" s="161">
        <f>ROW(Gegužė!$A155)-1</f>
        <v>154</v>
      </c>
      <c r="U153" s="161">
        <f>ROW(Gegužė!$A163)-1</f>
        <v>162</v>
      </c>
      <c r="V153" s="161">
        <f>ROW(Gegužė!$A171)-1</f>
        <v>170</v>
      </c>
      <c r="W153" s="161">
        <f>ROW(Gegužė!$A179)-1</f>
        <v>178</v>
      </c>
      <c r="X153" s="161">
        <f>ROW(Gegužė!$A187)-1</f>
        <v>186</v>
      </c>
      <c r="Y153" s="161">
        <f>ROW(Gegužė!$A195)-1</f>
        <v>194</v>
      </c>
      <c r="Z153" s="161">
        <f>ROW(Gegužė!$A203)-1</f>
        <v>202</v>
      </c>
      <c r="AA153" s="161">
        <f>ROW(Gegužė!$A211)-1</f>
        <v>210</v>
      </c>
      <c r="AB153" s="161">
        <f>ROW(Gegužė!$A219)-1</f>
        <v>218</v>
      </c>
      <c r="AC153" s="161">
        <f>ROW(Gegužė!$A227)-1</f>
        <v>226</v>
      </c>
      <c r="AD153" s="161">
        <f>ROW(Gegužė!$A235)-1</f>
        <v>234</v>
      </c>
      <c r="AE153" s="161">
        <f>ROW(Gegužė!$A243)-1</f>
        <v>242</v>
      </c>
      <c r="AF153" s="161">
        <f>ROW(Gegužė!$A251)-1</f>
        <v>250</v>
      </c>
    </row>
    <row r="159" spans="1:32">
      <c r="A159" t="s">
        <v>127</v>
      </c>
      <c r="B159" t="s">
        <v>142</v>
      </c>
      <c r="C159" t="s">
        <v>141</v>
      </c>
      <c r="F159" t="s">
        <v>140</v>
      </c>
    </row>
    <row r="160" spans="1:32">
      <c r="A160">
        <f>Dinamika!$B$1</f>
        <v>2025</v>
      </c>
      <c r="B160">
        <v>6</v>
      </c>
      <c r="C160">
        <f>DAY(EOMONTH(DATE(A160,B160,1),0))</f>
        <v>30</v>
      </c>
      <c r="F160" t="str">
        <f>CHOOSE($B160,$B$1,$B$2,$B$3,$B$4,$B$5,$B$6,$B$7,$B$8,$B$9,$B$10,$B$11,$B$12)</f>
        <v>Birželis</v>
      </c>
    </row>
    <row r="161" spans="1:32">
      <c r="A161" t="str">
        <f>CHOOSE($B160,$B$1,$B$2,$B$3,$B$4,$B$5,$B$6,$B$7,$B$8,$B$9,$B$10,$B$11,$B$12)</f>
        <v>Birželis</v>
      </c>
      <c r="B161">
        <v>1</v>
      </c>
      <c r="C161">
        <f>B161+1</f>
        <v>2</v>
      </c>
      <c r="D161">
        <f t="shared" ref="D161:T161" si="14">C161+1</f>
        <v>3</v>
      </c>
      <c r="E161">
        <f t="shared" si="14"/>
        <v>4</v>
      </c>
      <c r="F161">
        <f t="shared" si="14"/>
        <v>5</v>
      </c>
      <c r="G161">
        <f t="shared" si="14"/>
        <v>6</v>
      </c>
      <c r="H161">
        <f t="shared" si="14"/>
        <v>7</v>
      </c>
      <c r="I161">
        <f t="shared" si="14"/>
        <v>8</v>
      </c>
      <c r="J161">
        <f t="shared" si="14"/>
        <v>9</v>
      </c>
      <c r="K161">
        <f t="shared" si="14"/>
        <v>10</v>
      </c>
      <c r="L161">
        <f t="shared" si="14"/>
        <v>11</v>
      </c>
      <c r="M161">
        <f t="shared" si="14"/>
        <v>12</v>
      </c>
      <c r="N161">
        <f t="shared" si="14"/>
        <v>13</v>
      </c>
      <c r="O161">
        <f t="shared" si="14"/>
        <v>14</v>
      </c>
      <c r="P161">
        <f t="shared" si="14"/>
        <v>15</v>
      </c>
      <c r="Q161">
        <f t="shared" si="14"/>
        <v>16</v>
      </c>
      <c r="R161">
        <f t="shared" si="14"/>
        <v>17</v>
      </c>
      <c r="S161">
        <f t="shared" si="14"/>
        <v>18</v>
      </c>
      <c r="T161">
        <f t="shared" si="14"/>
        <v>19</v>
      </c>
      <c r="U161">
        <f>T161+1</f>
        <v>20</v>
      </c>
      <c r="V161">
        <f t="shared" ref="V161:AC161" si="15">U161+1</f>
        <v>21</v>
      </c>
      <c r="W161">
        <f t="shared" si="15"/>
        <v>22</v>
      </c>
      <c r="X161">
        <f t="shared" si="15"/>
        <v>23</v>
      </c>
      <c r="Y161">
        <f t="shared" si="15"/>
        <v>24</v>
      </c>
      <c r="Z161">
        <f t="shared" si="15"/>
        <v>25</v>
      </c>
      <c r="AA161">
        <f t="shared" si="15"/>
        <v>26</v>
      </c>
      <c r="AB161">
        <f t="shared" si="15"/>
        <v>27</v>
      </c>
      <c r="AC161">
        <f t="shared" si="15"/>
        <v>28</v>
      </c>
      <c r="AD161">
        <f>IF(ABS(AC161)&lt;$C160,AC161+1,-AC161+1)</f>
        <v>29</v>
      </c>
      <c r="AE161">
        <f>IF(ABS(AD161)&lt;$C160,AD161+1,-AD161+1)</f>
        <v>30</v>
      </c>
      <c r="AF161">
        <f>IF(ABS(AE161)&lt;$C160,AE161+1,-AE161+1)</f>
        <v>-29</v>
      </c>
    </row>
    <row r="162" spans="1:32">
      <c r="A162" t="str">
        <f>A161</f>
        <v>Birželis</v>
      </c>
      <c r="B162" t="str">
        <f t="shared" ref="B162:AF162" ca="1" si="16">IF(B161&gt;0,IF(OR(OFFSET($I$1,$B160-1,0)=B161,OFFSET($I$1,$B160-1,1)=B161,OFFSET($I$1,$B160-1,2)=B161),"SV",CHOOSE(WEEKDAY(DATE($A160,$B160,B161),2),"--","--","--","--","--","SS","SK")),"XX")</f>
        <v>SK</v>
      </c>
      <c r="C162" t="str">
        <f t="shared" ca="1" si="16"/>
        <v>--</v>
      </c>
      <c r="D162" t="str">
        <f t="shared" ca="1" si="16"/>
        <v>--</v>
      </c>
      <c r="E162" t="str">
        <f t="shared" ca="1" si="16"/>
        <v>--</v>
      </c>
      <c r="F162" t="str">
        <f t="shared" ca="1" si="16"/>
        <v>--</v>
      </c>
      <c r="G162" t="str">
        <f t="shared" ca="1" si="16"/>
        <v>--</v>
      </c>
      <c r="H162" t="str">
        <f t="shared" ca="1" si="16"/>
        <v>SS</v>
      </c>
      <c r="I162" t="str">
        <f t="shared" ca="1" si="16"/>
        <v>SK</v>
      </c>
      <c r="J162" t="str">
        <f t="shared" ca="1" si="16"/>
        <v>--</v>
      </c>
      <c r="K162" t="str">
        <f t="shared" ca="1" si="16"/>
        <v>--</v>
      </c>
      <c r="L162" t="str">
        <f t="shared" ca="1" si="16"/>
        <v>--</v>
      </c>
      <c r="M162" t="str">
        <f t="shared" ca="1" si="16"/>
        <v>--</v>
      </c>
      <c r="N162" t="str">
        <f t="shared" ca="1" si="16"/>
        <v>--</v>
      </c>
      <c r="O162" t="str">
        <f t="shared" ca="1" si="16"/>
        <v>SS</v>
      </c>
      <c r="P162" t="str">
        <f t="shared" ca="1" si="16"/>
        <v>SK</v>
      </c>
      <c r="Q162" t="str">
        <f t="shared" ca="1" si="16"/>
        <v>--</v>
      </c>
      <c r="R162" t="str">
        <f t="shared" ca="1" si="16"/>
        <v>--</v>
      </c>
      <c r="S162" t="str">
        <f t="shared" ca="1" si="16"/>
        <v>--</v>
      </c>
      <c r="T162" t="str">
        <f t="shared" ca="1" si="16"/>
        <v>--</v>
      </c>
      <c r="U162" t="str">
        <f t="shared" ca="1" si="16"/>
        <v>--</v>
      </c>
      <c r="V162" t="str">
        <f t="shared" ca="1" si="16"/>
        <v>SS</v>
      </c>
      <c r="W162" t="str">
        <f t="shared" ca="1" si="16"/>
        <v>SK</v>
      </c>
      <c r="X162" t="str">
        <f t="shared" ca="1" si="16"/>
        <v>--</v>
      </c>
      <c r="Y162" t="str">
        <f t="shared" ca="1" si="16"/>
        <v>--</v>
      </c>
      <c r="Z162" t="str">
        <f t="shared" ca="1" si="16"/>
        <v>--</v>
      </c>
      <c r="AA162" t="str">
        <f t="shared" ca="1" si="16"/>
        <v>SV</v>
      </c>
      <c r="AB162" t="str">
        <f t="shared" ca="1" si="16"/>
        <v>--</v>
      </c>
      <c r="AC162" t="str">
        <f t="shared" ca="1" si="16"/>
        <v>SS</v>
      </c>
      <c r="AD162" t="str">
        <f t="shared" ca="1" si="16"/>
        <v>SK</v>
      </c>
      <c r="AE162" t="str">
        <f t="shared" ca="1" si="16"/>
        <v>--</v>
      </c>
      <c r="AF162" t="str">
        <f t="shared" ca="1" si="16"/>
        <v>XX</v>
      </c>
    </row>
    <row r="163" spans="1:32">
      <c r="A163" s="161">
        <f>ROW(Birželis!A254)-1</f>
        <v>253</v>
      </c>
      <c r="B163">
        <f>ROW(Birželis!$A11)-1</f>
        <v>10</v>
      </c>
      <c r="C163" s="161">
        <f>ROW(Birželis!$A19)-1</f>
        <v>18</v>
      </c>
      <c r="D163" s="161">
        <f>ROW(Birželis!$A27)-1</f>
        <v>26</v>
      </c>
      <c r="E163" s="161">
        <f>ROW(Birželis!$A35)-1</f>
        <v>34</v>
      </c>
      <c r="F163" s="161">
        <f>ROW(Birželis!$A43)-1</f>
        <v>42</v>
      </c>
      <c r="G163" s="161">
        <f>ROW(Birželis!$A51)-1</f>
        <v>50</v>
      </c>
      <c r="H163" s="161">
        <f>ROW(Birželis!$A59)-1</f>
        <v>58</v>
      </c>
      <c r="I163" s="161">
        <f>ROW(Birželis!$A67)-1</f>
        <v>66</v>
      </c>
      <c r="J163" s="161">
        <f>ROW(Birželis!$A75)-1</f>
        <v>74</v>
      </c>
      <c r="K163" s="161">
        <f>ROW(Birželis!$A83)-1</f>
        <v>82</v>
      </c>
      <c r="L163" s="161">
        <f>ROW(Birželis!$A91)-1</f>
        <v>90</v>
      </c>
      <c r="M163" s="161">
        <f>ROW(Birželis!$A99)-1</f>
        <v>98</v>
      </c>
      <c r="N163" s="161">
        <f>ROW(Birželis!$A107)-1</f>
        <v>106</v>
      </c>
      <c r="O163" s="161">
        <f>ROW(Birželis!$A115)-1</f>
        <v>114</v>
      </c>
      <c r="P163" s="161">
        <f>ROW(Birželis!$A123)-1</f>
        <v>122</v>
      </c>
      <c r="Q163" s="161">
        <f>ROW(Birželis!$A131)-1</f>
        <v>130</v>
      </c>
      <c r="R163" s="161">
        <f>ROW(Birželis!$A139)-1</f>
        <v>138</v>
      </c>
      <c r="S163" s="161">
        <f>ROW(Birželis!$A147)-1</f>
        <v>146</v>
      </c>
      <c r="T163" s="161">
        <f>ROW(Birželis!$A155)-1</f>
        <v>154</v>
      </c>
      <c r="U163" s="161">
        <f>ROW(Birželis!$A163)-1</f>
        <v>162</v>
      </c>
      <c r="V163" s="161">
        <f>ROW(Birželis!$A171)-1</f>
        <v>170</v>
      </c>
      <c r="W163" s="161">
        <f>ROW(Birželis!$A179)-1</f>
        <v>178</v>
      </c>
      <c r="X163" s="161">
        <f>ROW(Birželis!$A187)-1</f>
        <v>186</v>
      </c>
      <c r="Y163" s="161">
        <f>ROW(Birželis!$A195)-1</f>
        <v>194</v>
      </c>
      <c r="Z163" s="161">
        <f>ROW(Birželis!$A203)-1</f>
        <v>202</v>
      </c>
      <c r="AA163" s="161">
        <f>ROW(Birželis!$A211)-1</f>
        <v>210</v>
      </c>
      <c r="AB163" s="161">
        <f>ROW(Birželis!$A219)-1</f>
        <v>218</v>
      </c>
      <c r="AC163" s="161">
        <f>ROW(Birželis!$A227)-1</f>
        <v>226</v>
      </c>
      <c r="AD163" s="161">
        <f>ROW(Birželis!$A235)-1</f>
        <v>234</v>
      </c>
      <c r="AE163" s="161">
        <f>ROW(Birželis!$A243)-1</f>
        <v>242</v>
      </c>
      <c r="AF163" s="161">
        <f>ROW(Birželis!$A251)-1</f>
        <v>250</v>
      </c>
    </row>
    <row r="169" spans="1:32">
      <c r="A169" t="s">
        <v>127</v>
      </c>
      <c r="B169" t="s">
        <v>142</v>
      </c>
      <c r="C169" t="s">
        <v>141</v>
      </c>
      <c r="F169" t="s">
        <v>140</v>
      </c>
    </row>
    <row r="170" spans="1:32">
      <c r="A170">
        <f>Dinamika!$B$1</f>
        <v>2025</v>
      </c>
      <c r="B170">
        <v>7</v>
      </c>
      <c r="C170">
        <f>DAY(EOMONTH(DATE(A170,B170,1),0))</f>
        <v>31</v>
      </c>
      <c r="F170" t="str">
        <f>CHOOSE($B170,$B$1,$B$2,$B$3,$B$4,$B$5,$B$6,$B$7,$B$8,$B$9,$B$10,$B$11,$B$12)</f>
        <v>Liepa</v>
      </c>
    </row>
    <row r="171" spans="1:32">
      <c r="A171" t="str">
        <f>CHOOSE($B170,$B$1,$B$2,$B$3,$B$4,$B$5,$B$6,$B$7,$B$8,$B$9,$B$10,$B$11,$B$12)</f>
        <v>Liepa</v>
      </c>
      <c r="B171">
        <v>1</v>
      </c>
      <c r="C171">
        <f>B171+1</f>
        <v>2</v>
      </c>
      <c r="D171">
        <f t="shared" ref="D171:T171" si="17">C171+1</f>
        <v>3</v>
      </c>
      <c r="E171">
        <f t="shared" si="17"/>
        <v>4</v>
      </c>
      <c r="F171">
        <f t="shared" si="17"/>
        <v>5</v>
      </c>
      <c r="G171">
        <f t="shared" si="17"/>
        <v>6</v>
      </c>
      <c r="H171">
        <f t="shared" si="17"/>
        <v>7</v>
      </c>
      <c r="I171">
        <f t="shared" si="17"/>
        <v>8</v>
      </c>
      <c r="J171">
        <f t="shared" si="17"/>
        <v>9</v>
      </c>
      <c r="K171">
        <f t="shared" si="17"/>
        <v>10</v>
      </c>
      <c r="L171">
        <f t="shared" si="17"/>
        <v>11</v>
      </c>
      <c r="M171">
        <f t="shared" si="17"/>
        <v>12</v>
      </c>
      <c r="N171">
        <f t="shared" si="17"/>
        <v>13</v>
      </c>
      <c r="O171">
        <f t="shared" si="17"/>
        <v>14</v>
      </c>
      <c r="P171">
        <f t="shared" si="17"/>
        <v>15</v>
      </c>
      <c r="Q171">
        <f t="shared" si="17"/>
        <v>16</v>
      </c>
      <c r="R171">
        <f t="shared" si="17"/>
        <v>17</v>
      </c>
      <c r="S171">
        <f t="shared" si="17"/>
        <v>18</v>
      </c>
      <c r="T171">
        <f t="shared" si="17"/>
        <v>19</v>
      </c>
      <c r="U171">
        <f>T171+1</f>
        <v>20</v>
      </c>
      <c r="V171">
        <f t="shared" ref="V171:AC171" si="18">U171+1</f>
        <v>21</v>
      </c>
      <c r="W171">
        <f t="shared" si="18"/>
        <v>22</v>
      </c>
      <c r="X171">
        <f t="shared" si="18"/>
        <v>23</v>
      </c>
      <c r="Y171">
        <f t="shared" si="18"/>
        <v>24</v>
      </c>
      <c r="Z171">
        <f t="shared" si="18"/>
        <v>25</v>
      </c>
      <c r="AA171">
        <f t="shared" si="18"/>
        <v>26</v>
      </c>
      <c r="AB171">
        <f t="shared" si="18"/>
        <v>27</v>
      </c>
      <c r="AC171">
        <f t="shared" si="18"/>
        <v>28</v>
      </c>
      <c r="AD171">
        <f>IF(ABS(AC171)&lt;$C170,AC171+1,-AC171+1)</f>
        <v>29</v>
      </c>
      <c r="AE171">
        <f>IF(ABS(AD171)&lt;$C170,AD171+1,-AD171+1)</f>
        <v>30</v>
      </c>
      <c r="AF171">
        <f>IF(ABS(AE171)&lt;$C170,AE171+1,-AE171+1)</f>
        <v>31</v>
      </c>
    </row>
    <row r="172" spans="1:32">
      <c r="A172" t="str">
        <f>A171</f>
        <v>Liepa</v>
      </c>
      <c r="B172" t="str">
        <f t="shared" ref="B172:AF172" ca="1" si="19">IF(B171&gt;0,IF(OR(OFFSET($I$1,$B170-1,0)=B171,OFFSET($I$1,$B170-1,1)=B171,OFFSET($I$1,$B170-1,2)=B171),"SV",CHOOSE(WEEKDAY(DATE($A170,$B170,B171),2),"--","--","--","--","--","SS","SK")),"XX")</f>
        <v>--</v>
      </c>
      <c r="C172" t="str">
        <f t="shared" ca="1" si="19"/>
        <v>--</v>
      </c>
      <c r="D172" t="str">
        <f t="shared" ca="1" si="19"/>
        <v>--</v>
      </c>
      <c r="E172" t="str">
        <f t="shared" ca="1" si="19"/>
        <v>--</v>
      </c>
      <c r="F172" t="str">
        <f t="shared" ca="1" si="19"/>
        <v>SS</v>
      </c>
      <c r="G172" t="str">
        <f t="shared" ca="1" si="19"/>
        <v>SV</v>
      </c>
      <c r="H172" t="str">
        <f t="shared" ca="1" si="19"/>
        <v>--</v>
      </c>
      <c r="I172" t="str">
        <f t="shared" ca="1" si="19"/>
        <v>--</v>
      </c>
      <c r="J172" t="str">
        <f t="shared" ca="1" si="19"/>
        <v>--</v>
      </c>
      <c r="K172" t="str">
        <f t="shared" ca="1" si="19"/>
        <v>--</v>
      </c>
      <c r="L172" t="str">
        <f t="shared" ca="1" si="19"/>
        <v>--</v>
      </c>
      <c r="M172" t="str">
        <f t="shared" ca="1" si="19"/>
        <v>SS</v>
      </c>
      <c r="N172" t="str">
        <f t="shared" ca="1" si="19"/>
        <v>SK</v>
      </c>
      <c r="O172" t="str">
        <f t="shared" ca="1" si="19"/>
        <v>--</v>
      </c>
      <c r="P172" t="str">
        <f t="shared" ca="1" si="19"/>
        <v>--</v>
      </c>
      <c r="Q172" t="str">
        <f t="shared" ca="1" si="19"/>
        <v>--</v>
      </c>
      <c r="R172" t="str">
        <f t="shared" ca="1" si="19"/>
        <v>--</v>
      </c>
      <c r="S172" t="str">
        <f t="shared" ca="1" si="19"/>
        <v>--</v>
      </c>
      <c r="T172" t="str">
        <f t="shared" ca="1" si="19"/>
        <v>SS</v>
      </c>
      <c r="U172" t="str">
        <f t="shared" ca="1" si="19"/>
        <v>SK</v>
      </c>
      <c r="V172" t="str">
        <f t="shared" ca="1" si="19"/>
        <v>--</v>
      </c>
      <c r="W172" t="str">
        <f t="shared" ca="1" si="19"/>
        <v>--</v>
      </c>
      <c r="X172" t="str">
        <f t="shared" ca="1" si="19"/>
        <v>--</v>
      </c>
      <c r="Y172" t="str">
        <f t="shared" ca="1" si="19"/>
        <v>--</v>
      </c>
      <c r="Z172" t="str">
        <f t="shared" ca="1" si="19"/>
        <v>--</v>
      </c>
      <c r="AA172" t="str">
        <f t="shared" ca="1" si="19"/>
        <v>SS</v>
      </c>
      <c r="AB172" t="str">
        <f t="shared" ca="1" si="19"/>
        <v>SK</v>
      </c>
      <c r="AC172" t="str">
        <f t="shared" ca="1" si="19"/>
        <v>--</v>
      </c>
      <c r="AD172" t="str">
        <f t="shared" ca="1" si="19"/>
        <v>--</v>
      </c>
      <c r="AE172" t="str">
        <f t="shared" ca="1" si="19"/>
        <v>--</v>
      </c>
      <c r="AF172" t="str">
        <f t="shared" ca="1" si="19"/>
        <v>--</v>
      </c>
    </row>
    <row r="173" spans="1:32">
      <c r="A173" s="161">
        <f>ROW(Liepa!A254)-1</f>
        <v>253</v>
      </c>
      <c r="B173" s="161">
        <f>ROW(Liepa!$A11)-1</f>
        <v>10</v>
      </c>
      <c r="C173" s="161">
        <f>ROW(Liepa!$A19)-1</f>
        <v>18</v>
      </c>
      <c r="D173" s="161">
        <f>ROW(Liepa!$A27)-1</f>
        <v>26</v>
      </c>
      <c r="E173" s="161">
        <f>ROW(Liepa!$A35)-1</f>
        <v>34</v>
      </c>
      <c r="F173" s="161">
        <f>ROW(Liepa!$A43)-1</f>
        <v>42</v>
      </c>
      <c r="G173" s="161">
        <f>ROW(Liepa!$A51)-1</f>
        <v>50</v>
      </c>
      <c r="H173" s="161">
        <f>ROW(Liepa!$A59)-1</f>
        <v>58</v>
      </c>
      <c r="I173" s="161">
        <f>ROW(Liepa!$A67)-1</f>
        <v>66</v>
      </c>
      <c r="J173" s="161">
        <f>ROW(Liepa!$A75)-1</f>
        <v>74</v>
      </c>
      <c r="K173" s="161">
        <f>ROW(Liepa!$A83)-1</f>
        <v>82</v>
      </c>
      <c r="L173" s="161">
        <f>ROW(Liepa!$A91)-1</f>
        <v>90</v>
      </c>
      <c r="M173" s="161">
        <f>ROW(Liepa!$A99)-1</f>
        <v>98</v>
      </c>
      <c r="N173" s="161">
        <f>ROW(Liepa!$A107)-1</f>
        <v>106</v>
      </c>
      <c r="O173" s="161">
        <f>ROW(Liepa!$A115)-1</f>
        <v>114</v>
      </c>
      <c r="P173" s="161">
        <f>ROW(Liepa!$A123)-1</f>
        <v>122</v>
      </c>
      <c r="Q173" s="161">
        <f>ROW(Liepa!$A131)-1</f>
        <v>130</v>
      </c>
      <c r="R173" s="161">
        <f>ROW(Liepa!$A139)-1</f>
        <v>138</v>
      </c>
      <c r="S173" s="161">
        <f>ROW(Liepa!$A147)-1</f>
        <v>146</v>
      </c>
      <c r="T173" s="161">
        <f>ROW(Liepa!$A155)-1</f>
        <v>154</v>
      </c>
      <c r="U173" s="161">
        <f>ROW(Liepa!$A163)-1</f>
        <v>162</v>
      </c>
      <c r="V173" s="161">
        <f>ROW(Liepa!$A171)-1</f>
        <v>170</v>
      </c>
      <c r="W173" s="161">
        <f>ROW(Liepa!$A179)-1</f>
        <v>178</v>
      </c>
      <c r="X173" s="161">
        <f>ROW(Liepa!$A187)-1</f>
        <v>186</v>
      </c>
      <c r="Y173" s="161">
        <f>ROW(Liepa!$A195)-1</f>
        <v>194</v>
      </c>
      <c r="Z173" s="161">
        <f>ROW(Liepa!$A203)-1</f>
        <v>202</v>
      </c>
      <c r="AA173" s="161">
        <f>ROW(Liepa!$A211)-1</f>
        <v>210</v>
      </c>
      <c r="AB173" s="161">
        <f>ROW(Liepa!$A219)-1</f>
        <v>218</v>
      </c>
      <c r="AC173" s="161">
        <f>ROW(Liepa!$A227)-1</f>
        <v>226</v>
      </c>
      <c r="AD173" s="161">
        <f>ROW(Liepa!$A235)-1</f>
        <v>234</v>
      </c>
      <c r="AE173" s="161">
        <f>ROW(Liepa!$A243)-1</f>
        <v>242</v>
      </c>
      <c r="AF173" s="161">
        <f>ROW(Liepa!$A251)-1</f>
        <v>250</v>
      </c>
    </row>
    <row r="179" spans="1:32">
      <c r="A179" t="s">
        <v>127</v>
      </c>
      <c r="B179" t="s">
        <v>142</v>
      </c>
      <c r="C179" t="s">
        <v>141</v>
      </c>
      <c r="F179" t="s">
        <v>140</v>
      </c>
    </row>
    <row r="180" spans="1:32">
      <c r="A180">
        <f>Dinamika!$B$1</f>
        <v>2025</v>
      </c>
      <c r="B180">
        <v>8</v>
      </c>
      <c r="C180">
        <f>DAY(EOMONTH(DATE(A180,B180,1),0))</f>
        <v>31</v>
      </c>
      <c r="F180" t="str">
        <f>CHOOSE($B180,$B$1,$B$2,$B$3,$B$4,$B$5,$B$6,$B$7,$B$8,$B$9,$B$10,$B$11,$B$12)</f>
        <v>Rugpjūtis</v>
      </c>
    </row>
    <row r="181" spans="1:32">
      <c r="A181" t="str">
        <f>CHOOSE($B180,$B$1,$B$2,$B$3,$B$4,$B$5,$B$6,$B$7,$B$8,$B$9,$B$10,$B$11,$B$12)</f>
        <v>Rugpjūtis</v>
      </c>
      <c r="B181">
        <v>1</v>
      </c>
      <c r="C181">
        <f>B181+1</f>
        <v>2</v>
      </c>
      <c r="D181">
        <f t="shared" ref="D181:T181" si="20">C181+1</f>
        <v>3</v>
      </c>
      <c r="E181">
        <f t="shared" si="20"/>
        <v>4</v>
      </c>
      <c r="F181">
        <f t="shared" si="20"/>
        <v>5</v>
      </c>
      <c r="G181">
        <f t="shared" si="20"/>
        <v>6</v>
      </c>
      <c r="H181">
        <f t="shared" si="20"/>
        <v>7</v>
      </c>
      <c r="I181">
        <f t="shared" si="20"/>
        <v>8</v>
      </c>
      <c r="J181">
        <f t="shared" si="20"/>
        <v>9</v>
      </c>
      <c r="K181">
        <f t="shared" si="20"/>
        <v>10</v>
      </c>
      <c r="L181">
        <f t="shared" si="20"/>
        <v>11</v>
      </c>
      <c r="M181">
        <f t="shared" si="20"/>
        <v>12</v>
      </c>
      <c r="N181">
        <f t="shared" si="20"/>
        <v>13</v>
      </c>
      <c r="O181">
        <f t="shared" si="20"/>
        <v>14</v>
      </c>
      <c r="P181">
        <f t="shared" si="20"/>
        <v>15</v>
      </c>
      <c r="Q181">
        <f t="shared" si="20"/>
        <v>16</v>
      </c>
      <c r="R181">
        <f t="shared" si="20"/>
        <v>17</v>
      </c>
      <c r="S181">
        <f t="shared" si="20"/>
        <v>18</v>
      </c>
      <c r="T181">
        <f t="shared" si="20"/>
        <v>19</v>
      </c>
      <c r="U181">
        <f>T181+1</f>
        <v>20</v>
      </c>
      <c r="V181">
        <f t="shared" ref="V181:AC181" si="21">U181+1</f>
        <v>21</v>
      </c>
      <c r="W181">
        <f t="shared" si="21"/>
        <v>22</v>
      </c>
      <c r="X181">
        <f t="shared" si="21"/>
        <v>23</v>
      </c>
      <c r="Y181">
        <f t="shared" si="21"/>
        <v>24</v>
      </c>
      <c r="Z181">
        <f t="shared" si="21"/>
        <v>25</v>
      </c>
      <c r="AA181">
        <f t="shared" si="21"/>
        <v>26</v>
      </c>
      <c r="AB181">
        <f t="shared" si="21"/>
        <v>27</v>
      </c>
      <c r="AC181">
        <f t="shared" si="21"/>
        <v>28</v>
      </c>
      <c r="AD181">
        <f>IF(ABS(AC181)&lt;$C180,AC181+1,-AC181+1)</f>
        <v>29</v>
      </c>
      <c r="AE181">
        <f>IF(ABS(AD181)&lt;$C180,AD181+1,-AD181+1)</f>
        <v>30</v>
      </c>
      <c r="AF181">
        <f>IF(ABS(AE181)&lt;$C180,AE181+1,-AE181+1)</f>
        <v>31</v>
      </c>
    </row>
    <row r="182" spans="1:32">
      <c r="A182" t="str">
        <f>A181</f>
        <v>Rugpjūtis</v>
      </c>
      <c r="B182" t="str">
        <f t="shared" ref="B182:AF182" ca="1" si="22">IF(B181&gt;0,IF(OR(OFFSET($I$1,$B180-1,0)=B181,OFFSET($I$1,$B180-1,1)=B181,OFFSET($I$1,$B180-1,2)=B181),"SV",CHOOSE(WEEKDAY(DATE($A180,$B180,B181),2),"--","--","--","--","--","SS","SK")),"XX")</f>
        <v>--</v>
      </c>
      <c r="C182" t="str">
        <f t="shared" ca="1" si="22"/>
        <v>SS</v>
      </c>
      <c r="D182" t="str">
        <f t="shared" ca="1" si="22"/>
        <v>SK</v>
      </c>
      <c r="E182" t="str">
        <f t="shared" ca="1" si="22"/>
        <v>--</v>
      </c>
      <c r="F182" t="str">
        <f t="shared" ca="1" si="22"/>
        <v>--</v>
      </c>
      <c r="G182" t="str">
        <f t="shared" ca="1" si="22"/>
        <v>--</v>
      </c>
      <c r="H182" t="str">
        <f t="shared" ca="1" si="22"/>
        <v>--</v>
      </c>
      <c r="I182" t="str">
        <f t="shared" ca="1" si="22"/>
        <v>--</v>
      </c>
      <c r="J182" t="str">
        <f t="shared" ca="1" si="22"/>
        <v>SS</v>
      </c>
      <c r="K182" t="str">
        <f t="shared" ca="1" si="22"/>
        <v>SK</v>
      </c>
      <c r="L182" t="str">
        <f t="shared" ca="1" si="22"/>
        <v>--</v>
      </c>
      <c r="M182" t="str">
        <f t="shared" ca="1" si="22"/>
        <v>--</v>
      </c>
      <c r="N182" t="str">
        <f t="shared" ca="1" si="22"/>
        <v>--</v>
      </c>
      <c r="O182" t="str">
        <f t="shared" ca="1" si="22"/>
        <v>--</v>
      </c>
      <c r="P182" t="str">
        <f t="shared" ca="1" si="22"/>
        <v>SV</v>
      </c>
      <c r="Q182" t="str">
        <f t="shared" ca="1" si="22"/>
        <v>SS</v>
      </c>
      <c r="R182" t="str">
        <f t="shared" ca="1" si="22"/>
        <v>SK</v>
      </c>
      <c r="S182" t="str">
        <f t="shared" ca="1" si="22"/>
        <v>--</v>
      </c>
      <c r="T182" t="str">
        <f t="shared" ca="1" si="22"/>
        <v>--</v>
      </c>
      <c r="U182" t="str">
        <f t="shared" ca="1" si="22"/>
        <v>--</v>
      </c>
      <c r="V182" t="str">
        <f t="shared" ca="1" si="22"/>
        <v>--</v>
      </c>
      <c r="W182" t="str">
        <f t="shared" ca="1" si="22"/>
        <v>--</v>
      </c>
      <c r="X182" t="str">
        <f t="shared" ca="1" si="22"/>
        <v>SS</v>
      </c>
      <c r="Y182" t="str">
        <f t="shared" ca="1" si="22"/>
        <v>SK</v>
      </c>
      <c r="Z182" t="str">
        <f t="shared" ca="1" si="22"/>
        <v>--</v>
      </c>
      <c r="AA182" t="str">
        <f t="shared" ca="1" si="22"/>
        <v>--</v>
      </c>
      <c r="AB182" t="str">
        <f t="shared" ca="1" si="22"/>
        <v>--</v>
      </c>
      <c r="AC182" t="str">
        <f t="shared" ca="1" si="22"/>
        <v>--</v>
      </c>
      <c r="AD182" t="str">
        <f t="shared" ca="1" si="22"/>
        <v>--</v>
      </c>
      <c r="AE182" t="str">
        <f t="shared" ca="1" si="22"/>
        <v>SS</v>
      </c>
      <c r="AF182" t="str">
        <f t="shared" ca="1" si="22"/>
        <v>SK</v>
      </c>
    </row>
    <row r="183" spans="1:32">
      <c r="A183" s="161">
        <f>ROW(Rugpjūtis!A254)-1</f>
        <v>253</v>
      </c>
      <c r="B183" s="161">
        <f>ROW(Rugpjūtis!$A11)-1</f>
        <v>10</v>
      </c>
      <c r="C183" s="161">
        <f>ROW(Rugpjūtis!$A19)-1</f>
        <v>18</v>
      </c>
      <c r="D183" s="161">
        <f>ROW(Rugpjūtis!$A27)-1</f>
        <v>26</v>
      </c>
      <c r="E183" s="161">
        <f>ROW(Rugpjūtis!$A35)-1</f>
        <v>34</v>
      </c>
      <c r="F183" s="161">
        <f>ROW(Rugpjūtis!$A43)-1</f>
        <v>42</v>
      </c>
      <c r="G183" s="161">
        <f>ROW(Rugpjūtis!$A51)-1</f>
        <v>50</v>
      </c>
      <c r="H183" s="161">
        <f>ROW(Rugpjūtis!$A59)-1</f>
        <v>58</v>
      </c>
      <c r="I183" s="161">
        <f>ROW(Rugpjūtis!$A67)-1</f>
        <v>66</v>
      </c>
      <c r="J183" s="161">
        <f>ROW(Rugpjūtis!$A75)-1</f>
        <v>74</v>
      </c>
      <c r="K183" s="161">
        <f>ROW(Rugpjūtis!$A83)-1</f>
        <v>82</v>
      </c>
      <c r="L183" s="161">
        <f>ROW(Rugpjūtis!$A91)-1</f>
        <v>90</v>
      </c>
      <c r="M183" s="161">
        <f>ROW(Rugpjūtis!$A99)-1</f>
        <v>98</v>
      </c>
      <c r="N183" s="161">
        <f>ROW(Rugpjūtis!$A107)-1</f>
        <v>106</v>
      </c>
      <c r="O183" s="161">
        <f>ROW(Rugpjūtis!$A115)-1</f>
        <v>114</v>
      </c>
      <c r="P183" s="161">
        <f>ROW(Rugpjūtis!$A123)-1</f>
        <v>122</v>
      </c>
      <c r="Q183" s="161">
        <f>ROW(Rugpjūtis!$A131)-1</f>
        <v>130</v>
      </c>
      <c r="R183" s="161">
        <f>ROW(Rugpjūtis!$A139)-1</f>
        <v>138</v>
      </c>
      <c r="S183" s="161">
        <f>ROW(Rugpjūtis!$A147)-1</f>
        <v>146</v>
      </c>
      <c r="T183" s="161">
        <f>ROW(Rugpjūtis!$A155)-1</f>
        <v>154</v>
      </c>
      <c r="U183" s="161">
        <f>ROW(Rugpjūtis!$A163)-1</f>
        <v>162</v>
      </c>
      <c r="V183" s="161">
        <f>ROW(Rugpjūtis!$A171)-1</f>
        <v>170</v>
      </c>
      <c r="W183" s="161">
        <f>ROW(Rugpjūtis!$A179)-1</f>
        <v>178</v>
      </c>
      <c r="X183" s="161">
        <f>ROW(Rugpjūtis!$A187)-1</f>
        <v>186</v>
      </c>
      <c r="Y183" s="161">
        <f>ROW(Rugpjūtis!$A195)-1</f>
        <v>194</v>
      </c>
      <c r="Z183" s="161">
        <f>ROW(Rugpjūtis!$A203)-1</f>
        <v>202</v>
      </c>
      <c r="AA183" s="161">
        <f>ROW(Rugpjūtis!$A211)-1</f>
        <v>210</v>
      </c>
      <c r="AB183" s="161">
        <f>ROW(Rugpjūtis!$A219)-1</f>
        <v>218</v>
      </c>
      <c r="AC183" s="161">
        <f>ROW(Rugpjūtis!$A227)-1</f>
        <v>226</v>
      </c>
      <c r="AD183" s="161">
        <f>ROW(Rugpjūtis!$A235)-1</f>
        <v>234</v>
      </c>
      <c r="AE183" s="161">
        <f>ROW(Rugpjūtis!$A243)-1</f>
        <v>242</v>
      </c>
      <c r="AF183" s="161">
        <f>ROW(Rugpjūtis!$A251)-1</f>
        <v>250</v>
      </c>
    </row>
    <row r="189" spans="1:32">
      <c r="A189" t="s">
        <v>127</v>
      </c>
      <c r="B189" t="s">
        <v>142</v>
      </c>
      <c r="C189" t="s">
        <v>141</v>
      </c>
      <c r="F189" t="s">
        <v>140</v>
      </c>
    </row>
    <row r="190" spans="1:32">
      <c r="A190">
        <f>Dinamika!$B$1</f>
        <v>2025</v>
      </c>
      <c r="B190">
        <v>9</v>
      </c>
      <c r="C190">
        <f>DAY(EOMONTH(DATE(A190,B190,1),0))</f>
        <v>30</v>
      </c>
      <c r="F190" t="str">
        <f>CHOOSE($B190,$B$1,$B$2,$B$3,$B$4,$B$5,$B$6,$B$7,$B$8,$B$9,$B$10,$B$11,$B$12)</f>
        <v>Rugsėjis</v>
      </c>
    </row>
    <row r="191" spans="1:32">
      <c r="A191" t="str">
        <f>CHOOSE($B190,$B$1,$B$2,$B$3,$B$4,$B$5,$B$6,$B$7,$B$8,$B$9,$B$10,$B$11,$B$12)</f>
        <v>Rugsėjis</v>
      </c>
      <c r="B191">
        <v>1</v>
      </c>
      <c r="C191">
        <f>B191+1</f>
        <v>2</v>
      </c>
      <c r="D191">
        <f t="shared" ref="D191:T191" si="23">C191+1</f>
        <v>3</v>
      </c>
      <c r="E191">
        <f t="shared" si="23"/>
        <v>4</v>
      </c>
      <c r="F191">
        <f t="shared" si="23"/>
        <v>5</v>
      </c>
      <c r="G191">
        <f t="shared" si="23"/>
        <v>6</v>
      </c>
      <c r="H191">
        <f t="shared" si="23"/>
        <v>7</v>
      </c>
      <c r="I191">
        <f t="shared" si="23"/>
        <v>8</v>
      </c>
      <c r="J191">
        <f t="shared" si="23"/>
        <v>9</v>
      </c>
      <c r="K191">
        <f t="shared" si="23"/>
        <v>10</v>
      </c>
      <c r="L191">
        <f t="shared" si="23"/>
        <v>11</v>
      </c>
      <c r="M191">
        <f t="shared" si="23"/>
        <v>12</v>
      </c>
      <c r="N191">
        <f t="shared" si="23"/>
        <v>13</v>
      </c>
      <c r="O191">
        <f t="shared" si="23"/>
        <v>14</v>
      </c>
      <c r="P191">
        <f t="shared" si="23"/>
        <v>15</v>
      </c>
      <c r="Q191">
        <f t="shared" si="23"/>
        <v>16</v>
      </c>
      <c r="R191">
        <f t="shared" si="23"/>
        <v>17</v>
      </c>
      <c r="S191">
        <f t="shared" si="23"/>
        <v>18</v>
      </c>
      <c r="T191">
        <f t="shared" si="23"/>
        <v>19</v>
      </c>
      <c r="U191">
        <f>T191+1</f>
        <v>20</v>
      </c>
      <c r="V191">
        <f t="shared" ref="V191:AC191" si="24">U191+1</f>
        <v>21</v>
      </c>
      <c r="W191">
        <f t="shared" si="24"/>
        <v>22</v>
      </c>
      <c r="X191">
        <f t="shared" si="24"/>
        <v>23</v>
      </c>
      <c r="Y191">
        <f t="shared" si="24"/>
        <v>24</v>
      </c>
      <c r="Z191">
        <f t="shared" si="24"/>
        <v>25</v>
      </c>
      <c r="AA191">
        <f t="shared" si="24"/>
        <v>26</v>
      </c>
      <c r="AB191">
        <f t="shared" si="24"/>
        <v>27</v>
      </c>
      <c r="AC191">
        <f t="shared" si="24"/>
        <v>28</v>
      </c>
      <c r="AD191">
        <f>IF(ABS(AC191)&lt;$C190,AC191+1,-AC191+1)</f>
        <v>29</v>
      </c>
      <c r="AE191">
        <f>IF(ABS(AD191)&lt;$C190,AD191+1,-AD191+1)</f>
        <v>30</v>
      </c>
      <c r="AF191">
        <f>IF(ABS(AE191)&lt;$C190,AE191+1,-AE191+1)</f>
        <v>-29</v>
      </c>
    </row>
    <row r="192" spans="1:32">
      <c r="A192" t="str">
        <f>A191</f>
        <v>Rugsėjis</v>
      </c>
      <c r="B192" t="str">
        <f t="shared" ref="B192:AF192" ca="1" si="25">IF(B191&gt;0,IF(OR(OFFSET($I$1,$B190-1,0)=B191,OFFSET($I$1,$B190-1,1)=B191,OFFSET($I$1,$B190-1,2)=B191),"SV",CHOOSE(WEEKDAY(DATE($A190,$B190,B191),2),"--","--","--","--","--","SS","SK")),"XX")</f>
        <v>--</v>
      </c>
      <c r="C192" t="str">
        <f t="shared" ca="1" si="25"/>
        <v>--</v>
      </c>
      <c r="D192" t="str">
        <f t="shared" ca="1" si="25"/>
        <v>--</v>
      </c>
      <c r="E192" t="str">
        <f t="shared" ca="1" si="25"/>
        <v>--</v>
      </c>
      <c r="F192" t="str">
        <f t="shared" ca="1" si="25"/>
        <v>--</v>
      </c>
      <c r="G192" t="str">
        <f t="shared" ca="1" si="25"/>
        <v>SS</v>
      </c>
      <c r="H192" t="str">
        <f t="shared" ca="1" si="25"/>
        <v>SK</v>
      </c>
      <c r="I192" t="str">
        <f t="shared" ca="1" si="25"/>
        <v>--</v>
      </c>
      <c r="J192" t="str">
        <f t="shared" ca="1" si="25"/>
        <v>--</v>
      </c>
      <c r="K192" t="str">
        <f t="shared" ca="1" si="25"/>
        <v>--</v>
      </c>
      <c r="L192" t="str">
        <f t="shared" ca="1" si="25"/>
        <v>--</v>
      </c>
      <c r="M192" t="str">
        <f t="shared" ca="1" si="25"/>
        <v>--</v>
      </c>
      <c r="N192" t="str">
        <f t="shared" ca="1" si="25"/>
        <v>SS</v>
      </c>
      <c r="O192" t="str">
        <f t="shared" ca="1" si="25"/>
        <v>SK</v>
      </c>
      <c r="P192" t="str">
        <f t="shared" ca="1" si="25"/>
        <v>--</v>
      </c>
      <c r="Q192" t="str">
        <f t="shared" ca="1" si="25"/>
        <v>--</v>
      </c>
      <c r="R192" t="str">
        <f t="shared" ca="1" si="25"/>
        <v>--</v>
      </c>
      <c r="S192" t="str">
        <f t="shared" ca="1" si="25"/>
        <v>--</v>
      </c>
      <c r="T192" t="str">
        <f t="shared" ca="1" si="25"/>
        <v>--</v>
      </c>
      <c r="U192" t="str">
        <f t="shared" ca="1" si="25"/>
        <v>SS</v>
      </c>
      <c r="V192" t="str">
        <f t="shared" ca="1" si="25"/>
        <v>SK</v>
      </c>
      <c r="W192" t="str">
        <f t="shared" ca="1" si="25"/>
        <v>--</v>
      </c>
      <c r="X192" t="str">
        <f t="shared" ca="1" si="25"/>
        <v>--</v>
      </c>
      <c r="Y192" t="str">
        <f t="shared" ca="1" si="25"/>
        <v>--</v>
      </c>
      <c r="Z192" t="str">
        <f t="shared" ca="1" si="25"/>
        <v>--</v>
      </c>
      <c r="AA192" t="str">
        <f t="shared" ca="1" si="25"/>
        <v>--</v>
      </c>
      <c r="AB192" t="str">
        <f t="shared" ca="1" si="25"/>
        <v>SS</v>
      </c>
      <c r="AC192" t="str">
        <f t="shared" ca="1" si="25"/>
        <v>SK</v>
      </c>
      <c r="AD192" t="str">
        <f t="shared" ca="1" si="25"/>
        <v>--</v>
      </c>
      <c r="AE192" t="str">
        <f t="shared" ca="1" si="25"/>
        <v>--</v>
      </c>
      <c r="AF192" t="str">
        <f t="shared" ca="1" si="25"/>
        <v>XX</v>
      </c>
    </row>
    <row r="193" spans="1:32">
      <c r="A193" s="161">
        <f>ROW(Rugsėjis!A254)-1</f>
        <v>253</v>
      </c>
      <c r="B193" s="161">
        <f>ROW(Rugsėjis!$A11)-1</f>
        <v>10</v>
      </c>
      <c r="C193" s="161">
        <f>ROW(Rugsėjis!$A19)-1</f>
        <v>18</v>
      </c>
      <c r="D193" s="161">
        <f>ROW(Rugsėjis!$A27)-1</f>
        <v>26</v>
      </c>
      <c r="E193" s="161">
        <f>ROW(Rugsėjis!$A35)-1</f>
        <v>34</v>
      </c>
      <c r="F193" s="161">
        <f>ROW(Rugsėjis!$A43)-1</f>
        <v>42</v>
      </c>
      <c r="G193" s="161">
        <f>ROW(Rugsėjis!$A51)-1</f>
        <v>50</v>
      </c>
      <c r="H193" s="161">
        <f>ROW(Rugsėjis!$A59)-1</f>
        <v>58</v>
      </c>
      <c r="I193" s="161">
        <f>ROW(Rugsėjis!$A67)-1</f>
        <v>66</v>
      </c>
      <c r="J193" s="161">
        <f>ROW(Rugsėjis!$A75)-1</f>
        <v>74</v>
      </c>
      <c r="K193" s="161">
        <f>ROW(Rugsėjis!$A83)-1</f>
        <v>82</v>
      </c>
      <c r="L193" s="161">
        <f>ROW(Rugsėjis!$A91)-1</f>
        <v>90</v>
      </c>
      <c r="M193" s="161">
        <f>ROW(Rugsėjis!$A99)-1</f>
        <v>98</v>
      </c>
      <c r="N193" s="161">
        <f>ROW(Rugsėjis!$A107)-1</f>
        <v>106</v>
      </c>
      <c r="O193" s="161">
        <f>ROW(Rugsėjis!$A115)-1</f>
        <v>114</v>
      </c>
      <c r="P193" s="161">
        <f>ROW(Rugsėjis!$A123)-1</f>
        <v>122</v>
      </c>
      <c r="Q193" s="161">
        <f>ROW(Rugsėjis!$A131)-1</f>
        <v>130</v>
      </c>
      <c r="R193" s="161">
        <f>ROW(Rugsėjis!$A139)-1</f>
        <v>138</v>
      </c>
      <c r="S193" s="161">
        <f>ROW(Rugsėjis!$A147)-1</f>
        <v>146</v>
      </c>
      <c r="T193" s="161">
        <f>ROW(Rugsėjis!$A155)-1</f>
        <v>154</v>
      </c>
      <c r="U193" s="161">
        <f>ROW(Rugsėjis!$A163)-1</f>
        <v>162</v>
      </c>
      <c r="V193" s="161">
        <f>ROW(Rugsėjis!$A171)-1</f>
        <v>170</v>
      </c>
      <c r="W193" s="161">
        <f>ROW(Rugsėjis!$A179)-1</f>
        <v>178</v>
      </c>
      <c r="X193" s="161">
        <f>ROW(Rugsėjis!$A187)-1</f>
        <v>186</v>
      </c>
      <c r="Y193" s="161">
        <f>ROW(Rugsėjis!$A195)-1</f>
        <v>194</v>
      </c>
      <c r="Z193" s="161">
        <f>ROW(Rugsėjis!$A203)-1</f>
        <v>202</v>
      </c>
      <c r="AA193" s="161">
        <f>ROW(Rugsėjis!$A211)-1</f>
        <v>210</v>
      </c>
      <c r="AB193" s="161">
        <f>ROW(Rugsėjis!$A219)-1</f>
        <v>218</v>
      </c>
      <c r="AC193" s="161">
        <f>ROW(Rugsėjis!$A227)-1</f>
        <v>226</v>
      </c>
      <c r="AD193" s="161">
        <f>ROW(Rugsėjis!$A235)-1</f>
        <v>234</v>
      </c>
      <c r="AE193" s="161">
        <f>ROW(Rugsėjis!$A243)-1</f>
        <v>242</v>
      </c>
      <c r="AF193" s="161">
        <f>ROW(Rugsėjis!$A251)-1</f>
        <v>250</v>
      </c>
    </row>
    <row r="199" spans="1:32">
      <c r="A199" t="s">
        <v>127</v>
      </c>
      <c r="B199" t="s">
        <v>142</v>
      </c>
      <c r="C199" t="s">
        <v>141</v>
      </c>
      <c r="F199" t="s">
        <v>140</v>
      </c>
    </row>
    <row r="200" spans="1:32">
      <c r="A200">
        <f>Dinamika!$B$1</f>
        <v>2025</v>
      </c>
      <c r="B200">
        <v>10</v>
      </c>
      <c r="C200">
        <f>DAY(EOMONTH(DATE(A200,B200,1),0))</f>
        <v>31</v>
      </c>
      <c r="F200" t="str">
        <f>CHOOSE($B200,$B$1,$B$2,$B$3,$B$4,$B$5,$B$6,$B$7,$B$8,$B$9,$B$10,$B$11,$B$12)</f>
        <v>Spalis</v>
      </c>
    </row>
    <row r="201" spans="1:32">
      <c r="A201" t="str">
        <f>CHOOSE($B200,$B$1,$B$2,$B$3,$B$4,$B$5,$B$6,$B$7,$B$8,$B$9,$B$10,$B$11,$B$12)</f>
        <v>Spalis</v>
      </c>
      <c r="B201">
        <v>1</v>
      </c>
      <c r="C201">
        <f>B201+1</f>
        <v>2</v>
      </c>
      <c r="D201">
        <f t="shared" ref="D201:T201" si="26">C201+1</f>
        <v>3</v>
      </c>
      <c r="E201">
        <f t="shared" si="26"/>
        <v>4</v>
      </c>
      <c r="F201">
        <f t="shared" si="26"/>
        <v>5</v>
      </c>
      <c r="G201">
        <f t="shared" si="26"/>
        <v>6</v>
      </c>
      <c r="H201">
        <f t="shared" si="26"/>
        <v>7</v>
      </c>
      <c r="I201">
        <f t="shared" si="26"/>
        <v>8</v>
      </c>
      <c r="J201">
        <f t="shared" si="26"/>
        <v>9</v>
      </c>
      <c r="K201">
        <f t="shared" si="26"/>
        <v>10</v>
      </c>
      <c r="L201">
        <f t="shared" si="26"/>
        <v>11</v>
      </c>
      <c r="M201">
        <f t="shared" si="26"/>
        <v>12</v>
      </c>
      <c r="N201">
        <f t="shared" si="26"/>
        <v>13</v>
      </c>
      <c r="O201">
        <f t="shared" si="26"/>
        <v>14</v>
      </c>
      <c r="P201">
        <f t="shared" si="26"/>
        <v>15</v>
      </c>
      <c r="Q201">
        <f t="shared" si="26"/>
        <v>16</v>
      </c>
      <c r="R201">
        <f t="shared" si="26"/>
        <v>17</v>
      </c>
      <c r="S201">
        <f t="shared" si="26"/>
        <v>18</v>
      </c>
      <c r="T201">
        <f t="shared" si="26"/>
        <v>19</v>
      </c>
      <c r="U201">
        <f>T201+1</f>
        <v>20</v>
      </c>
      <c r="V201">
        <f t="shared" ref="V201:AC201" si="27">U201+1</f>
        <v>21</v>
      </c>
      <c r="W201">
        <f t="shared" si="27"/>
        <v>22</v>
      </c>
      <c r="X201">
        <f t="shared" si="27"/>
        <v>23</v>
      </c>
      <c r="Y201">
        <f t="shared" si="27"/>
        <v>24</v>
      </c>
      <c r="Z201">
        <f t="shared" si="27"/>
        <v>25</v>
      </c>
      <c r="AA201">
        <f t="shared" si="27"/>
        <v>26</v>
      </c>
      <c r="AB201">
        <f t="shared" si="27"/>
        <v>27</v>
      </c>
      <c r="AC201">
        <f t="shared" si="27"/>
        <v>28</v>
      </c>
      <c r="AD201">
        <f>IF(ABS(AC201)&lt;$C200,AC201+1,-AC201+1)</f>
        <v>29</v>
      </c>
      <c r="AE201">
        <f>IF(ABS(AD201)&lt;$C200,AD201+1,-AD201+1)</f>
        <v>30</v>
      </c>
      <c r="AF201">
        <f>IF(ABS(AE201)&lt;$C200,AE201+1,-AE201+1)</f>
        <v>31</v>
      </c>
    </row>
    <row r="202" spans="1:32">
      <c r="A202" t="str">
        <f>A201</f>
        <v>Spalis</v>
      </c>
      <c r="B202" t="str">
        <f t="shared" ref="B202:AF202" ca="1" si="28">IF(B201&gt;0,IF(OR(OFFSET($I$1,$B200-1,0)=B201,OFFSET($I$1,$B200-1,1)=B201,OFFSET($I$1,$B200-1,2)=B201),"SV",CHOOSE(WEEKDAY(DATE($A200,$B200,B201),2),"--","--","--","--","--","SS","SK")),"XX")</f>
        <v>--</v>
      </c>
      <c r="C202" t="str">
        <f t="shared" ca="1" si="28"/>
        <v>--</v>
      </c>
      <c r="D202" t="str">
        <f t="shared" ca="1" si="28"/>
        <v>--</v>
      </c>
      <c r="E202" t="str">
        <f t="shared" ca="1" si="28"/>
        <v>SS</v>
      </c>
      <c r="F202" t="str">
        <f t="shared" ca="1" si="28"/>
        <v>SK</v>
      </c>
      <c r="G202" t="str">
        <f t="shared" ca="1" si="28"/>
        <v>--</v>
      </c>
      <c r="H202" t="str">
        <f t="shared" ca="1" si="28"/>
        <v>--</v>
      </c>
      <c r="I202" t="str">
        <f t="shared" ca="1" si="28"/>
        <v>--</v>
      </c>
      <c r="J202" t="str">
        <f t="shared" ca="1" si="28"/>
        <v>--</v>
      </c>
      <c r="K202" t="str">
        <f t="shared" ca="1" si="28"/>
        <v>--</v>
      </c>
      <c r="L202" t="str">
        <f t="shared" ca="1" si="28"/>
        <v>SS</v>
      </c>
      <c r="M202" t="str">
        <f t="shared" ca="1" si="28"/>
        <v>SK</v>
      </c>
      <c r="N202" t="str">
        <f t="shared" ca="1" si="28"/>
        <v>--</v>
      </c>
      <c r="O202" t="str">
        <f t="shared" ca="1" si="28"/>
        <v>--</v>
      </c>
      <c r="P202" t="str">
        <f t="shared" ca="1" si="28"/>
        <v>--</v>
      </c>
      <c r="Q202" t="str">
        <f t="shared" ca="1" si="28"/>
        <v>--</v>
      </c>
      <c r="R202" t="str">
        <f t="shared" ca="1" si="28"/>
        <v>--</v>
      </c>
      <c r="S202" t="str">
        <f t="shared" ca="1" si="28"/>
        <v>SS</v>
      </c>
      <c r="T202" t="str">
        <f t="shared" ca="1" si="28"/>
        <v>SK</v>
      </c>
      <c r="U202" t="str">
        <f t="shared" ca="1" si="28"/>
        <v>--</v>
      </c>
      <c r="V202" t="str">
        <f t="shared" ca="1" si="28"/>
        <v>--</v>
      </c>
      <c r="W202" t="str">
        <f t="shared" ca="1" si="28"/>
        <v>--</v>
      </c>
      <c r="X202" t="str">
        <f t="shared" ca="1" si="28"/>
        <v>--</v>
      </c>
      <c r="Y202" t="str">
        <f t="shared" ca="1" si="28"/>
        <v>--</v>
      </c>
      <c r="Z202" t="str">
        <f t="shared" ca="1" si="28"/>
        <v>SS</v>
      </c>
      <c r="AA202" t="str">
        <f t="shared" ca="1" si="28"/>
        <v>SK</v>
      </c>
      <c r="AB202" t="str">
        <f t="shared" ca="1" si="28"/>
        <v>--</v>
      </c>
      <c r="AC202" t="str">
        <f t="shared" ca="1" si="28"/>
        <v>--</v>
      </c>
      <c r="AD202" t="str">
        <f t="shared" ca="1" si="28"/>
        <v>--</v>
      </c>
      <c r="AE202" t="str">
        <f t="shared" ca="1" si="28"/>
        <v>--</v>
      </c>
      <c r="AF202" t="str">
        <f t="shared" ca="1" si="28"/>
        <v>--</v>
      </c>
    </row>
    <row r="203" spans="1:32">
      <c r="A203" s="161">
        <f>ROW(Spalis!A254)-1</f>
        <v>253</v>
      </c>
      <c r="B203" s="161">
        <f>ROW(Spalis!$A11)-1</f>
        <v>10</v>
      </c>
      <c r="C203" s="161">
        <f>ROW(Spalis!$A19)-1</f>
        <v>18</v>
      </c>
      <c r="D203" s="161">
        <f>ROW(Spalis!$A27)-1</f>
        <v>26</v>
      </c>
      <c r="E203" s="161">
        <f>ROW(Spalis!$A35)-1</f>
        <v>34</v>
      </c>
      <c r="F203" s="161">
        <f>ROW(Spalis!$A43)-1</f>
        <v>42</v>
      </c>
      <c r="G203" s="161">
        <f>ROW(Spalis!$A51)-1</f>
        <v>50</v>
      </c>
      <c r="H203" s="161">
        <f>ROW(Spalis!$A59)-1</f>
        <v>58</v>
      </c>
      <c r="I203" s="161">
        <f>ROW(Spalis!$A67)-1</f>
        <v>66</v>
      </c>
      <c r="J203" s="161">
        <f>ROW(Spalis!$A75)-1</f>
        <v>74</v>
      </c>
      <c r="K203" s="161">
        <f>ROW(Spalis!$A83)-1</f>
        <v>82</v>
      </c>
      <c r="L203" s="161">
        <f>ROW(Spalis!$A91)-1</f>
        <v>90</v>
      </c>
      <c r="M203" s="161">
        <f>ROW(Spalis!$A99)-1</f>
        <v>98</v>
      </c>
      <c r="N203" s="161">
        <f>ROW(Spalis!$A107)-1</f>
        <v>106</v>
      </c>
      <c r="O203" s="161">
        <f>ROW(Spalis!$A115)-1</f>
        <v>114</v>
      </c>
      <c r="P203" s="161">
        <f>ROW(Spalis!$A123)-1</f>
        <v>122</v>
      </c>
      <c r="Q203" s="161">
        <f>ROW(Spalis!$A131)-1</f>
        <v>130</v>
      </c>
      <c r="R203" s="161">
        <f>ROW(Spalis!$A139)-1</f>
        <v>138</v>
      </c>
      <c r="S203" s="161">
        <f>ROW(Spalis!$A147)-1</f>
        <v>146</v>
      </c>
      <c r="T203" s="161">
        <f>ROW(Spalis!$A155)-1</f>
        <v>154</v>
      </c>
      <c r="U203" s="161">
        <f>ROW(Spalis!$A163)-1</f>
        <v>162</v>
      </c>
      <c r="V203" s="161">
        <f>ROW(Spalis!$A171)-1</f>
        <v>170</v>
      </c>
      <c r="W203" s="161">
        <f>ROW(Spalis!$A179)-1</f>
        <v>178</v>
      </c>
      <c r="X203" s="161">
        <f>ROW(Spalis!$A187)-1</f>
        <v>186</v>
      </c>
      <c r="Y203" s="161">
        <f>ROW(Spalis!$A195)-1</f>
        <v>194</v>
      </c>
      <c r="Z203" s="161">
        <f>ROW(Spalis!$A203)-1</f>
        <v>202</v>
      </c>
      <c r="AA203" s="161">
        <f>ROW(Spalis!$A211)-1</f>
        <v>210</v>
      </c>
      <c r="AB203" s="161">
        <f>ROW(Spalis!$A219)-1</f>
        <v>218</v>
      </c>
      <c r="AC203" s="161">
        <f>ROW(Spalis!$A227)-1</f>
        <v>226</v>
      </c>
      <c r="AD203" s="161">
        <f>ROW(Spalis!$A235)-1</f>
        <v>234</v>
      </c>
      <c r="AE203" s="161">
        <f>ROW(Spalis!$A243)-1</f>
        <v>242</v>
      </c>
      <c r="AF203" s="161">
        <f>ROW(Spalis!$A251)-1</f>
        <v>250</v>
      </c>
    </row>
    <row r="209" spans="1:32">
      <c r="A209" t="s">
        <v>127</v>
      </c>
      <c r="B209" t="s">
        <v>142</v>
      </c>
      <c r="C209" t="s">
        <v>141</v>
      </c>
      <c r="F209" t="s">
        <v>140</v>
      </c>
    </row>
    <row r="210" spans="1:32">
      <c r="A210">
        <f>Dinamika!$B$1</f>
        <v>2025</v>
      </c>
      <c r="B210">
        <v>11</v>
      </c>
      <c r="C210">
        <f>DAY(EOMONTH(DATE(A210,B210,1),0))</f>
        <v>30</v>
      </c>
      <c r="F210" t="str">
        <f>CHOOSE($B210,$B$1,$B$2,$B$3,$B$4,$B$5,$B$6,$B$7,$B$8,$B$9,$B$10,$B$11,$B$12)</f>
        <v>Lapkritis</v>
      </c>
    </row>
    <row r="211" spans="1:32">
      <c r="A211" t="str">
        <f>CHOOSE($B210,$B$1,$B$2,$B$3,$B$4,$B$5,$B$6,$B$7,$B$8,$B$9,$B$10,$B$11,$B$12)</f>
        <v>Lapkritis</v>
      </c>
      <c r="B211">
        <v>1</v>
      </c>
      <c r="C211">
        <f>B211+1</f>
        <v>2</v>
      </c>
      <c r="D211">
        <f t="shared" ref="D211:T211" si="29">C211+1</f>
        <v>3</v>
      </c>
      <c r="E211">
        <f t="shared" si="29"/>
        <v>4</v>
      </c>
      <c r="F211">
        <f t="shared" si="29"/>
        <v>5</v>
      </c>
      <c r="G211">
        <f t="shared" si="29"/>
        <v>6</v>
      </c>
      <c r="H211">
        <f t="shared" si="29"/>
        <v>7</v>
      </c>
      <c r="I211">
        <f t="shared" si="29"/>
        <v>8</v>
      </c>
      <c r="J211">
        <f t="shared" si="29"/>
        <v>9</v>
      </c>
      <c r="K211">
        <f t="shared" si="29"/>
        <v>10</v>
      </c>
      <c r="L211">
        <f t="shared" si="29"/>
        <v>11</v>
      </c>
      <c r="M211">
        <f t="shared" si="29"/>
        <v>12</v>
      </c>
      <c r="N211">
        <f t="shared" si="29"/>
        <v>13</v>
      </c>
      <c r="O211">
        <f t="shared" si="29"/>
        <v>14</v>
      </c>
      <c r="P211">
        <f t="shared" si="29"/>
        <v>15</v>
      </c>
      <c r="Q211">
        <f t="shared" si="29"/>
        <v>16</v>
      </c>
      <c r="R211">
        <f t="shared" si="29"/>
        <v>17</v>
      </c>
      <c r="S211">
        <f t="shared" si="29"/>
        <v>18</v>
      </c>
      <c r="T211">
        <f t="shared" si="29"/>
        <v>19</v>
      </c>
      <c r="U211">
        <f>T211+1</f>
        <v>20</v>
      </c>
      <c r="V211">
        <f t="shared" ref="V211:AC211" si="30">U211+1</f>
        <v>21</v>
      </c>
      <c r="W211">
        <f t="shared" si="30"/>
        <v>22</v>
      </c>
      <c r="X211">
        <f t="shared" si="30"/>
        <v>23</v>
      </c>
      <c r="Y211">
        <f t="shared" si="30"/>
        <v>24</v>
      </c>
      <c r="Z211">
        <f t="shared" si="30"/>
        <v>25</v>
      </c>
      <c r="AA211">
        <f t="shared" si="30"/>
        <v>26</v>
      </c>
      <c r="AB211">
        <f t="shared" si="30"/>
        <v>27</v>
      </c>
      <c r="AC211">
        <f t="shared" si="30"/>
        <v>28</v>
      </c>
      <c r="AD211">
        <f>IF(ABS(AC211)&lt;$C210,AC211+1,-AC211+1)</f>
        <v>29</v>
      </c>
      <c r="AE211">
        <f>IF(ABS(AD211)&lt;$C210,AD211+1,-AD211+1)</f>
        <v>30</v>
      </c>
      <c r="AF211">
        <f>IF(ABS(AE211)&lt;$C210,AE211+1,-AE211+1)</f>
        <v>-29</v>
      </c>
    </row>
    <row r="212" spans="1:32">
      <c r="A212" t="str">
        <f>A211</f>
        <v>Lapkritis</v>
      </c>
      <c r="B212" t="str">
        <f t="shared" ref="B212:AF212" ca="1" si="31">IF(B211&gt;0,IF(OR(OFFSET($I$1,$B210-1,0)=B211,OFFSET($I$1,$B210-1,1)=B211,OFFSET($I$1,$B210-1,2)=B211),"SV",CHOOSE(WEEKDAY(DATE($A210,$B210,B211),2),"--","--","--","--","--","SS","SK")),"XX")</f>
        <v>SV</v>
      </c>
      <c r="C212" t="str">
        <f t="shared" ca="1" si="31"/>
        <v>SV</v>
      </c>
      <c r="D212" t="str">
        <f t="shared" ca="1" si="31"/>
        <v>--</v>
      </c>
      <c r="E212" t="str">
        <f t="shared" ca="1" si="31"/>
        <v>--</v>
      </c>
      <c r="F212" t="str">
        <f t="shared" ca="1" si="31"/>
        <v>--</v>
      </c>
      <c r="G212" t="str">
        <f t="shared" ca="1" si="31"/>
        <v>--</v>
      </c>
      <c r="H212" t="str">
        <f t="shared" ca="1" si="31"/>
        <v>--</v>
      </c>
      <c r="I212" t="str">
        <f t="shared" ca="1" si="31"/>
        <v>SS</v>
      </c>
      <c r="J212" t="str">
        <f t="shared" ca="1" si="31"/>
        <v>SK</v>
      </c>
      <c r="K212" t="str">
        <f t="shared" ca="1" si="31"/>
        <v>--</v>
      </c>
      <c r="L212" t="str">
        <f t="shared" ca="1" si="31"/>
        <v>--</v>
      </c>
      <c r="M212" t="str">
        <f t="shared" ca="1" si="31"/>
        <v>--</v>
      </c>
      <c r="N212" t="str">
        <f t="shared" ca="1" si="31"/>
        <v>--</v>
      </c>
      <c r="O212" t="str">
        <f t="shared" ca="1" si="31"/>
        <v>--</v>
      </c>
      <c r="P212" t="str">
        <f t="shared" ca="1" si="31"/>
        <v>SS</v>
      </c>
      <c r="Q212" t="str">
        <f t="shared" ca="1" si="31"/>
        <v>SK</v>
      </c>
      <c r="R212" t="str">
        <f t="shared" ca="1" si="31"/>
        <v>--</v>
      </c>
      <c r="S212" t="str">
        <f t="shared" ca="1" si="31"/>
        <v>--</v>
      </c>
      <c r="T212" t="str">
        <f t="shared" ca="1" si="31"/>
        <v>--</v>
      </c>
      <c r="U212" t="str">
        <f t="shared" ca="1" si="31"/>
        <v>--</v>
      </c>
      <c r="V212" t="str">
        <f t="shared" ca="1" si="31"/>
        <v>--</v>
      </c>
      <c r="W212" t="str">
        <f t="shared" ca="1" si="31"/>
        <v>SS</v>
      </c>
      <c r="X212" t="str">
        <f t="shared" ca="1" si="31"/>
        <v>SK</v>
      </c>
      <c r="Y212" t="str">
        <f t="shared" ca="1" si="31"/>
        <v>--</v>
      </c>
      <c r="Z212" t="str">
        <f t="shared" ca="1" si="31"/>
        <v>--</v>
      </c>
      <c r="AA212" t="str">
        <f t="shared" ca="1" si="31"/>
        <v>--</v>
      </c>
      <c r="AB212" t="str">
        <f t="shared" ca="1" si="31"/>
        <v>--</v>
      </c>
      <c r="AC212" t="str">
        <f t="shared" ca="1" si="31"/>
        <v>--</v>
      </c>
      <c r="AD212" t="str">
        <f t="shared" ca="1" si="31"/>
        <v>SS</v>
      </c>
      <c r="AE212" t="str">
        <f t="shared" ca="1" si="31"/>
        <v>SK</v>
      </c>
      <c r="AF212" t="str">
        <f t="shared" ca="1" si="31"/>
        <v>XX</v>
      </c>
    </row>
    <row r="213" spans="1:32">
      <c r="A213" s="161">
        <f>ROW(Lapkritis!A254)-1</f>
        <v>253</v>
      </c>
      <c r="B213" s="161">
        <f>ROW(Lapkritis!$A11)-1</f>
        <v>10</v>
      </c>
      <c r="C213" s="161">
        <f>ROW(Lapkritis!$A19)-1</f>
        <v>18</v>
      </c>
      <c r="D213" s="161">
        <f>ROW(Lapkritis!$A27)-1</f>
        <v>26</v>
      </c>
      <c r="E213" s="161">
        <f>ROW(Lapkritis!$A35)-1</f>
        <v>34</v>
      </c>
      <c r="F213" s="161">
        <f>ROW(Lapkritis!$A43)-1</f>
        <v>42</v>
      </c>
      <c r="G213" s="161">
        <f>ROW(Lapkritis!$A51)-1</f>
        <v>50</v>
      </c>
      <c r="H213" s="161">
        <f>ROW(Lapkritis!$A59)-1</f>
        <v>58</v>
      </c>
      <c r="I213" s="161">
        <f>ROW(Lapkritis!$A67)-1</f>
        <v>66</v>
      </c>
      <c r="J213" s="161">
        <f>ROW(Lapkritis!$A75)-1</f>
        <v>74</v>
      </c>
      <c r="K213" s="161">
        <f>ROW(Lapkritis!$A83)-1</f>
        <v>82</v>
      </c>
      <c r="L213" s="161">
        <f>ROW(Lapkritis!$A91)-1</f>
        <v>90</v>
      </c>
      <c r="M213" s="161">
        <f>ROW(Lapkritis!$A99)-1</f>
        <v>98</v>
      </c>
      <c r="N213" s="161">
        <f>ROW(Lapkritis!$A107)-1</f>
        <v>106</v>
      </c>
      <c r="O213" s="161">
        <f>ROW(Lapkritis!$A115)-1</f>
        <v>114</v>
      </c>
      <c r="P213" s="161">
        <f>ROW(Lapkritis!$A123)-1</f>
        <v>122</v>
      </c>
      <c r="Q213" s="161">
        <f>ROW(Lapkritis!$A131)-1</f>
        <v>130</v>
      </c>
      <c r="R213" s="161">
        <f>ROW(Lapkritis!$A139)-1</f>
        <v>138</v>
      </c>
      <c r="S213" s="161">
        <f>ROW(Lapkritis!$A147)-1</f>
        <v>146</v>
      </c>
      <c r="T213" s="161">
        <f>ROW(Lapkritis!$A155)-1</f>
        <v>154</v>
      </c>
      <c r="U213" s="161">
        <f>ROW(Lapkritis!$A163)-1</f>
        <v>162</v>
      </c>
      <c r="V213" s="161">
        <f>ROW(Lapkritis!$A171)-1</f>
        <v>170</v>
      </c>
      <c r="W213" s="161">
        <f>ROW(Lapkritis!$A179)-1</f>
        <v>178</v>
      </c>
      <c r="X213" s="161">
        <f>ROW(Lapkritis!$A187)-1</f>
        <v>186</v>
      </c>
      <c r="Y213" s="161">
        <f>ROW(Lapkritis!$A195)-1</f>
        <v>194</v>
      </c>
      <c r="Z213" s="161">
        <f>ROW(Lapkritis!$A203)-1</f>
        <v>202</v>
      </c>
      <c r="AA213" s="161">
        <f>ROW(Lapkritis!$A211)-1</f>
        <v>210</v>
      </c>
      <c r="AB213" s="161">
        <f>ROW(Lapkritis!$A219)-1</f>
        <v>218</v>
      </c>
      <c r="AC213" s="161">
        <f>ROW(Lapkritis!$A227)-1</f>
        <v>226</v>
      </c>
      <c r="AD213" s="161">
        <f>ROW(Lapkritis!$A235)-1</f>
        <v>234</v>
      </c>
      <c r="AE213" s="161">
        <f>ROW(Lapkritis!$A243)-1</f>
        <v>242</v>
      </c>
      <c r="AF213" s="161">
        <f>ROW(Lapkritis!$A251)-1</f>
        <v>250</v>
      </c>
    </row>
    <row r="219" spans="1:32">
      <c r="A219" t="s">
        <v>127</v>
      </c>
      <c r="B219" t="s">
        <v>142</v>
      </c>
      <c r="C219" t="s">
        <v>141</v>
      </c>
      <c r="F219" t="s">
        <v>140</v>
      </c>
    </row>
    <row r="220" spans="1:32">
      <c r="A220">
        <f>Dinamika!$B$1</f>
        <v>2025</v>
      </c>
      <c r="B220">
        <v>12</v>
      </c>
      <c r="C220">
        <f>DAY(EOMONTH(DATE(A220,B220,1),0))</f>
        <v>31</v>
      </c>
      <c r="F220" t="str">
        <f>CHOOSE($B220,$B$1,$B$2,$B$3,$B$4,$B$5,$B$6,$B$7,$B$8,$B$9,$B$10,$B$11,$B$12)</f>
        <v>Gruodis</v>
      </c>
    </row>
    <row r="221" spans="1:32">
      <c r="A221" t="str">
        <f>CHOOSE($B220,$B$1,$B$2,$B$3,$B$4,$B$5,$B$6,$B$7,$B$8,$B$9,$B$10,$B$11,$B$12)</f>
        <v>Gruodis</v>
      </c>
      <c r="B221">
        <v>1</v>
      </c>
      <c r="C221">
        <f>B221+1</f>
        <v>2</v>
      </c>
      <c r="D221">
        <f t="shared" ref="D221:T221" si="32">C221+1</f>
        <v>3</v>
      </c>
      <c r="E221">
        <f t="shared" si="32"/>
        <v>4</v>
      </c>
      <c r="F221">
        <f t="shared" si="32"/>
        <v>5</v>
      </c>
      <c r="G221">
        <f t="shared" si="32"/>
        <v>6</v>
      </c>
      <c r="H221">
        <f t="shared" si="32"/>
        <v>7</v>
      </c>
      <c r="I221">
        <f t="shared" si="32"/>
        <v>8</v>
      </c>
      <c r="J221">
        <f t="shared" si="32"/>
        <v>9</v>
      </c>
      <c r="K221">
        <f t="shared" si="32"/>
        <v>10</v>
      </c>
      <c r="L221">
        <f t="shared" si="32"/>
        <v>11</v>
      </c>
      <c r="M221">
        <f t="shared" si="32"/>
        <v>12</v>
      </c>
      <c r="N221">
        <f t="shared" si="32"/>
        <v>13</v>
      </c>
      <c r="O221">
        <f t="shared" si="32"/>
        <v>14</v>
      </c>
      <c r="P221">
        <f t="shared" si="32"/>
        <v>15</v>
      </c>
      <c r="Q221">
        <f t="shared" si="32"/>
        <v>16</v>
      </c>
      <c r="R221">
        <f t="shared" si="32"/>
        <v>17</v>
      </c>
      <c r="S221">
        <f t="shared" si="32"/>
        <v>18</v>
      </c>
      <c r="T221">
        <f t="shared" si="32"/>
        <v>19</v>
      </c>
      <c r="U221">
        <f>T221+1</f>
        <v>20</v>
      </c>
      <c r="V221">
        <f t="shared" ref="V221:AC221" si="33">U221+1</f>
        <v>21</v>
      </c>
      <c r="W221">
        <f t="shared" si="33"/>
        <v>22</v>
      </c>
      <c r="X221">
        <f t="shared" si="33"/>
        <v>23</v>
      </c>
      <c r="Y221">
        <f t="shared" si="33"/>
        <v>24</v>
      </c>
      <c r="Z221">
        <f t="shared" si="33"/>
        <v>25</v>
      </c>
      <c r="AA221">
        <f t="shared" si="33"/>
        <v>26</v>
      </c>
      <c r="AB221">
        <f t="shared" si="33"/>
        <v>27</v>
      </c>
      <c r="AC221">
        <f t="shared" si="33"/>
        <v>28</v>
      </c>
      <c r="AD221">
        <f>IF(ABS(AC221)&lt;$C220,AC221+1,-AC221+1)</f>
        <v>29</v>
      </c>
      <c r="AE221">
        <f>IF(ABS(AD221)&lt;$C220,AD221+1,-AD221+1)</f>
        <v>30</v>
      </c>
      <c r="AF221">
        <f>IF(ABS(AE221)&lt;$C220,AE221+1,-AE221+1)</f>
        <v>31</v>
      </c>
    </row>
    <row r="222" spans="1:32">
      <c r="A222" t="str">
        <f>A221</f>
        <v>Gruodis</v>
      </c>
      <c r="B222" t="str">
        <f t="shared" ref="B222:AF222" ca="1" si="34">IF(B221&gt;0,IF(OR(OFFSET($I$1,$B220-1,0)=B221,OFFSET($I$1,$B220-1,1)=B221,OFFSET($I$1,$B220-1,2)=B221),"SV",CHOOSE(WEEKDAY(DATE($A220,$B220,B221),2),"--","--","--","--","--","SS","SK")),"XX")</f>
        <v>--</v>
      </c>
      <c r="C222" t="str">
        <f t="shared" ca="1" si="34"/>
        <v>--</v>
      </c>
      <c r="D222" t="str">
        <f t="shared" ca="1" si="34"/>
        <v>--</v>
      </c>
      <c r="E222" t="str">
        <f t="shared" ca="1" si="34"/>
        <v>--</v>
      </c>
      <c r="F222" t="str">
        <f t="shared" ca="1" si="34"/>
        <v>--</v>
      </c>
      <c r="G222" t="str">
        <f t="shared" ca="1" si="34"/>
        <v>SS</v>
      </c>
      <c r="H222" t="str">
        <f t="shared" ca="1" si="34"/>
        <v>SK</v>
      </c>
      <c r="I222" t="str">
        <f t="shared" ca="1" si="34"/>
        <v>--</v>
      </c>
      <c r="J222" t="str">
        <f t="shared" ca="1" si="34"/>
        <v>--</v>
      </c>
      <c r="K222" t="str">
        <f t="shared" ca="1" si="34"/>
        <v>--</v>
      </c>
      <c r="L222" t="str">
        <f t="shared" ca="1" si="34"/>
        <v>--</v>
      </c>
      <c r="M222" t="str">
        <f t="shared" ca="1" si="34"/>
        <v>--</v>
      </c>
      <c r="N222" t="str">
        <f t="shared" ca="1" si="34"/>
        <v>SS</v>
      </c>
      <c r="O222" t="str">
        <f t="shared" ca="1" si="34"/>
        <v>SK</v>
      </c>
      <c r="P222" t="str">
        <f t="shared" ca="1" si="34"/>
        <v>--</v>
      </c>
      <c r="Q222" t="str">
        <f t="shared" ca="1" si="34"/>
        <v>--</v>
      </c>
      <c r="R222" t="str">
        <f t="shared" ca="1" si="34"/>
        <v>--</v>
      </c>
      <c r="S222" t="str">
        <f t="shared" ca="1" si="34"/>
        <v>--</v>
      </c>
      <c r="T222" t="str">
        <f t="shared" ca="1" si="34"/>
        <v>--</v>
      </c>
      <c r="U222" t="str">
        <f t="shared" ca="1" si="34"/>
        <v>SS</v>
      </c>
      <c r="V222" t="str">
        <f t="shared" ca="1" si="34"/>
        <v>SK</v>
      </c>
      <c r="W222" t="str">
        <f t="shared" ca="1" si="34"/>
        <v>--</v>
      </c>
      <c r="X222" t="str">
        <f t="shared" ca="1" si="34"/>
        <v>--</v>
      </c>
      <c r="Y222" t="str">
        <f t="shared" ca="1" si="34"/>
        <v>SV</v>
      </c>
      <c r="Z222" t="str">
        <f t="shared" ca="1" si="34"/>
        <v>SV</v>
      </c>
      <c r="AA222" t="str">
        <f t="shared" ca="1" si="34"/>
        <v>SV</v>
      </c>
      <c r="AB222" t="str">
        <f t="shared" ca="1" si="34"/>
        <v>SS</v>
      </c>
      <c r="AC222" t="str">
        <f t="shared" ca="1" si="34"/>
        <v>SK</v>
      </c>
      <c r="AD222" t="str">
        <f t="shared" ca="1" si="34"/>
        <v>--</v>
      </c>
      <c r="AE222" t="str">
        <f t="shared" ca="1" si="34"/>
        <v>--</v>
      </c>
      <c r="AF222" t="str">
        <f t="shared" ca="1" si="34"/>
        <v>--</v>
      </c>
    </row>
    <row r="223" spans="1:32">
      <c r="A223" s="161">
        <f>ROW(Gruodis!A254)-1</f>
        <v>253</v>
      </c>
      <c r="B223" s="161">
        <f>ROW(Gruodis!$A11)-1</f>
        <v>10</v>
      </c>
      <c r="C223" s="161">
        <f>ROW(Gruodis!$A19)-1</f>
        <v>18</v>
      </c>
      <c r="D223" s="161">
        <f>ROW(Gruodis!$A27)-1</f>
        <v>26</v>
      </c>
      <c r="E223" s="161">
        <f>ROW(Gruodis!$A35)-1</f>
        <v>34</v>
      </c>
      <c r="F223" s="161">
        <f>ROW(Gruodis!$A43)-1</f>
        <v>42</v>
      </c>
      <c r="G223" s="161">
        <f>ROW(Gruodis!$A51)-1</f>
        <v>50</v>
      </c>
      <c r="H223" s="161">
        <f>ROW(Gruodis!$A59)-1</f>
        <v>58</v>
      </c>
      <c r="I223" s="161">
        <f>ROW(Gruodis!$A67)-1</f>
        <v>66</v>
      </c>
      <c r="J223" s="161">
        <f>ROW(Gruodis!$A75)-1</f>
        <v>74</v>
      </c>
      <c r="K223" s="161">
        <f>ROW(Gruodis!$A83)-1</f>
        <v>82</v>
      </c>
      <c r="L223" s="161">
        <f>ROW(Gruodis!$A91)-1</f>
        <v>90</v>
      </c>
      <c r="M223" s="161">
        <f>ROW(Gruodis!$A99)-1</f>
        <v>98</v>
      </c>
      <c r="N223" s="161">
        <f>ROW(Gruodis!$A107)-1</f>
        <v>106</v>
      </c>
      <c r="O223" s="161">
        <f>ROW(Gruodis!$A115)-1</f>
        <v>114</v>
      </c>
      <c r="P223" s="161">
        <f>ROW(Gruodis!$A123)-1</f>
        <v>122</v>
      </c>
      <c r="Q223" s="161">
        <f>ROW(Gruodis!$A131)-1</f>
        <v>130</v>
      </c>
      <c r="R223" s="161">
        <f>ROW(Gruodis!$A139)-1</f>
        <v>138</v>
      </c>
      <c r="S223" s="161">
        <f>ROW(Gruodis!$A147)-1</f>
        <v>146</v>
      </c>
      <c r="T223" s="161">
        <f>ROW(Gruodis!$A155)-1</f>
        <v>154</v>
      </c>
      <c r="U223" s="161">
        <f>ROW(Gruodis!$A163)-1</f>
        <v>162</v>
      </c>
      <c r="V223" s="161">
        <f>ROW(Gruodis!$A171)-1</f>
        <v>170</v>
      </c>
      <c r="W223" s="161">
        <f>ROW(Gruodis!$A179)-1</f>
        <v>178</v>
      </c>
      <c r="X223" s="161">
        <f>ROW(Gruodis!$A187)-1</f>
        <v>186</v>
      </c>
      <c r="Y223" s="161">
        <f>ROW(Gruodis!$A195)-1</f>
        <v>194</v>
      </c>
      <c r="Z223" s="161">
        <f>ROW(Gruodis!$A203)-1</f>
        <v>202</v>
      </c>
      <c r="AA223" s="161">
        <f>ROW(Gruodis!$A211)-1</f>
        <v>210</v>
      </c>
      <c r="AB223" s="161">
        <f>ROW(Gruodis!$A219)-1</f>
        <v>218</v>
      </c>
      <c r="AC223" s="161">
        <f>ROW(Gruodis!$A227)-1</f>
        <v>226</v>
      </c>
      <c r="AD223" s="161">
        <f>ROW(Gruodis!$A235)-1</f>
        <v>234</v>
      </c>
      <c r="AE223" s="161">
        <f>ROW(Gruodis!$A243)-1</f>
        <v>242</v>
      </c>
      <c r="AF223" s="161">
        <f>ROW(Gruodis!$A251)-1</f>
        <v>250</v>
      </c>
    </row>
  </sheetData>
  <sortState ref="AG1:AI30">
    <sortCondition ref="AG1:AG30"/>
    <sortCondition ref="AH1:AH30"/>
    <sortCondition ref="AI1:AI30"/>
  </sortState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V39"/>
  <sheetViews>
    <sheetView tabSelected="1" workbookViewId="0">
      <selection activeCell="F16" sqref="F16"/>
    </sheetView>
  </sheetViews>
  <sheetFormatPr defaultColWidth="15.109375" defaultRowHeight="14.4"/>
  <cols>
    <col min="1" max="1" width="2.44140625" style="1" customWidth="1"/>
    <col min="2" max="2" width="44.44140625" style="1" customWidth="1"/>
    <col min="3" max="3" width="15.33203125" style="1" customWidth="1"/>
    <col min="4" max="4" width="25.109375" style="1" customWidth="1"/>
    <col min="5" max="5" width="13.6640625" style="1" customWidth="1"/>
    <col min="6" max="6" width="12.33203125" style="1" customWidth="1"/>
    <col min="7" max="7" width="14.5546875" style="1" customWidth="1"/>
    <col min="8" max="8" width="14.109375" style="1" customWidth="1"/>
    <col min="9" max="9" width="16.88671875" style="1" customWidth="1"/>
    <col min="10" max="10" width="15.33203125" style="1" customWidth="1"/>
    <col min="11" max="11" width="9.33203125" style="1" customWidth="1"/>
    <col min="12" max="12" width="9.88671875" style="1" customWidth="1"/>
    <col min="17" max="17" width="20.88671875" style="1" customWidth="1"/>
    <col min="18" max="18" width="24.33203125" customWidth="1"/>
  </cols>
  <sheetData>
    <row r="1" spans="2:22">
      <c r="Q1" s="1" t="s">
        <v>0</v>
      </c>
    </row>
    <row r="2" spans="2:22" ht="15" thickBot="1"/>
    <row r="3" spans="2:22" ht="14.25" customHeight="1">
      <c r="B3" s="192"/>
      <c r="C3" s="1">
        <v>-1</v>
      </c>
      <c r="D3" s="162" t="s">
        <v>172</v>
      </c>
      <c r="U3" s="364" t="s">
        <v>168</v>
      </c>
      <c r="V3" s="365">
        <f>SUM(V6:V16,L253)</f>
        <v>11082547.809999999</v>
      </c>
    </row>
    <row r="4" spans="2:22" ht="14.25" customHeight="1">
      <c r="B4" s="372" t="s">
        <v>1</v>
      </c>
      <c r="C4" s="372"/>
      <c r="D4" s="372"/>
      <c r="M4" s="2"/>
      <c r="O4" s="2"/>
      <c r="P4" s="2"/>
      <c r="Q4" s="2"/>
      <c r="R4" s="2"/>
      <c r="S4" s="2"/>
      <c r="T4" s="2"/>
      <c r="U4" s="366"/>
      <c r="V4" s="367"/>
    </row>
    <row r="5" spans="2:22" ht="15" customHeight="1">
      <c r="B5" s="373" t="str">
        <f ca="1">CONCATENATE(YEAR(NOW()+C3)," m. ",OFFSET('0'!A1,MONTH(NOW()+C3)-1,0)," mėn. ",DAY(NOW()+C3)," d.")</f>
        <v>2025 m. gruodžio mėn. 31 d.</v>
      </c>
      <c r="C5" s="373"/>
      <c r="D5" s="373"/>
      <c r="U5" s="366" t="s">
        <v>167</v>
      </c>
      <c r="V5" s="367"/>
    </row>
    <row r="6" spans="2:22" ht="30" customHeight="1">
      <c r="B6" s="3"/>
      <c r="C6" s="4" t="s">
        <v>2</v>
      </c>
      <c r="D6" s="5" t="s">
        <v>3</v>
      </c>
      <c r="U6" s="366">
        <v>1</v>
      </c>
      <c r="V6" s="368">
        <f>Sausis!L254</f>
        <v>46650.2</v>
      </c>
    </row>
    <row r="7" spans="2:22" ht="18" customHeight="1">
      <c r="B7" s="6" t="s">
        <v>4</v>
      </c>
      <c r="C7" s="193">
        <f ca="1">INDIRECT(ADDRESS(OFFSET('0'!$B$113,(MONTH(NOW()+C3)-1)*10,DAY(NOW()+C3)-1)+1,4,4,TRUE,OFFSET('0'!$B$1,MONTH(NOW()+C3)-1,0)))</f>
        <v>0</v>
      </c>
      <c r="D7" s="194">
        <f t="shared" ref="D7:D18" si="0">Q23</f>
        <v>6815</v>
      </c>
      <c r="F7" s="7" t="s">
        <v>5</v>
      </c>
      <c r="G7" s="7"/>
      <c r="H7" s="7"/>
      <c r="I7" s="7" t="s">
        <v>176</v>
      </c>
      <c r="J7" s="7"/>
      <c r="K7" s="7"/>
      <c r="L7" s="7"/>
      <c r="M7" s="7"/>
      <c r="N7" s="7"/>
      <c r="U7" s="366">
        <v>2</v>
      </c>
      <c r="V7" s="368">
        <f>Vasaris!L250</f>
        <v>993065.32000000007</v>
      </c>
    </row>
    <row r="8" spans="2:22">
      <c r="B8" s="6" t="s">
        <v>6</v>
      </c>
      <c r="C8" s="194">
        <f ca="1">INDIRECT(ADDRESS(OFFSET('0'!$B$113,(MONTH(NOW()+C3)-1)*10,DAY(NOW()+C3)-1)+1,5,4,TRUE,OFFSET('0'!$B$1,MONTH(NOW()+C3)-1,0)))</f>
        <v>0</v>
      </c>
      <c r="D8" s="194">
        <f t="shared" si="0"/>
        <v>6543</v>
      </c>
      <c r="F8" s="162" t="s">
        <v>177</v>
      </c>
      <c r="U8" s="366">
        <v>3</v>
      </c>
      <c r="V8" s="368">
        <f>Kovas!L254</f>
        <v>3079849.3899999992</v>
      </c>
    </row>
    <row r="9" spans="2:22">
      <c r="B9" s="6" t="s">
        <v>7</v>
      </c>
      <c r="C9" s="194">
        <f ca="1">INDIRECT(ADDRESS(OFFSET('0'!$B$113,(MONTH(NOW()+C3)-1)*10,DAY(NOW()+C3)-1)+1,15,4,TRUE,OFFSET('0'!$B$1,MONTH(NOW()+C3)-1,0)))</f>
        <v>0</v>
      </c>
      <c r="D9" s="194">
        <f t="shared" si="0"/>
        <v>377</v>
      </c>
      <c r="U9" s="366">
        <v>4</v>
      </c>
      <c r="V9" s="368">
        <f>Balandis!L259</f>
        <v>3214494.91</v>
      </c>
    </row>
    <row r="10" spans="2:22">
      <c r="B10" s="6" t="s">
        <v>8</v>
      </c>
      <c r="C10" s="194">
        <f ca="1">INDIRECT(ADDRESS(OFFSET('0'!$B$113,(MONTH(NOW()+C3)-1)*10,DAY(NOW()+C3)-1)+1,16,4,TRUE,OFFSET('0'!$B$1,MONTH(NOW()+C3)-1,0)))</f>
        <v>0</v>
      </c>
      <c r="D10" s="194">
        <f t="shared" si="0"/>
        <v>997</v>
      </c>
      <c r="U10" s="366">
        <v>5</v>
      </c>
      <c r="V10" s="368">
        <f>Gegužė!L254</f>
        <v>3452913.39</v>
      </c>
    </row>
    <row r="11" spans="2:22" ht="15" customHeight="1">
      <c r="B11" s="6" t="s">
        <v>9</v>
      </c>
      <c r="C11" s="194">
        <f ca="1">INDIRECT(ADDRESS(OFFSET('0'!$B$113,(MONTH(NOW()+C3)-1)*10,DAY(NOW()+C3)-1)+1,6,4,TRUE,OFFSET('0'!$B$1,MONTH(NOW()+C3)-1,0)))</f>
        <v>0</v>
      </c>
      <c r="D11" s="194">
        <f t="shared" si="0"/>
        <v>3374</v>
      </c>
      <c r="U11" s="366">
        <v>6</v>
      </c>
      <c r="V11" s="368">
        <f>Birželis!L254</f>
        <v>295574.59999999998</v>
      </c>
    </row>
    <row r="12" spans="2:22" ht="15" customHeight="1">
      <c r="B12" s="3" t="s">
        <v>10</v>
      </c>
      <c r="C12" s="194">
        <f ca="1">INDIRECT(ADDRESS(OFFSET('0'!$B$113,(MONTH(NOW()+C3)-1)*10,DAY(NOW()+C3)-1),6,4,TRUE,OFFSET('0'!$B$1,MONTH(NOW()+C3)-1,0)))</f>
        <v>0</v>
      </c>
      <c r="D12" s="194">
        <f t="shared" si="0"/>
        <v>1342</v>
      </c>
      <c r="U12" s="366">
        <v>7</v>
      </c>
      <c r="V12" s="368">
        <f>Liepa!L254</f>
        <v>0</v>
      </c>
    </row>
    <row r="13" spans="2:22" ht="15" customHeight="1">
      <c r="B13" s="3" t="s">
        <v>11</v>
      </c>
      <c r="C13" s="194">
        <f ca="1">INDIRECT(ADDRESS(OFFSET('0'!$B$113,(MONTH(NOW()+C3)-1)*10,DAY(NOW()+C3)-1),7,4,TRUE,OFFSET('0'!$B$1,MONTH(NOW()+C3)-1,0)))</f>
        <v>0</v>
      </c>
      <c r="D13" s="194">
        <f t="shared" si="0"/>
        <v>1287</v>
      </c>
      <c r="U13" s="366">
        <v>8</v>
      </c>
      <c r="V13" s="368">
        <f>Rugpjūtis!L254</f>
        <v>0</v>
      </c>
    </row>
    <row r="14" spans="2:22" ht="15" customHeight="1">
      <c r="B14" s="3" t="s">
        <v>12</v>
      </c>
      <c r="C14" s="194">
        <f ca="1">INDIRECT(ADDRESS(OFFSET('0'!$B$113,(MONTH(NOW()+C3)-1)*10,DAY(NOW()+C3)-1),8,4,TRUE,OFFSET('0'!$B$1,MONTH(NOW()+C3)-1,0)))</f>
        <v>0</v>
      </c>
      <c r="D14" s="194">
        <f t="shared" si="0"/>
        <v>4</v>
      </c>
      <c r="U14" s="366">
        <v>9</v>
      </c>
      <c r="V14" s="368">
        <f>Rugsėjis!L254</f>
        <v>0</v>
      </c>
    </row>
    <row r="15" spans="2:22" ht="15" customHeight="1">
      <c r="B15" s="3" t="s">
        <v>13</v>
      </c>
      <c r="C15" s="194">
        <f ca="1">INDIRECT(ADDRESS(OFFSET('0'!$B$113,(MONTH(NOW()+C3)-1)*10,DAY(NOW()+C3)-1),9,4,TRUE,OFFSET('0'!$B$1,MONTH(NOW()+C3)-1,0)))</f>
        <v>0</v>
      </c>
      <c r="D15" s="194">
        <f t="shared" si="0"/>
        <v>316</v>
      </c>
      <c r="U15" s="366">
        <v>10</v>
      </c>
      <c r="V15" s="368">
        <f>Spalis!L254</f>
        <v>0</v>
      </c>
    </row>
    <row r="16" spans="2:22" ht="15" customHeight="1">
      <c r="B16" s="3" t="s">
        <v>14</v>
      </c>
      <c r="C16" s="194">
        <f ca="1">INDIRECT(ADDRESS(OFFSET('0'!$B$113,(MONTH(NOW()+C3)-1)*10,DAY(NOW()+C3)-1),10,4,TRUE,OFFSET('0'!$B$1,MONTH(NOW()+C3)-1,0)))</f>
        <v>0</v>
      </c>
      <c r="D16" s="194">
        <f t="shared" si="0"/>
        <v>410</v>
      </c>
      <c r="U16" s="366">
        <v>11</v>
      </c>
      <c r="V16" s="368">
        <f>Lapkritis!L254</f>
        <v>0</v>
      </c>
    </row>
    <row r="17" spans="2:22" ht="15" customHeight="1" thickBot="1">
      <c r="B17" s="3" t="s">
        <v>15</v>
      </c>
      <c r="C17" s="194">
        <f ca="1">INDIRECT(ADDRESS(OFFSET('0'!$B$113,(MONTH(NOW()+C3)-1)*10,DAY(NOW()+C3)-1),11,4,TRUE,OFFSET('0'!$B$1,MONTH(NOW()+C3)-1,0)))</f>
        <v>0</v>
      </c>
      <c r="D17" s="194">
        <f t="shared" si="0"/>
        <v>15</v>
      </c>
      <c r="U17" s="369"/>
      <c r="V17" s="370"/>
    </row>
    <row r="18" spans="2:22">
      <c r="B18" s="6" t="s">
        <v>16</v>
      </c>
      <c r="C18" s="195">
        <f ca="1">INDIRECT(ADDRESS(OFFSET('0'!$B$113,(MONTH(NOW()+C3)-1)*10,DAY(NOW()+C3)-1)+1,12,4,TRUE,OFFSET('0'!$B$1,MONTH(NOW()+C3)-1,0)))</f>
        <v>0</v>
      </c>
      <c r="D18" s="196">
        <f t="shared" si="0"/>
        <v>11082547.809999999</v>
      </c>
    </row>
    <row r="19" spans="2:22">
      <c r="B19" s="374" t="s">
        <v>17</v>
      </c>
      <c r="C19" s="374"/>
      <c r="D19" s="374"/>
    </row>
    <row r="20" spans="2:22">
      <c r="B20" s="8"/>
    </row>
    <row r="21" spans="2:22" ht="28.5" customHeight="1">
      <c r="D21" s="375" t="s">
        <v>18</v>
      </c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5"/>
    </row>
    <row r="22" spans="2:22" ht="48" customHeight="1">
      <c r="D22" s="9"/>
      <c r="E22" s="10" t="s">
        <v>19</v>
      </c>
      <c r="F22" s="10" t="s">
        <v>20</v>
      </c>
      <c r="G22" s="11" t="s">
        <v>21</v>
      </c>
      <c r="H22" s="11" t="s">
        <v>22</v>
      </c>
      <c r="I22" s="11" t="s">
        <v>23</v>
      </c>
      <c r="J22" s="11" t="s">
        <v>24</v>
      </c>
      <c r="K22" s="11" t="s">
        <v>25</v>
      </c>
      <c r="L22" s="11" t="s">
        <v>26</v>
      </c>
      <c r="M22" s="11" t="s">
        <v>27</v>
      </c>
      <c r="N22" s="11" t="s">
        <v>28</v>
      </c>
      <c r="O22" s="11" t="s">
        <v>29</v>
      </c>
      <c r="P22" s="11" t="s">
        <v>30</v>
      </c>
      <c r="Q22" s="12" t="s">
        <v>31</v>
      </c>
      <c r="R22" s="12" t="s">
        <v>212</v>
      </c>
    </row>
    <row r="23" spans="2:22" ht="27.6">
      <c r="D23" s="13" t="s">
        <v>4</v>
      </c>
      <c r="E23" s="358">
        <f>Sausis!D253</f>
        <v>197</v>
      </c>
      <c r="F23" s="358">
        <f>Vasaris!D250</f>
        <v>843</v>
      </c>
      <c r="G23" s="163">
        <f>Kovas!D254</f>
        <v>1695</v>
      </c>
      <c r="H23" s="163">
        <f>Balandis!D259</f>
        <v>1844</v>
      </c>
      <c r="I23" s="163">
        <f>Gegužė!D254</f>
        <v>2122</v>
      </c>
      <c r="J23" s="163">
        <f>Birželis!D254</f>
        <v>114</v>
      </c>
      <c r="K23" s="163">
        <f>Liepa!D254</f>
        <v>0</v>
      </c>
      <c r="L23" s="163">
        <f>Rugpjūtis!D254</f>
        <v>0</v>
      </c>
      <c r="M23" s="163">
        <f>Rugsėjis!D254</f>
        <v>0</v>
      </c>
      <c r="N23" s="163">
        <f>Spalis!D254</f>
        <v>0</v>
      </c>
      <c r="O23" s="163">
        <f>Lapkritis!D254</f>
        <v>0</v>
      </c>
      <c r="P23" s="163">
        <f>Gruodis!D254</f>
        <v>0</v>
      </c>
      <c r="Q23" s="12">
        <f>SUM(E23:P23,R23)</f>
        <v>6815</v>
      </c>
      <c r="R23" s="261"/>
    </row>
    <row r="24" spans="2:22">
      <c r="D24" s="13" t="s">
        <v>6</v>
      </c>
      <c r="E24" s="358">
        <f>Sausis!E253</f>
        <v>192</v>
      </c>
      <c r="F24" s="358">
        <f>Vasaris!E250</f>
        <v>815</v>
      </c>
      <c r="G24" s="163">
        <f>Kovas!E254</f>
        <v>1636</v>
      </c>
      <c r="H24" s="163">
        <f>Balandis!E259</f>
        <v>1770</v>
      </c>
      <c r="I24" s="163">
        <f>Gegužė!E254</f>
        <v>2020</v>
      </c>
      <c r="J24" s="163">
        <f>Birželis!E254</f>
        <v>110</v>
      </c>
      <c r="K24" s="163">
        <f>Liepa!E254</f>
        <v>0</v>
      </c>
      <c r="L24" s="163">
        <f>Rugpjūtis!E254</f>
        <v>0</v>
      </c>
      <c r="M24" s="163">
        <f>Rugsėjis!E254</f>
        <v>0</v>
      </c>
      <c r="N24" s="163">
        <f>Spalis!E254</f>
        <v>0</v>
      </c>
      <c r="O24" s="163">
        <f>Lapkritis!E254</f>
        <v>0</v>
      </c>
      <c r="P24" s="163">
        <f>Gruodis!E254</f>
        <v>0</v>
      </c>
      <c r="Q24" s="12">
        <f t="shared" ref="Q24:Q34" si="1">SUM(E24:P24,R24)</f>
        <v>6543</v>
      </c>
      <c r="R24" s="261"/>
    </row>
    <row r="25" spans="2:22" ht="26.25" customHeight="1">
      <c r="D25" s="13" t="s">
        <v>7</v>
      </c>
      <c r="E25" s="358">
        <f>Sausis!O253</f>
        <v>59</v>
      </c>
      <c r="F25" s="358">
        <f>Vasaris!O250</f>
        <v>94</v>
      </c>
      <c r="G25" s="163">
        <f>Kovas!O253</f>
        <v>99</v>
      </c>
      <c r="H25" s="163">
        <f>Balandis!O258</f>
        <v>62</v>
      </c>
      <c r="I25" s="163">
        <f>Gegužė!O253</f>
        <v>59</v>
      </c>
      <c r="J25" s="163">
        <f>Birželis!O253</f>
        <v>4</v>
      </c>
      <c r="K25" s="163">
        <f>Liepa!O253</f>
        <v>0</v>
      </c>
      <c r="L25" s="163">
        <f>Rugpjūtis!O253</f>
        <v>0</v>
      </c>
      <c r="M25" s="163">
        <f>Rugsėjis!O253</f>
        <v>0</v>
      </c>
      <c r="N25" s="163">
        <f>Spalis!O253</f>
        <v>0</v>
      </c>
      <c r="O25" s="163">
        <f>Lapkritis!O253</f>
        <v>0</v>
      </c>
      <c r="P25" s="163">
        <f>Gruodis!O253</f>
        <v>0</v>
      </c>
      <c r="Q25" s="12">
        <f t="shared" si="1"/>
        <v>377</v>
      </c>
      <c r="R25" s="261"/>
    </row>
    <row r="26" spans="2:22" ht="18.75" customHeight="1">
      <c r="D26" s="13" t="s">
        <v>8</v>
      </c>
      <c r="E26" s="358">
        <f>Sausis!P253</f>
        <v>301</v>
      </c>
      <c r="F26" s="358">
        <f>Vasaris!P250</f>
        <v>210</v>
      </c>
      <c r="G26" s="163">
        <f>Kovas!P250</f>
        <v>214</v>
      </c>
      <c r="H26" s="163">
        <f>Balandis!P258</f>
        <v>133</v>
      </c>
      <c r="I26" s="163">
        <f>Gegužė!P253</f>
        <v>139</v>
      </c>
      <c r="J26" s="163">
        <f>Birželis!P250</f>
        <v>0</v>
      </c>
      <c r="K26" s="163">
        <f>Liepa!P250</f>
        <v>0</v>
      </c>
      <c r="L26" s="163">
        <f>Rugpjūtis!P250</f>
        <v>0</v>
      </c>
      <c r="M26" s="163">
        <f>Rugsėjis!P250</f>
        <v>0</v>
      </c>
      <c r="N26" s="163">
        <f>Spalis!P250</f>
        <v>0</v>
      </c>
      <c r="O26" s="163">
        <f>Lapkritis!P250</f>
        <v>0</v>
      </c>
      <c r="P26" s="163">
        <f>Gruodis!P250</f>
        <v>0</v>
      </c>
      <c r="Q26" s="12">
        <f t="shared" si="1"/>
        <v>997</v>
      </c>
      <c r="R26" s="261"/>
    </row>
    <row r="27" spans="2:22" ht="25.5" customHeight="1">
      <c r="D27" s="13" t="s">
        <v>32</v>
      </c>
      <c r="E27" s="358">
        <f>Sausis!F254</f>
        <v>28</v>
      </c>
      <c r="F27" s="358">
        <f>Vasaris!F251</f>
        <v>184</v>
      </c>
      <c r="G27" s="163">
        <f>Kovas!F254</f>
        <v>457</v>
      </c>
      <c r="H27" s="163">
        <f>Balandis!F259</f>
        <v>1478</v>
      </c>
      <c r="I27" s="163">
        <f>Gegužė!F254</f>
        <v>1167</v>
      </c>
      <c r="J27" s="163">
        <f>Birželis!F254</f>
        <v>60</v>
      </c>
      <c r="K27" s="163">
        <f>Liepa!F254</f>
        <v>0</v>
      </c>
      <c r="L27" s="163">
        <f>Rugpjūtis!F254</f>
        <v>0</v>
      </c>
      <c r="M27" s="163">
        <f>Rugsėjis!F254</f>
        <v>0</v>
      </c>
      <c r="N27" s="163">
        <f>Spalis!F254</f>
        <v>0</v>
      </c>
      <c r="O27" s="163">
        <f>Lapkritis!F254</f>
        <v>0</v>
      </c>
      <c r="P27" s="163">
        <f>Gruodis!F254</f>
        <v>0</v>
      </c>
      <c r="Q27" s="12">
        <f t="shared" si="1"/>
        <v>3374</v>
      </c>
      <c r="R27" s="261"/>
    </row>
    <row r="28" spans="2:22">
      <c r="D28" s="14" t="s">
        <v>10</v>
      </c>
      <c r="E28" s="358">
        <f>Sausis!F253</f>
        <v>12</v>
      </c>
      <c r="F28" s="358">
        <f>Vasaris!F250</f>
        <v>88</v>
      </c>
      <c r="G28" s="163">
        <f>Kovas!F253</f>
        <v>271</v>
      </c>
      <c r="H28" s="163">
        <f>Balandis!F258</f>
        <v>605</v>
      </c>
      <c r="I28" s="163">
        <f>Gegužė!F253</f>
        <v>345</v>
      </c>
      <c r="J28" s="163">
        <f>Birželis!F253</f>
        <v>21</v>
      </c>
      <c r="K28" s="163">
        <f>Liepa!F253</f>
        <v>0</v>
      </c>
      <c r="L28" s="163">
        <f>Rugpjūtis!F253</f>
        <v>0</v>
      </c>
      <c r="M28" s="163">
        <f>Rugsėjis!F253</f>
        <v>0</v>
      </c>
      <c r="N28" s="163">
        <f>Spalis!F253</f>
        <v>0</v>
      </c>
      <c r="O28" s="163">
        <f>Lapkritis!F253</f>
        <v>0</v>
      </c>
      <c r="P28" s="163">
        <f>Gruodis!F253</f>
        <v>0</v>
      </c>
      <c r="Q28" s="12">
        <f t="shared" si="1"/>
        <v>1342</v>
      </c>
      <c r="R28" s="261"/>
    </row>
    <row r="29" spans="2:22">
      <c r="D29" s="14" t="s">
        <v>11</v>
      </c>
      <c r="E29" s="358">
        <f>Sausis!G253</f>
        <v>0</v>
      </c>
      <c r="F29" s="358">
        <f>Vasaris!G250</f>
        <v>0</v>
      </c>
      <c r="G29" s="163">
        <f>Kovas!G253</f>
        <v>0</v>
      </c>
      <c r="H29" s="163">
        <f>Balandis!G258</f>
        <v>638</v>
      </c>
      <c r="I29" s="163">
        <f>Gegužė!G253</f>
        <v>632</v>
      </c>
      <c r="J29" s="163">
        <f>Birželis!G253</f>
        <v>17</v>
      </c>
      <c r="K29" s="163">
        <f>Liepa!G253</f>
        <v>0</v>
      </c>
      <c r="L29" s="163">
        <f>Rugpjūtis!G253</f>
        <v>0</v>
      </c>
      <c r="M29" s="163">
        <f>Rugsėjis!G253</f>
        <v>0</v>
      </c>
      <c r="N29" s="163">
        <f>Spalis!G253</f>
        <v>0</v>
      </c>
      <c r="O29" s="163">
        <f>Lapkritis!G253</f>
        <v>0</v>
      </c>
      <c r="P29" s="163">
        <f>Gruodis!G253</f>
        <v>0</v>
      </c>
      <c r="Q29" s="12">
        <f t="shared" si="1"/>
        <v>1287</v>
      </c>
      <c r="R29" s="261"/>
    </row>
    <row r="30" spans="2:22">
      <c r="D30" s="14" t="s">
        <v>12</v>
      </c>
      <c r="E30" s="358">
        <f>Sausis!H253</f>
        <v>0</v>
      </c>
      <c r="F30" s="358">
        <f>Vasaris!H250</f>
        <v>0</v>
      </c>
      <c r="G30" s="163">
        <f>Kovas!H253</f>
        <v>1</v>
      </c>
      <c r="H30" s="163">
        <f>Balandis!H258</f>
        <v>0</v>
      </c>
      <c r="I30" s="163">
        <f>Gegužė!H253</f>
        <v>3</v>
      </c>
      <c r="J30" s="163">
        <f>Birželis!H253</f>
        <v>0</v>
      </c>
      <c r="K30" s="163">
        <f>Liepa!H253</f>
        <v>0</v>
      </c>
      <c r="L30" s="163">
        <f>Rugpjūtis!H253</f>
        <v>0</v>
      </c>
      <c r="M30" s="163">
        <f>Rugsėjis!H253</f>
        <v>0</v>
      </c>
      <c r="N30" s="163">
        <f>Spalis!H253</f>
        <v>0</v>
      </c>
      <c r="O30" s="163">
        <f>Lapkritis!H253</f>
        <v>0</v>
      </c>
      <c r="P30" s="163">
        <f>Gruodis!H253</f>
        <v>0</v>
      </c>
      <c r="Q30" s="12">
        <f t="shared" si="1"/>
        <v>4</v>
      </c>
      <c r="R30" s="261"/>
    </row>
    <row r="31" spans="2:22">
      <c r="D31" s="14" t="s">
        <v>13</v>
      </c>
      <c r="E31" s="358">
        <f>Sausis!I253</f>
        <v>4</v>
      </c>
      <c r="F31" s="358">
        <f>Vasaris!I250</f>
        <v>31</v>
      </c>
      <c r="G31" s="163">
        <f>Kovas!I253</f>
        <v>60</v>
      </c>
      <c r="H31" s="163">
        <f>Balandis!I258</f>
        <v>108</v>
      </c>
      <c r="I31" s="163">
        <f>Gegužė!I253</f>
        <v>100</v>
      </c>
      <c r="J31" s="163">
        <f>Birželis!I253</f>
        <v>13</v>
      </c>
      <c r="K31" s="163">
        <f>Liepa!I253</f>
        <v>0</v>
      </c>
      <c r="L31" s="163">
        <f>Rugpjūtis!I253</f>
        <v>0</v>
      </c>
      <c r="M31" s="163">
        <f>Rugsėjis!I253</f>
        <v>0</v>
      </c>
      <c r="N31" s="163">
        <f>Spalis!I253</f>
        <v>0</v>
      </c>
      <c r="O31" s="163">
        <f>Lapkritis!I253</f>
        <v>0</v>
      </c>
      <c r="P31" s="163">
        <f>Gruodis!I253</f>
        <v>0</v>
      </c>
      <c r="Q31" s="12">
        <f t="shared" si="1"/>
        <v>316</v>
      </c>
      <c r="R31" s="261"/>
    </row>
    <row r="32" spans="2:22">
      <c r="D32" s="14" t="s">
        <v>14</v>
      </c>
      <c r="E32" s="358">
        <f>Sausis!J253</f>
        <v>8</v>
      </c>
      <c r="F32" s="358">
        <f>Vasaris!J250</f>
        <v>55</v>
      </c>
      <c r="G32" s="163">
        <f>Kovas!J253</f>
        <v>125</v>
      </c>
      <c r="H32" s="163">
        <f>Balandis!J258</f>
        <v>127</v>
      </c>
      <c r="I32" s="163">
        <f>Gegužė!J253</f>
        <v>86</v>
      </c>
      <c r="J32" s="163">
        <f>Birželis!$J253</f>
        <v>9</v>
      </c>
      <c r="K32" s="163">
        <f>Liepa!J253</f>
        <v>0</v>
      </c>
      <c r="L32" s="163">
        <f>Rugpjūtis!J253</f>
        <v>0</v>
      </c>
      <c r="M32" s="163">
        <f>Rugsėjis!J253</f>
        <v>0</v>
      </c>
      <c r="N32" s="163">
        <f>Spalis!J253</f>
        <v>0</v>
      </c>
      <c r="O32" s="163">
        <f>Lapkritis!J253</f>
        <v>0</v>
      </c>
      <c r="P32" s="163">
        <f>Gruodis!J253</f>
        <v>0</v>
      </c>
      <c r="Q32" s="12">
        <f t="shared" si="1"/>
        <v>410</v>
      </c>
      <c r="R32" s="261"/>
    </row>
    <row r="33" spans="4:18">
      <c r="D33" s="14" t="s">
        <v>15</v>
      </c>
      <c r="E33" s="358">
        <f>Sausis!K253</f>
        <v>4</v>
      </c>
      <c r="F33" s="358">
        <f>Vasaris!K250</f>
        <v>10</v>
      </c>
      <c r="G33" s="163">
        <f>Kovas!K253</f>
        <v>0</v>
      </c>
      <c r="H33" s="163">
        <f>Balandis!K258</f>
        <v>0</v>
      </c>
      <c r="I33" s="163">
        <f>Gegužė!$K253</f>
        <v>1</v>
      </c>
      <c r="J33" s="163">
        <f>Birželis!K253</f>
        <v>0</v>
      </c>
      <c r="K33" s="163">
        <f>Liepa!K253</f>
        <v>0</v>
      </c>
      <c r="L33" s="163">
        <f>Rugpjūtis!K253</f>
        <v>0</v>
      </c>
      <c r="M33" s="163">
        <f>Rugsėjis!K253</f>
        <v>0</v>
      </c>
      <c r="N33" s="163">
        <f>Spalis!K253</f>
        <v>0</v>
      </c>
      <c r="O33" s="163">
        <f>Lapkritis!K253</f>
        <v>0</v>
      </c>
      <c r="P33" s="163">
        <f>Gruodis!K253</f>
        <v>0</v>
      </c>
      <c r="Q33" s="12">
        <f t="shared" si="1"/>
        <v>15</v>
      </c>
      <c r="R33" s="261"/>
    </row>
    <row r="34" spans="4:18" ht="27.6">
      <c r="D34" s="13" t="s">
        <v>33</v>
      </c>
      <c r="E34" s="15">
        <f>Sausis!$L254</f>
        <v>46650.2</v>
      </c>
      <c r="F34" s="359">
        <f>Vasaris!L250</f>
        <v>993065.32000000007</v>
      </c>
      <c r="G34" s="164">
        <f>Kovas!L254</f>
        <v>3079849.3899999992</v>
      </c>
      <c r="H34" s="164">
        <f>Balandis!L259</f>
        <v>3214494.91</v>
      </c>
      <c r="I34" s="164">
        <f>Gegužė!L254</f>
        <v>3452913.39</v>
      </c>
      <c r="J34" s="164">
        <f>Birželis!L254</f>
        <v>295574.59999999998</v>
      </c>
      <c r="K34" s="164">
        <f>Liepa!L254</f>
        <v>0</v>
      </c>
      <c r="L34" s="164">
        <f>Rugpjūtis!L254</f>
        <v>0</v>
      </c>
      <c r="M34" s="164">
        <f>Rugsėjis!L254</f>
        <v>0</v>
      </c>
      <c r="N34" s="164">
        <f>Spalis!L254</f>
        <v>0</v>
      </c>
      <c r="O34" s="164">
        <f>Lapkritis!L254</f>
        <v>0</v>
      </c>
      <c r="P34" s="164">
        <f>Gruodis!L254</f>
        <v>0</v>
      </c>
      <c r="Q34" s="16">
        <f t="shared" si="1"/>
        <v>11082547.809999999</v>
      </c>
      <c r="R34" s="262"/>
    </row>
    <row r="36" spans="4:18" ht="15" customHeight="1">
      <c r="K36" s="376" t="s">
        <v>34</v>
      </c>
      <c r="L36" s="376"/>
      <c r="M36" s="376"/>
      <c r="N36" s="376"/>
      <c r="O36" s="376"/>
      <c r="P36" s="376"/>
      <c r="Q36" s="376"/>
    </row>
    <row r="37" spans="4:18">
      <c r="K37" s="376"/>
      <c r="L37" s="376"/>
      <c r="M37" s="376"/>
      <c r="N37" s="376"/>
      <c r="O37" s="376"/>
      <c r="P37" s="376"/>
      <c r="Q37" s="376"/>
    </row>
    <row r="38" spans="4:18">
      <c r="K38" s="376"/>
      <c r="L38" s="376"/>
      <c r="M38" s="376"/>
      <c r="N38" s="376"/>
      <c r="O38" s="376"/>
      <c r="P38" s="376"/>
      <c r="Q38" s="376"/>
    </row>
    <row r="39" spans="4:18" ht="29.25" customHeight="1">
      <c r="K39" s="376"/>
      <c r="L39" s="376"/>
      <c r="M39" s="376"/>
      <c r="N39" s="376"/>
      <c r="O39" s="376"/>
      <c r="P39" s="376"/>
      <c r="Q39" s="376"/>
    </row>
  </sheetData>
  <mergeCells count="5">
    <mergeCell ref="B4:D4"/>
    <mergeCell ref="B5:D5"/>
    <mergeCell ref="B19:D19"/>
    <mergeCell ref="D21:Q21"/>
    <mergeCell ref="K36:Q39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V254"/>
  <sheetViews>
    <sheetView zoomScale="90" zoomScaleNormal="90" workbookViewId="0">
      <selection activeCell="V8" sqref="V8"/>
    </sheetView>
  </sheetViews>
  <sheetFormatPr defaultRowHeight="14.4"/>
  <cols>
    <col min="3" max="3" width="22.109375" style="1" customWidth="1"/>
    <col min="4" max="11" width="15.109375"/>
    <col min="12" max="12" width="12.88671875" style="66" customWidth="1"/>
    <col min="13" max="13" width="10.109375" style="1" customWidth="1"/>
    <col min="14" max="16" width="10.109375" style="60" customWidth="1"/>
    <col min="17" max="17" width="22" style="1" customWidth="1"/>
    <col min="18" max="19" width="15.109375"/>
    <col min="20" max="20" width="26" style="1" customWidth="1"/>
  </cols>
  <sheetData>
    <row r="1" spans="1:22">
      <c r="A1">
        <v>1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  <c r="U2" s="76"/>
      <c r="V2" s="76"/>
    </row>
    <row r="3" spans="1:22" ht="48" customHeight="1" thickTop="1" thickBot="1">
      <c r="B3" s="385"/>
      <c r="C3" s="385"/>
      <c r="D3" s="385"/>
      <c r="E3" s="385"/>
      <c r="F3" s="47" t="s">
        <v>10</v>
      </c>
      <c r="G3" s="47" t="s">
        <v>11</v>
      </c>
      <c r="H3" s="47" t="s">
        <v>12</v>
      </c>
      <c r="I3" s="47" t="s">
        <v>13</v>
      </c>
      <c r="J3" s="47" t="s">
        <v>14</v>
      </c>
      <c r="K3" s="47" t="s">
        <v>44</v>
      </c>
      <c r="L3" s="387"/>
      <c r="M3" s="385"/>
      <c r="N3" s="388"/>
      <c r="O3" s="388"/>
      <c r="P3" s="389"/>
      <c r="Q3" s="390"/>
      <c r="T3" s="384"/>
      <c r="U3" s="76"/>
      <c r="V3" s="82"/>
    </row>
    <row r="4" spans="1:22" ht="16.5" customHeight="1" thickTop="1" thickBot="1">
      <c r="A4" t="str">
        <f ca="1">OFFSET('0'!$B$112,($A$1-1)*10,$B4-1)</f>
        <v>SV</v>
      </c>
      <c r="B4" s="380">
        <f ca="1">OFFSET('0'!$B$111,($A$1-1)*10,0)</f>
        <v>1</v>
      </c>
      <c r="C4" s="25"/>
      <c r="D4" s="301"/>
      <c r="E4" s="302"/>
      <c r="F4" s="303"/>
      <c r="G4" s="303"/>
      <c r="H4" s="303"/>
      <c r="I4" s="303"/>
      <c r="J4" s="303"/>
      <c r="K4" s="303"/>
      <c r="L4" s="304"/>
      <c r="M4" s="285">
        <f t="shared" ref="M4:M9" si="0">SUM(D4-E4)</f>
        <v>0</v>
      </c>
      <c r="N4" s="305">
        <f t="shared" ref="N4:N9" si="1">SUM(E4,M4)</f>
        <v>0</v>
      </c>
      <c r="O4" s="305"/>
      <c r="P4" s="306"/>
      <c r="Q4" s="26"/>
      <c r="T4" s="384"/>
      <c r="U4" s="76"/>
      <c r="V4" s="76"/>
    </row>
    <row r="5" spans="1:22" ht="15.6" thickTop="1" thickBot="1">
      <c r="B5" s="380"/>
      <c r="C5" s="27"/>
      <c r="D5" s="266"/>
      <c r="E5" s="267"/>
      <c r="F5" s="268"/>
      <c r="G5" s="268"/>
      <c r="H5" s="268"/>
      <c r="I5" s="268"/>
      <c r="J5" s="268"/>
      <c r="K5" s="268"/>
      <c r="L5" s="289"/>
      <c r="M5" s="267">
        <f t="shared" si="0"/>
        <v>0</v>
      </c>
      <c r="N5" s="269">
        <f t="shared" si="1"/>
        <v>0</v>
      </c>
      <c r="O5" s="269"/>
      <c r="P5" s="290"/>
      <c r="Q5" s="28"/>
      <c r="S5" s="76"/>
      <c r="T5" s="77"/>
      <c r="U5" s="76"/>
      <c r="V5" s="76"/>
    </row>
    <row r="6" spans="1:22" ht="15.6" thickTop="1" thickBot="1">
      <c r="B6" s="380"/>
      <c r="C6" s="27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si="0"/>
        <v>0</v>
      </c>
      <c r="N6" s="269">
        <f t="shared" si="1"/>
        <v>0</v>
      </c>
      <c r="O6" s="269"/>
      <c r="P6" s="290"/>
      <c r="Q6" s="28"/>
      <c r="T6" s="77"/>
      <c r="U6" s="76"/>
      <c r="V6" s="76"/>
    </row>
    <row r="7" spans="1:22" ht="15.6" thickTop="1" thickBot="1">
      <c r="B7" s="380"/>
      <c r="C7" s="29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0"/>
        <v>0</v>
      </c>
      <c r="N7" s="269">
        <f t="shared" si="1"/>
        <v>0</v>
      </c>
      <c r="O7" s="269"/>
      <c r="P7" s="290"/>
      <c r="Q7" s="28"/>
      <c r="T7" s="77"/>
      <c r="U7" s="76"/>
      <c r="V7" s="76"/>
    </row>
    <row r="8" spans="1:22" ht="15.6" thickTop="1" thickBot="1">
      <c r="B8" s="380"/>
      <c r="C8" s="29"/>
      <c r="D8" s="266"/>
      <c r="E8" s="267"/>
      <c r="F8" s="268"/>
      <c r="G8" s="268"/>
      <c r="H8" s="268"/>
      <c r="I8" s="268"/>
      <c r="J8" s="268"/>
      <c r="K8" s="268"/>
      <c r="L8" s="291"/>
      <c r="M8" s="277">
        <f t="shared" si="0"/>
        <v>0</v>
      </c>
      <c r="N8" s="269">
        <f t="shared" si="1"/>
        <v>0</v>
      </c>
      <c r="O8" s="269"/>
      <c r="P8" s="290"/>
      <c r="Q8" s="28"/>
      <c r="T8" s="77"/>
      <c r="U8" s="76"/>
      <c r="V8" s="76"/>
    </row>
    <row r="9" spans="1:22" ht="15.6" thickTop="1" thickBot="1">
      <c r="B9" s="380"/>
      <c r="C9" s="29"/>
      <c r="D9" s="266"/>
      <c r="E9" s="267"/>
      <c r="F9" s="268"/>
      <c r="G9" s="268"/>
      <c r="H9" s="268"/>
      <c r="I9" s="268"/>
      <c r="J9" s="268"/>
      <c r="K9" s="268"/>
      <c r="L9" s="291"/>
      <c r="M9" s="277">
        <f t="shared" si="0"/>
        <v>0</v>
      </c>
      <c r="N9" s="269">
        <f t="shared" si="1"/>
        <v>0</v>
      </c>
      <c r="O9" s="269"/>
      <c r="P9" s="290"/>
      <c r="Q9" s="28"/>
      <c r="T9" s="77"/>
      <c r="U9" s="76"/>
      <c r="V9" s="76"/>
    </row>
    <row r="10" spans="1:22" ht="15.6" thickTop="1" thickBot="1">
      <c r="B10" s="380"/>
      <c r="C10" s="30" t="s">
        <v>69</v>
      </c>
      <c r="D10" s="266">
        <f t="shared" ref="D10:K10" si="2">SUM(D4:D9)</f>
        <v>0</v>
      </c>
      <c r="E10" s="267">
        <f t="shared" si="2"/>
        <v>0</v>
      </c>
      <c r="F10" s="268">
        <f t="shared" si="2"/>
        <v>0</v>
      </c>
      <c r="G10" s="268">
        <f t="shared" si="2"/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70">
        <f t="shared" si="2"/>
        <v>0</v>
      </c>
      <c r="L10" s="307"/>
      <c r="M10" s="271">
        <f>SUM(M4:M9)</f>
        <v>0</v>
      </c>
      <c r="N10" s="269">
        <f>SUM(N4:N9)</f>
        <v>0</v>
      </c>
      <c r="O10" s="62"/>
      <c r="P10" s="63"/>
      <c r="Q10" s="28"/>
      <c r="T10" s="77"/>
      <c r="U10" s="76"/>
      <c r="V10" s="76"/>
    </row>
    <row r="11" spans="1:22" ht="15.6" thickTop="1" thickBot="1">
      <c r="B11" s="380"/>
      <c r="C11" s="1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8"/>
      <c r="T11" s="81">
        <f>$V$3+L11</f>
        <v>0</v>
      </c>
      <c r="U11" s="76"/>
      <c r="V11" s="76"/>
    </row>
    <row r="12" spans="1:22" ht="15.6" thickTop="1" thickBot="1">
      <c r="A12" t="str">
        <f ca="1">OFFSET('0'!$B$112,($A$1-1)*10,$B12-1)</f>
        <v>--</v>
      </c>
      <c r="B12" s="380">
        <f ca="1">OFFSET('0'!$B$111,($A$1-1)*10,1)</f>
        <v>2</v>
      </c>
      <c r="C12" s="25"/>
      <c r="D12" s="284"/>
      <c r="E12" s="285"/>
      <c r="F12" s="286"/>
      <c r="G12" s="286"/>
      <c r="H12" s="286"/>
      <c r="I12" s="286"/>
      <c r="J12" s="286"/>
      <c r="K12" s="286"/>
      <c r="L12" s="295"/>
      <c r="M12" s="285">
        <f t="shared" ref="M12:M17" si="3">SUM(D12-E12)</f>
        <v>0</v>
      </c>
      <c r="N12" s="305">
        <f t="shared" ref="N12:N17" si="4">SUM(E12,M12)</f>
        <v>0</v>
      </c>
      <c r="O12" s="305"/>
      <c r="P12" s="292"/>
      <c r="Q12" s="31"/>
      <c r="T12" s="77"/>
      <c r="U12" s="76"/>
      <c r="V12" s="76"/>
    </row>
    <row r="13" spans="1:22" ht="17.25" customHeight="1" thickTop="1" thickBot="1">
      <c r="B13" s="380"/>
      <c r="C13" s="27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 t="shared" si="3"/>
        <v>0</v>
      </c>
      <c r="N13" s="269">
        <f t="shared" si="4"/>
        <v>0</v>
      </c>
      <c r="O13" s="269"/>
      <c r="P13" s="290"/>
      <c r="Q13" s="28"/>
      <c r="T13" s="77"/>
      <c r="U13" s="76"/>
      <c r="V13" s="76"/>
    </row>
    <row r="14" spans="1:22" ht="15.6" thickTop="1" thickBot="1">
      <c r="B14" s="380"/>
      <c r="C14" s="27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si="3"/>
        <v>0</v>
      </c>
      <c r="N14" s="269">
        <f t="shared" si="4"/>
        <v>0</v>
      </c>
      <c r="O14" s="269"/>
      <c r="P14" s="290"/>
      <c r="Q14" s="28"/>
      <c r="T14" s="77"/>
      <c r="U14" s="76"/>
      <c r="V14" s="76"/>
    </row>
    <row r="15" spans="1:22" ht="15.6" thickTop="1" thickBot="1">
      <c r="B15" s="380"/>
      <c r="C15" s="29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3"/>
        <v>0</v>
      </c>
      <c r="N15" s="269">
        <f t="shared" si="4"/>
        <v>0</v>
      </c>
      <c r="O15" s="269"/>
      <c r="P15" s="290"/>
      <c r="Q15" s="28"/>
      <c r="T15" s="77"/>
      <c r="U15" s="76"/>
      <c r="V15" s="76"/>
    </row>
    <row r="16" spans="1:22" ht="15.6" thickTop="1" thickBot="1">
      <c r="B16" s="380"/>
      <c r="C16" s="29"/>
      <c r="D16" s="276"/>
      <c r="E16" s="277"/>
      <c r="F16" s="278"/>
      <c r="G16" s="278"/>
      <c r="H16" s="278"/>
      <c r="I16" s="278"/>
      <c r="J16" s="278"/>
      <c r="K16" s="278"/>
      <c r="L16" s="291"/>
      <c r="M16" s="277">
        <f t="shared" si="3"/>
        <v>0</v>
      </c>
      <c r="N16" s="279">
        <f t="shared" si="4"/>
        <v>0</v>
      </c>
      <c r="O16" s="279"/>
      <c r="P16" s="292"/>
      <c r="Q16" s="32"/>
      <c r="T16" s="77"/>
      <c r="U16" s="76"/>
      <c r="V16" s="76"/>
    </row>
    <row r="17" spans="1:22" ht="15.6" thickTop="1" thickBot="1">
      <c r="B17" s="380"/>
      <c r="C17" s="29"/>
      <c r="D17" s="276"/>
      <c r="E17" s="277"/>
      <c r="F17" s="278"/>
      <c r="G17" s="278"/>
      <c r="H17" s="278"/>
      <c r="I17" s="278"/>
      <c r="J17" s="278"/>
      <c r="K17" s="278"/>
      <c r="L17" s="291"/>
      <c r="M17" s="277">
        <f t="shared" si="3"/>
        <v>0</v>
      </c>
      <c r="N17" s="279">
        <f t="shared" si="4"/>
        <v>0</v>
      </c>
      <c r="O17" s="279"/>
      <c r="P17" s="292"/>
      <c r="Q17" s="32"/>
      <c r="T17" s="77"/>
      <c r="U17" s="83"/>
      <c r="V17" s="84"/>
    </row>
    <row r="18" spans="1:22" ht="15.6" thickTop="1" thickBot="1">
      <c r="B18" s="380"/>
      <c r="C18" s="30" t="s">
        <v>69</v>
      </c>
      <c r="D18" s="276">
        <f t="shared" ref="D18:K18" si="5">SUM(D12:D17)</f>
        <v>0</v>
      </c>
      <c r="E18" s="277">
        <f t="shared" si="5"/>
        <v>0</v>
      </c>
      <c r="F18" s="278">
        <f t="shared" si="5"/>
        <v>0</v>
      </c>
      <c r="G18" s="278">
        <f t="shared" si="5"/>
        <v>0</v>
      </c>
      <c r="H18" s="278">
        <f t="shared" si="5"/>
        <v>0</v>
      </c>
      <c r="I18" s="278">
        <f t="shared" si="5"/>
        <v>0</v>
      </c>
      <c r="J18" s="278">
        <f t="shared" si="5"/>
        <v>0</v>
      </c>
      <c r="K18" s="308">
        <f t="shared" si="5"/>
        <v>0</v>
      </c>
      <c r="L18" s="307"/>
      <c r="M18" s="309">
        <f>SUM(M12:M17)</f>
        <v>0</v>
      </c>
      <c r="N18" s="280">
        <f>SUM(N12:N17)</f>
        <v>0</v>
      </c>
      <c r="O18" s="65"/>
      <c r="P18" s="71"/>
      <c r="Q18" s="32"/>
      <c r="T18" s="77"/>
      <c r="U18" s="85"/>
      <c r="V18" s="85"/>
    </row>
    <row r="19" spans="1:22" ht="15.6" thickTop="1" thickBot="1">
      <c r="B19" s="380"/>
      <c r="C19" s="1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8"/>
      <c r="T19" s="81">
        <f>$V$3+L11+L19</f>
        <v>0</v>
      </c>
      <c r="U19" s="76"/>
      <c r="V19" s="76"/>
    </row>
    <row r="20" spans="1:22" ht="15.6" thickTop="1" thickBot="1">
      <c r="A20" t="str">
        <f ca="1">OFFSET('0'!$B$112,($A$1-1)*10,$B20-1)</f>
        <v>--</v>
      </c>
      <c r="B20" s="380">
        <f ca="1">OFFSET('0'!$B$111,($A$1-1)*10,2)</f>
        <v>3</v>
      </c>
      <c r="C20" s="25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 t="shared" ref="M20:M25" si="6">SUM(D20-E20)</f>
        <v>0</v>
      </c>
      <c r="N20" s="305">
        <f t="shared" ref="N20:N25" si="7">SUM(E20,M20)</f>
        <v>0</v>
      </c>
      <c r="O20" s="305"/>
      <c r="P20" s="306"/>
      <c r="Q20" s="26"/>
      <c r="T20" s="77"/>
      <c r="U20" s="76"/>
      <c r="V20" s="76"/>
    </row>
    <row r="21" spans="1:22" ht="15.6" thickTop="1" thickBot="1">
      <c r="B21" s="380"/>
      <c r="C21" s="27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 t="shared" si="6"/>
        <v>0</v>
      </c>
      <c r="N21" s="269">
        <f t="shared" si="7"/>
        <v>0</v>
      </c>
      <c r="O21" s="269"/>
      <c r="P21" s="290"/>
      <c r="Q21" s="28"/>
      <c r="T21" s="77"/>
      <c r="U21" s="76"/>
      <c r="V21" s="76"/>
    </row>
    <row r="22" spans="1:22" ht="15.6" thickTop="1" thickBot="1">
      <c r="B22" s="380"/>
      <c r="C22" s="27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si="6"/>
        <v>0</v>
      </c>
      <c r="N22" s="269">
        <f t="shared" si="7"/>
        <v>0</v>
      </c>
      <c r="O22" s="269"/>
      <c r="P22" s="290"/>
      <c r="Q22" s="28"/>
      <c r="T22" s="77"/>
      <c r="U22" s="76"/>
      <c r="V22" s="76"/>
    </row>
    <row r="23" spans="1:22" ht="15.6" thickTop="1" thickBot="1">
      <c r="B23" s="380"/>
      <c r="C23" s="29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6"/>
        <v>0</v>
      </c>
      <c r="N23" s="269">
        <f t="shared" si="7"/>
        <v>0</v>
      </c>
      <c r="O23" s="269"/>
      <c r="P23" s="290"/>
      <c r="Q23" s="28"/>
      <c r="T23" s="77"/>
      <c r="U23" s="76"/>
      <c r="V23" s="76"/>
    </row>
    <row r="24" spans="1:22" ht="15.6" thickTop="1" thickBot="1">
      <c r="B24" s="380"/>
      <c r="C24" s="29"/>
      <c r="D24" s="276"/>
      <c r="E24" s="277"/>
      <c r="F24" s="278"/>
      <c r="G24" s="278"/>
      <c r="H24" s="278"/>
      <c r="I24" s="278"/>
      <c r="J24" s="278"/>
      <c r="K24" s="278"/>
      <c r="L24" s="291"/>
      <c r="M24" s="277">
        <f t="shared" si="6"/>
        <v>0</v>
      </c>
      <c r="N24" s="269">
        <f t="shared" si="7"/>
        <v>0</v>
      </c>
      <c r="O24" s="269"/>
      <c r="P24" s="293"/>
      <c r="Q24" s="32"/>
      <c r="T24" s="77"/>
      <c r="U24" s="76"/>
      <c r="V24" s="76"/>
    </row>
    <row r="25" spans="1:22" ht="15.6" thickTop="1" thickBot="1">
      <c r="B25" s="380"/>
      <c r="C25" s="29"/>
      <c r="D25" s="276"/>
      <c r="E25" s="277"/>
      <c r="F25" s="278"/>
      <c r="G25" s="278"/>
      <c r="H25" s="278"/>
      <c r="I25" s="278"/>
      <c r="J25" s="278"/>
      <c r="K25" s="278"/>
      <c r="L25" s="291"/>
      <c r="M25" s="277">
        <f t="shared" si="6"/>
        <v>0</v>
      </c>
      <c r="N25" s="269">
        <f t="shared" si="7"/>
        <v>0</v>
      </c>
      <c r="O25" s="269"/>
      <c r="P25" s="293"/>
      <c r="Q25" s="32"/>
      <c r="T25" s="77"/>
      <c r="U25" s="76"/>
      <c r="V25" s="76"/>
    </row>
    <row r="26" spans="1:22" ht="15.6" thickTop="1" thickBot="1">
      <c r="B26" s="380"/>
      <c r="C26" s="30" t="s">
        <v>69</v>
      </c>
      <c r="D26" s="276">
        <f t="shared" ref="D26:K26" si="8">SUM(D20:D25)</f>
        <v>0</v>
      </c>
      <c r="E26" s="277">
        <f t="shared" si="8"/>
        <v>0</v>
      </c>
      <c r="F26" s="278">
        <f t="shared" si="8"/>
        <v>0</v>
      </c>
      <c r="G26" s="278">
        <f t="shared" si="8"/>
        <v>0</v>
      </c>
      <c r="H26" s="278">
        <f t="shared" si="8"/>
        <v>0</v>
      </c>
      <c r="I26" s="278">
        <f t="shared" si="8"/>
        <v>0</v>
      </c>
      <c r="J26" s="278">
        <f t="shared" si="8"/>
        <v>0</v>
      </c>
      <c r="K26" s="308">
        <f t="shared" si="8"/>
        <v>0</v>
      </c>
      <c r="L26" s="307"/>
      <c r="M26" s="309">
        <f>SUM(M20:M25)</f>
        <v>0</v>
      </c>
      <c r="N26" s="280">
        <f>SUM(N20:N25)</f>
        <v>0</v>
      </c>
      <c r="O26" s="65"/>
      <c r="P26" s="71"/>
      <c r="Q26" s="32"/>
      <c r="T26" s="77"/>
      <c r="U26" s="76"/>
      <c r="V26" s="76"/>
    </row>
    <row r="27" spans="1:22" ht="15.6" thickTop="1" thickBot="1">
      <c r="B27" s="380"/>
      <c r="C27" s="20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72">
        <f>SUM(M20:M25)</f>
        <v>0</v>
      </c>
      <c r="N27" s="272">
        <f>SUM(N20:N25)</f>
        <v>0</v>
      </c>
      <c r="O27" s="272">
        <f>SUM(O26)</f>
        <v>0</v>
      </c>
      <c r="P27" s="310">
        <f>SUM(P26)</f>
        <v>0</v>
      </c>
      <c r="Q27" s="21"/>
      <c r="T27" s="81">
        <f>$V$3++L11+L19+L27</f>
        <v>0</v>
      </c>
      <c r="U27" s="76"/>
      <c r="V27" s="76"/>
    </row>
    <row r="28" spans="1:22" ht="15.6" thickTop="1" thickBot="1">
      <c r="A28" t="str">
        <f ca="1">OFFSET('0'!$B$112,($A$1-1)*10,$B28-1)</f>
        <v>SS</v>
      </c>
      <c r="B28" s="380">
        <f ca="1">OFFSET('0'!$B$111,($A$1-1)*10,3)</f>
        <v>4</v>
      </c>
      <c r="C28" s="25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 t="shared" ref="M28:M33" si="9">SUM(D28-E28)</f>
        <v>0</v>
      </c>
      <c r="N28" s="305">
        <f t="shared" ref="N28:N33" si="10">SUM(E28,M28)</f>
        <v>0</v>
      </c>
      <c r="O28" s="305"/>
      <c r="P28" s="306"/>
      <c r="Q28" s="26"/>
      <c r="T28" s="77"/>
      <c r="U28" s="76"/>
      <c r="V28" s="76"/>
    </row>
    <row r="29" spans="1:22" ht="17.25" customHeight="1" thickTop="1" thickBot="1">
      <c r="B29" s="380"/>
      <c r="C29" s="27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 t="shared" si="9"/>
        <v>0</v>
      </c>
      <c r="N29" s="269">
        <f t="shared" si="10"/>
        <v>0</v>
      </c>
      <c r="O29" s="269"/>
      <c r="P29" s="290"/>
      <c r="Q29" s="28"/>
      <c r="T29" s="77"/>
      <c r="U29" s="76"/>
      <c r="V29" s="76"/>
    </row>
    <row r="30" spans="1:22" ht="17.25" customHeight="1" thickTop="1" thickBot="1">
      <c r="B30" s="380"/>
      <c r="C30" s="27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si="9"/>
        <v>0</v>
      </c>
      <c r="N30" s="269">
        <f t="shared" si="10"/>
        <v>0</v>
      </c>
      <c r="O30" s="269"/>
      <c r="P30" s="290"/>
      <c r="Q30" s="28"/>
      <c r="T30" s="77"/>
      <c r="U30" s="76"/>
      <c r="V30" s="76"/>
    </row>
    <row r="31" spans="1:22" ht="17.25" customHeight="1" thickTop="1" thickBot="1">
      <c r="B31" s="380"/>
      <c r="C31" s="29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9"/>
        <v>0</v>
      </c>
      <c r="N31" s="269">
        <f t="shared" si="10"/>
        <v>0</v>
      </c>
      <c r="O31" s="269"/>
      <c r="P31" s="290"/>
      <c r="Q31" s="28"/>
      <c r="T31" s="77"/>
      <c r="U31" s="76"/>
      <c r="V31" s="76"/>
    </row>
    <row r="32" spans="1:22" ht="15.6" thickTop="1" thickBot="1">
      <c r="B32" s="380"/>
      <c r="C32" s="29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9"/>
        <v>0</v>
      </c>
      <c r="N32" s="269">
        <f t="shared" si="10"/>
        <v>0</v>
      </c>
      <c r="O32" s="269"/>
      <c r="P32" s="290"/>
      <c r="Q32" s="28"/>
      <c r="T32" s="77"/>
      <c r="U32" s="76"/>
      <c r="V32" s="76"/>
    </row>
    <row r="33" spans="1:22" ht="15.6" thickTop="1" thickBot="1">
      <c r="B33" s="380"/>
      <c r="C33" s="29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9"/>
        <v>0</v>
      </c>
      <c r="N33" s="269">
        <f t="shared" si="10"/>
        <v>0</v>
      </c>
      <c r="O33" s="269"/>
      <c r="P33" s="290"/>
      <c r="Q33" s="28"/>
      <c r="T33" s="77"/>
      <c r="U33" s="76"/>
      <c r="V33" s="76"/>
    </row>
    <row r="34" spans="1:22" ht="15.6" thickTop="1" thickBot="1">
      <c r="B34" s="380"/>
      <c r="C34" s="30" t="s">
        <v>69</v>
      </c>
      <c r="D34" s="266">
        <f t="shared" ref="D34:K34" si="11">SUM(D28:D33)</f>
        <v>0</v>
      </c>
      <c r="E34" s="267">
        <f t="shared" si="11"/>
        <v>0</v>
      </c>
      <c r="F34" s="268">
        <f t="shared" si="11"/>
        <v>0</v>
      </c>
      <c r="G34" s="268">
        <f t="shared" si="11"/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70">
        <f t="shared" si="11"/>
        <v>0</v>
      </c>
      <c r="L34" s="307"/>
      <c r="M34" s="271">
        <f>SUM(M28:M33)</f>
        <v>0</v>
      </c>
      <c r="N34" s="269">
        <f>SUM(N28:N33)</f>
        <v>0</v>
      </c>
      <c r="O34" s="62"/>
      <c r="P34" s="63"/>
      <c r="Q34" s="28"/>
      <c r="T34" s="77"/>
      <c r="U34" s="76"/>
      <c r="V34" s="76"/>
    </row>
    <row r="35" spans="1:22" ht="15.6" thickTop="1" thickBot="1">
      <c r="B35" s="380"/>
      <c r="C35" s="1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8"/>
      <c r="T35" s="81">
        <f>$V$3+L11+L19+L27+L35</f>
        <v>0</v>
      </c>
      <c r="U35" s="76"/>
      <c r="V35" s="76"/>
    </row>
    <row r="36" spans="1:22" ht="15.6" thickTop="1" thickBot="1">
      <c r="A36" t="str">
        <f ca="1">OFFSET('0'!$B$112,($A$1-1)*10,$B36-1)</f>
        <v>SK</v>
      </c>
      <c r="B36" s="380">
        <f ca="1">OFFSET('0'!$B$111,($A$1-1)*10,4)</f>
        <v>5</v>
      </c>
      <c r="C36" s="25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 t="shared" ref="M36:M41" si="12">SUM(D36-E36)</f>
        <v>0</v>
      </c>
      <c r="N36" s="305">
        <f>SUM(E36,M36)</f>
        <v>0</v>
      </c>
      <c r="O36" s="305"/>
      <c r="P36" s="306"/>
      <c r="Q36" s="26"/>
      <c r="T36" s="77"/>
      <c r="U36" s="76"/>
      <c r="V36" s="76"/>
    </row>
    <row r="37" spans="1:22" ht="15.6" thickTop="1" thickBot="1">
      <c r="B37" s="380"/>
      <c r="C37" s="27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 t="shared" si="12"/>
        <v>0</v>
      </c>
      <c r="N37" s="269">
        <f>SUM(E37,M37)</f>
        <v>0</v>
      </c>
      <c r="O37" s="269"/>
      <c r="P37" s="290"/>
      <c r="Q37" s="28"/>
      <c r="T37" s="77"/>
      <c r="U37" s="76"/>
      <c r="V37" s="76"/>
    </row>
    <row r="38" spans="1:22" ht="15.6" thickTop="1" thickBot="1">
      <c r="B38" s="380"/>
      <c r="C38" s="27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si="12"/>
        <v>0</v>
      </c>
      <c r="N38" s="269">
        <f>SUM(E38,M38)</f>
        <v>0</v>
      </c>
      <c r="O38" s="269"/>
      <c r="P38" s="290"/>
      <c r="Q38" s="28"/>
      <c r="T38" s="77"/>
      <c r="U38" s="76"/>
      <c r="V38" s="76"/>
    </row>
    <row r="39" spans="1:22" ht="15.6" thickTop="1" thickBot="1">
      <c r="B39" s="380"/>
      <c r="C39" s="29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28"/>
      <c r="T39" s="77"/>
      <c r="U39" s="76"/>
      <c r="V39" s="76"/>
    </row>
    <row r="40" spans="1:22" ht="15.6" thickTop="1" thickBot="1">
      <c r="B40" s="380"/>
      <c r="C40" s="29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28"/>
      <c r="T40" s="77"/>
      <c r="U40" s="76"/>
      <c r="V40" s="76"/>
    </row>
    <row r="41" spans="1:22" ht="15.6" thickTop="1" thickBot="1">
      <c r="B41" s="380"/>
      <c r="C41" s="29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28"/>
      <c r="T41" s="77"/>
      <c r="U41" s="76"/>
      <c r="V41" s="76"/>
    </row>
    <row r="42" spans="1:22" ht="15.6" thickTop="1" thickBot="1">
      <c r="B42" s="380"/>
      <c r="C42" s="30" t="s">
        <v>69</v>
      </c>
      <c r="D42" s="276">
        <f t="shared" ref="D42:K42" si="14">SUM(D36:D41)</f>
        <v>0</v>
      </c>
      <c r="E42" s="277">
        <f t="shared" si="14"/>
        <v>0</v>
      </c>
      <c r="F42" s="278">
        <f t="shared" si="14"/>
        <v>0</v>
      </c>
      <c r="G42" s="278">
        <f t="shared" si="14"/>
        <v>0</v>
      </c>
      <c r="H42" s="278">
        <f t="shared" si="14"/>
        <v>0</v>
      </c>
      <c r="I42" s="278">
        <f t="shared" si="14"/>
        <v>0</v>
      </c>
      <c r="J42" s="278">
        <f t="shared" si="14"/>
        <v>0</v>
      </c>
      <c r="K42" s="308">
        <f t="shared" si="14"/>
        <v>0</v>
      </c>
      <c r="L42" s="307"/>
      <c r="M42" s="309">
        <f>SUM(M36:M41)</f>
        <v>0</v>
      </c>
      <c r="N42" s="279">
        <f>SUM(N36:N41)</f>
        <v>0</v>
      </c>
      <c r="O42" s="64"/>
      <c r="P42" s="70"/>
      <c r="Q42" s="32"/>
      <c r="T42" s="77"/>
      <c r="U42" s="76"/>
      <c r="V42" s="76"/>
    </row>
    <row r="43" spans="1:22" ht="15.6" thickTop="1" thickBot="1">
      <c r="B43" s="380"/>
      <c r="C43" s="1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8"/>
      <c r="T43" s="81">
        <f>$V$3+L11+L19+L27+L35+L43</f>
        <v>0</v>
      </c>
      <c r="U43" s="76"/>
      <c r="V43" s="76"/>
    </row>
    <row r="44" spans="1:22" ht="15.6" thickTop="1" thickBot="1">
      <c r="A44" t="str">
        <f ca="1">OFFSET('0'!$B$112,($A$1-1)*10,$B44-1)</f>
        <v>--</v>
      </c>
      <c r="B44" s="380">
        <f ca="1">OFFSET('0'!$B$111,($A$1-1)*10,5)</f>
        <v>6</v>
      </c>
      <c r="C44" s="25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 t="shared" ref="M44:M49" si="15">SUM(D44-E44)</f>
        <v>0</v>
      </c>
      <c r="N44" s="305">
        <f t="shared" ref="N44:N49" si="16">SUM(E44,M44)</f>
        <v>0</v>
      </c>
      <c r="O44" s="305"/>
      <c r="P44" s="306"/>
      <c r="Q44" s="26"/>
      <c r="T44" s="77"/>
      <c r="U44" s="76"/>
      <c r="V44" s="76"/>
    </row>
    <row r="45" spans="1:22" ht="15.6" thickTop="1" thickBot="1">
      <c r="B45" s="380"/>
      <c r="C45" s="27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 t="shared" si="15"/>
        <v>0</v>
      </c>
      <c r="N45" s="269">
        <f t="shared" si="16"/>
        <v>0</v>
      </c>
      <c r="O45" s="269"/>
      <c r="P45" s="290"/>
      <c r="Q45" s="28"/>
      <c r="T45" s="77"/>
      <c r="U45" s="76"/>
      <c r="V45" s="76"/>
    </row>
    <row r="46" spans="1:22" ht="15.6" thickTop="1" thickBot="1">
      <c r="B46" s="380"/>
      <c r="C46" s="27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si="15"/>
        <v>0</v>
      </c>
      <c r="N46" s="269">
        <f t="shared" si="16"/>
        <v>0</v>
      </c>
      <c r="O46" s="269"/>
      <c r="P46" s="290"/>
      <c r="Q46" s="28"/>
      <c r="T46" s="77"/>
      <c r="U46" s="76"/>
      <c r="V46" s="76"/>
    </row>
    <row r="47" spans="1:22" ht="15.6" thickTop="1" thickBot="1">
      <c r="B47" s="380"/>
      <c r="C47" s="29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5"/>
        <v>0</v>
      </c>
      <c r="N47" s="269">
        <f t="shared" si="16"/>
        <v>0</v>
      </c>
      <c r="O47" s="269"/>
      <c r="P47" s="290"/>
      <c r="Q47" s="28"/>
      <c r="T47" s="77"/>
      <c r="U47" s="76"/>
      <c r="V47" s="76"/>
    </row>
    <row r="48" spans="1:22" ht="15.6" thickTop="1" thickBot="1">
      <c r="B48" s="380"/>
      <c r="C48" s="29"/>
      <c r="D48" s="276"/>
      <c r="E48" s="277"/>
      <c r="F48" s="278"/>
      <c r="G48" s="278"/>
      <c r="H48" s="278"/>
      <c r="I48" s="278"/>
      <c r="J48" s="278"/>
      <c r="K48" s="278"/>
      <c r="L48" s="291"/>
      <c r="M48" s="277">
        <f t="shared" si="15"/>
        <v>0</v>
      </c>
      <c r="N48" s="269">
        <f t="shared" si="16"/>
        <v>0</v>
      </c>
      <c r="O48" s="279"/>
      <c r="P48" s="292"/>
      <c r="Q48" s="32"/>
      <c r="T48" s="77"/>
      <c r="U48" s="76"/>
      <c r="V48" s="76"/>
    </row>
    <row r="49" spans="1:22" ht="15.6" thickTop="1" thickBot="1">
      <c r="B49" s="380"/>
      <c r="C49" s="29"/>
      <c r="D49" s="276"/>
      <c r="E49" s="277"/>
      <c r="F49" s="278"/>
      <c r="G49" s="278"/>
      <c r="H49" s="278"/>
      <c r="I49" s="278"/>
      <c r="J49" s="278"/>
      <c r="K49" s="278"/>
      <c r="L49" s="291"/>
      <c r="M49" s="277">
        <f t="shared" si="15"/>
        <v>0</v>
      </c>
      <c r="N49" s="279">
        <f t="shared" si="16"/>
        <v>0</v>
      </c>
      <c r="O49" s="279"/>
      <c r="P49" s="292"/>
      <c r="Q49" s="32"/>
      <c r="T49" s="77"/>
      <c r="U49" s="76"/>
      <c r="V49" s="76"/>
    </row>
    <row r="50" spans="1:22" ht="15.6" thickTop="1" thickBot="1">
      <c r="B50" s="380"/>
      <c r="C50" s="30" t="s">
        <v>69</v>
      </c>
      <c r="D50" s="276">
        <f t="shared" ref="D50:K50" si="17">SUM(D44:D49)</f>
        <v>0</v>
      </c>
      <c r="E50" s="277">
        <f t="shared" si="17"/>
        <v>0</v>
      </c>
      <c r="F50" s="278">
        <f t="shared" si="17"/>
        <v>0</v>
      </c>
      <c r="G50" s="278">
        <f t="shared" si="17"/>
        <v>0</v>
      </c>
      <c r="H50" s="278">
        <f t="shared" si="17"/>
        <v>0</v>
      </c>
      <c r="I50" s="278">
        <f t="shared" si="17"/>
        <v>0</v>
      </c>
      <c r="J50" s="278">
        <f t="shared" si="17"/>
        <v>0</v>
      </c>
      <c r="K50" s="308">
        <f t="shared" si="17"/>
        <v>0</v>
      </c>
      <c r="L50" s="307"/>
      <c r="M50" s="309">
        <f>SUM(M44:M49)</f>
        <v>0</v>
      </c>
      <c r="N50" s="280">
        <f>SUM(N44:N49)</f>
        <v>0</v>
      </c>
      <c r="O50" s="65"/>
      <c r="P50" s="71"/>
      <c r="Q50" s="32"/>
      <c r="T50" s="77"/>
      <c r="U50" s="76"/>
      <c r="V50" s="76"/>
    </row>
    <row r="51" spans="1:22" ht="15.6" thickTop="1" thickBot="1">
      <c r="B51" s="380"/>
      <c r="C51" s="20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72">
        <f>SUM(M44:M49)</f>
        <v>0</v>
      </c>
      <c r="N51" s="272">
        <f>SUM(N44:N49)</f>
        <v>0</v>
      </c>
      <c r="O51" s="272">
        <f>SUM(O50)</f>
        <v>0</v>
      </c>
      <c r="P51" s="310">
        <f>SUM(P50)</f>
        <v>0</v>
      </c>
      <c r="Q51" s="21"/>
      <c r="T51" s="81">
        <f>$V$3+L11+L19+L27+L35+L43+L51</f>
        <v>0</v>
      </c>
      <c r="U51" s="76"/>
      <c r="V51" s="76"/>
    </row>
    <row r="52" spans="1:22" ht="15.6" thickTop="1" thickBot="1">
      <c r="A52" t="str">
        <f ca="1">OFFSET('0'!$B$112,($A$1-1)*10,$B52-1)</f>
        <v>--</v>
      </c>
      <c r="B52" s="380">
        <f ca="1">OFFSET('0'!$B$111,($A$1-1)*10,6)</f>
        <v>7</v>
      </c>
      <c r="C52" s="25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 t="shared" ref="M52:M57" si="18">SUM(D52-E52)</f>
        <v>0</v>
      </c>
      <c r="N52" s="305">
        <f t="shared" ref="N52:N57" si="19">SUM(E52,M52)</f>
        <v>0</v>
      </c>
      <c r="O52" s="305"/>
      <c r="P52" s="306"/>
      <c r="Q52" s="26"/>
      <c r="T52" s="77"/>
      <c r="U52" s="76"/>
      <c r="V52" s="76"/>
    </row>
    <row r="53" spans="1:22" ht="15.6" thickTop="1" thickBot="1">
      <c r="B53" s="380"/>
      <c r="C53" s="27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 t="shared" si="18"/>
        <v>0</v>
      </c>
      <c r="N53" s="269">
        <f t="shared" si="19"/>
        <v>0</v>
      </c>
      <c r="O53" s="269"/>
      <c r="P53" s="290"/>
      <c r="Q53" s="28"/>
      <c r="T53" s="77"/>
      <c r="U53" s="76"/>
      <c r="V53" s="76"/>
    </row>
    <row r="54" spans="1:22" ht="15.6" thickTop="1" thickBot="1">
      <c r="B54" s="380"/>
      <c r="C54" s="27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si="18"/>
        <v>0</v>
      </c>
      <c r="N54" s="269">
        <f t="shared" si="19"/>
        <v>0</v>
      </c>
      <c r="O54" s="269"/>
      <c r="P54" s="290"/>
      <c r="Q54" s="28"/>
      <c r="T54" s="77"/>
      <c r="U54" s="76"/>
      <c r="V54" s="76"/>
    </row>
    <row r="55" spans="1:22" ht="15.6" thickTop="1" thickBot="1">
      <c r="B55" s="380"/>
      <c r="C55" s="29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8"/>
        <v>0</v>
      </c>
      <c r="N55" s="269">
        <f t="shared" si="19"/>
        <v>0</v>
      </c>
      <c r="O55" s="269"/>
      <c r="P55" s="290"/>
      <c r="Q55" s="28"/>
      <c r="T55" s="77"/>
      <c r="U55" s="76"/>
      <c r="V55" s="76"/>
    </row>
    <row r="56" spans="1:22" ht="15.6" thickTop="1" thickBot="1">
      <c r="B56" s="380"/>
      <c r="C56" s="29"/>
      <c r="D56" s="276"/>
      <c r="E56" s="277"/>
      <c r="F56" s="278"/>
      <c r="G56" s="278"/>
      <c r="H56" s="278"/>
      <c r="I56" s="278"/>
      <c r="J56" s="278"/>
      <c r="K56" s="278"/>
      <c r="L56" s="291"/>
      <c r="M56" s="277">
        <f t="shared" si="18"/>
        <v>0</v>
      </c>
      <c r="N56" s="269">
        <f t="shared" si="19"/>
        <v>0</v>
      </c>
      <c r="O56" s="279"/>
      <c r="P56" s="292"/>
      <c r="Q56" s="32"/>
      <c r="T56" s="77"/>
      <c r="U56" s="76"/>
      <c r="V56" s="76"/>
    </row>
    <row r="57" spans="1:22" ht="15.6" thickTop="1" thickBot="1">
      <c r="B57" s="380"/>
      <c r="C57" s="29"/>
      <c r="D57" s="276"/>
      <c r="E57" s="277"/>
      <c r="F57" s="278"/>
      <c r="G57" s="278"/>
      <c r="H57" s="278"/>
      <c r="I57" s="278"/>
      <c r="J57" s="278"/>
      <c r="K57" s="278"/>
      <c r="L57" s="291"/>
      <c r="M57" s="277">
        <f t="shared" si="18"/>
        <v>0</v>
      </c>
      <c r="N57" s="279">
        <f t="shared" si="19"/>
        <v>0</v>
      </c>
      <c r="O57" s="279"/>
      <c r="P57" s="292"/>
      <c r="Q57" s="32"/>
      <c r="T57" s="77"/>
      <c r="U57" s="76"/>
      <c r="V57" s="76"/>
    </row>
    <row r="58" spans="1:22" ht="15.6" thickTop="1" thickBot="1">
      <c r="B58" s="380"/>
      <c r="C58" s="30" t="s">
        <v>69</v>
      </c>
      <c r="D58" s="276">
        <f t="shared" ref="D58:K58" si="20">SUM(D52:D57)</f>
        <v>0</v>
      </c>
      <c r="E58" s="277">
        <f t="shared" si="20"/>
        <v>0</v>
      </c>
      <c r="F58" s="278">
        <f t="shared" si="20"/>
        <v>0</v>
      </c>
      <c r="G58" s="278">
        <f t="shared" si="20"/>
        <v>0</v>
      </c>
      <c r="H58" s="278">
        <f t="shared" si="20"/>
        <v>0</v>
      </c>
      <c r="I58" s="278">
        <f t="shared" si="20"/>
        <v>0</v>
      </c>
      <c r="J58" s="278">
        <f t="shared" si="20"/>
        <v>0</v>
      </c>
      <c r="K58" s="308">
        <f t="shared" si="20"/>
        <v>0</v>
      </c>
      <c r="L58" s="307"/>
      <c r="M58" s="309">
        <f>SUM(M52:M57)</f>
        <v>0</v>
      </c>
      <c r="N58" s="280">
        <f>SUM(N52:N57)</f>
        <v>0</v>
      </c>
      <c r="O58" s="65"/>
      <c r="P58" s="71"/>
      <c r="Q58" s="32"/>
      <c r="T58" s="77"/>
      <c r="U58" s="76"/>
      <c r="V58" s="76"/>
    </row>
    <row r="59" spans="1:22" ht="15.6" thickTop="1" thickBot="1">
      <c r="B59" s="380"/>
      <c r="C59" s="1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8"/>
      <c r="T59" s="81">
        <f>$V$3+L11+L19+L27+L35+L43+L51+L59</f>
        <v>0</v>
      </c>
      <c r="U59" s="76"/>
      <c r="V59" s="76"/>
    </row>
    <row r="60" spans="1:22" ht="15.6" thickTop="1" thickBot="1">
      <c r="A60" t="str">
        <f ca="1">OFFSET('0'!$B$112,($A$1-1)*10,$B60-1)</f>
        <v>--</v>
      </c>
      <c r="B60" s="380">
        <f ca="1">OFFSET('0'!$B$111,($A$1-1)*10,7)</f>
        <v>8</v>
      </c>
      <c r="C60" s="25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 t="shared" ref="M60:M65" si="21">SUM(D60-E60)</f>
        <v>0</v>
      </c>
      <c r="N60" s="305">
        <f t="shared" ref="N60:N65" si="22">SUM(E60,M60)</f>
        <v>0</v>
      </c>
      <c r="O60" s="305"/>
      <c r="P60" s="306"/>
      <c r="Q60" s="26"/>
      <c r="T60" s="77"/>
      <c r="U60" s="76"/>
      <c r="V60" s="76"/>
    </row>
    <row r="61" spans="1:22" ht="15.6" thickTop="1" thickBot="1">
      <c r="B61" s="380"/>
      <c r="C61" s="27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 t="shared" si="21"/>
        <v>0</v>
      </c>
      <c r="N61" s="269">
        <f t="shared" si="22"/>
        <v>0</v>
      </c>
      <c r="O61" s="269"/>
      <c r="P61" s="290"/>
      <c r="Q61" s="28"/>
      <c r="T61" s="77"/>
      <c r="U61" s="76"/>
      <c r="V61" s="76"/>
    </row>
    <row r="62" spans="1:22" ht="15.6" thickTop="1" thickBot="1">
      <c r="B62" s="380"/>
      <c r="C62" s="27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si="21"/>
        <v>0</v>
      </c>
      <c r="N62" s="269">
        <f t="shared" si="22"/>
        <v>0</v>
      </c>
      <c r="O62" s="269"/>
      <c r="P62" s="290"/>
      <c r="Q62" s="28"/>
      <c r="T62" s="77"/>
      <c r="U62" s="76"/>
      <c r="V62" s="76"/>
    </row>
    <row r="63" spans="1:22" ht="15.6" thickTop="1" thickBot="1">
      <c r="B63" s="380"/>
      <c r="C63" s="29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1"/>
        <v>0</v>
      </c>
      <c r="N63" s="269">
        <f t="shared" si="22"/>
        <v>0</v>
      </c>
      <c r="O63" s="269"/>
      <c r="P63" s="290"/>
      <c r="Q63" s="28"/>
      <c r="T63" s="77"/>
      <c r="U63" s="76"/>
      <c r="V63" s="76"/>
    </row>
    <row r="64" spans="1:22" ht="15.6" thickTop="1" thickBot="1">
      <c r="B64" s="380"/>
      <c r="C64" s="29"/>
      <c r="D64" s="276"/>
      <c r="E64" s="277"/>
      <c r="F64" s="278"/>
      <c r="G64" s="278"/>
      <c r="H64" s="278"/>
      <c r="I64" s="278"/>
      <c r="J64" s="278"/>
      <c r="K64" s="278"/>
      <c r="L64" s="291"/>
      <c r="M64" s="277">
        <f t="shared" si="21"/>
        <v>0</v>
      </c>
      <c r="N64" s="269">
        <f t="shared" si="22"/>
        <v>0</v>
      </c>
      <c r="O64" s="279"/>
      <c r="P64" s="292"/>
      <c r="Q64" s="32"/>
      <c r="T64" s="77"/>
      <c r="U64" s="76"/>
      <c r="V64" s="76"/>
    </row>
    <row r="65" spans="1:22" ht="15.6" thickTop="1" thickBot="1">
      <c r="B65" s="380"/>
      <c r="C65" s="29"/>
      <c r="D65" s="276"/>
      <c r="E65" s="277"/>
      <c r="F65" s="278"/>
      <c r="G65" s="278"/>
      <c r="H65" s="278"/>
      <c r="I65" s="278"/>
      <c r="J65" s="278"/>
      <c r="K65" s="278"/>
      <c r="L65" s="291"/>
      <c r="M65" s="277">
        <f t="shared" si="21"/>
        <v>0</v>
      </c>
      <c r="N65" s="279">
        <f t="shared" si="22"/>
        <v>0</v>
      </c>
      <c r="O65" s="279"/>
      <c r="P65" s="292"/>
      <c r="Q65" s="32"/>
      <c r="T65" s="77"/>
      <c r="U65" s="76"/>
      <c r="V65" s="76"/>
    </row>
    <row r="66" spans="1:22" ht="15.6" thickTop="1" thickBot="1">
      <c r="B66" s="380"/>
      <c r="C66" s="30" t="s">
        <v>69</v>
      </c>
      <c r="D66" s="276">
        <f t="shared" ref="D66:K66" si="23">SUM(D60:D65)</f>
        <v>0</v>
      </c>
      <c r="E66" s="277">
        <f t="shared" si="23"/>
        <v>0</v>
      </c>
      <c r="F66" s="278">
        <f t="shared" si="23"/>
        <v>0</v>
      </c>
      <c r="G66" s="278">
        <f t="shared" si="23"/>
        <v>0</v>
      </c>
      <c r="H66" s="278">
        <f t="shared" si="23"/>
        <v>0</v>
      </c>
      <c r="I66" s="278">
        <f t="shared" si="23"/>
        <v>0</v>
      </c>
      <c r="J66" s="278">
        <f t="shared" si="23"/>
        <v>0</v>
      </c>
      <c r="K66" s="308">
        <f t="shared" si="23"/>
        <v>0</v>
      </c>
      <c r="L66" s="307"/>
      <c r="M66" s="309">
        <f>SUM(M60:M65)</f>
        <v>0</v>
      </c>
      <c r="N66" s="280">
        <f>SUM(N60:N65)</f>
        <v>0</v>
      </c>
      <c r="O66" s="65"/>
      <c r="P66" s="71"/>
      <c r="Q66" s="32"/>
      <c r="T66" s="77"/>
      <c r="U66" s="76"/>
      <c r="V66" s="76"/>
    </row>
    <row r="67" spans="1:22" ht="15.6" thickTop="1" thickBot="1">
      <c r="B67" s="380"/>
      <c r="C67" s="1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8"/>
      <c r="T67" s="81">
        <f>$V$3+L11+L19+L27+L35+L43+L51+L59+L67</f>
        <v>0</v>
      </c>
      <c r="U67" s="76"/>
      <c r="V67" s="76"/>
    </row>
    <row r="68" spans="1:22" ht="15.6" thickTop="1" thickBot="1">
      <c r="A68" t="str">
        <f ca="1">OFFSET('0'!$B$112,($A$1-1)*10,$B68-1)</f>
        <v>--</v>
      </c>
      <c r="B68" s="380">
        <f ca="1">OFFSET('0'!$B$111,($A$1-1)*10,8)</f>
        <v>9</v>
      </c>
      <c r="C68" s="25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 t="shared" ref="M68:M73" si="24">SUM(D68-E68)</f>
        <v>0</v>
      </c>
      <c r="N68" s="305">
        <f>SUM(E68,M68)</f>
        <v>0</v>
      </c>
      <c r="O68" s="305"/>
      <c r="P68" s="306"/>
      <c r="Q68" s="26"/>
      <c r="T68" s="77"/>
      <c r="U68" s="76"/>
      <c r="V68" s="76"/>
    </row>
    <row r="69" spans="1:22" ht="15.6" thickTop="1" thickBot="1">
      <c r="B69" s="380"/>
      <c r="C69" s="27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 t="shared" si="24"/>
        <v>0</v>
      </c>
      <c r="N69" s="269">
        <f>SUM(E69,M69)</f>
        <v>0</v>
      </c>
      <c r="O69" s="269"/>
      <c r="P69" s="290"/>
      <c r="Q69" s="28"/>
      <c r="T69" s="77"/>
      <c r="U69" s="76"/>
      <c r="V69" s="76"/>
    </row>
    <row r="70" spans="1:22" ht="15.6" thickTop="1" thickBot="1">
      <c r="B70" s="380"/>
      <c r="C70" s="27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si="24"/>
        <v>0</v>
      </c>
      <c r="N70" s="269">
        <f>SUM(E70,M70)</f>
        <v>0</v>
      </c>
      <c r="O70" s="269"/>
      <c r="P70" s="290"/>
      <c r="Q70" s="28"/>
      <c r="T70" s="77"/>
      <c r="U70" s="76"/>
      <c r="V70" s="76"/>
    </row>
    <row r="71" spans="1:22" ht="15.6" thickTop="1" thickBot="1">
      <c r="B71" s="380"/>
      <c r="C71" s="29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28"/>
      <c r="T71" s="77"/>
      <c r="U71" s="76"/>
      <c r="V71" s="76"/>
    </row>
    <row r="72" spans="1:22" ht="15.6" thickTop="1" thickBot="1">
      <c r="B72" s="380"/>
      <c r="C72" s="29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28"/>
      <c r="T72" s="77"/>
      <c r="U72" s="76"/>
      <c r="V72" s="76"/>
    </row>
    <row r="73" spans="1:22" ht="15.6" thickTop="1" thickBot="1">
      <c r="B73" s="380"/>
      <c r="C73" s="29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28"/>
      <c r="T73" s="77"/>
      <c r="U73" s="76"/>
      <c r="V73" s="76"/>
    </row>
    <row r="74" spans="1:22" ht="15.6" thickTop="1" thickBot="1">
      <c r="B74" s="380"/>
      <c r="C74" s="30" t="s">
        <v>69</v>
      </c>
      <c r="D74" s="266">
        <f t="shared" ref="D74:K74" si="26">SUM(D68:D73)</f>
        <v>0</v>
      </c>
      <c r="E74" s="267">
        <f t="shared" si="26"/>
        <v>0</v>
      </c>
      <c r="F74" s="268">
        <f t="shared" si="26"/>
        <v>0</v>
      </c>
      <c r="G74" s="268">
        <f t="shared" si="26"/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70">
        <f t="shared" si="26"/>
        <v>0</v>
      </c>
      <c r="L74" s="307"/>
      <c r="M74" s="271">
        <f>SUM(M68:M73)</f>
        <v>0</v>
      </c>
      <c r="N74" s="269">
        <f>SUM(N68:N73)</f>
        <v>0</v>
      </c>
      <c r="O74" s="62"/>
      <c r="P74" s="63"/>
      <c r="Q74" s="28"/>
      <c r="T74" s="77"/>
      <c r="U74" s="76"/>
      <c r="V74" s="76"/>
    </row>
    <row r="75" spans="1:22" ht="15.6" thickTop="1" thickBot="1">
      <c r="B75" s="380"/>
      <c r="C75" s="1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8"/>
      <c r="T75" s="81">
        <f>$V$3+L11+L19+L27+L35+L43+L51+L59+L67+L75</f>
        <v>0</v>
      </c>
      <c r="U75" s="76"/>
      <c r="V75" s="76"/>
    </row>
    <row r="76" spans="1:22" ht="15.6" thickTop="1" thickBot="1">
      <c r="A76" t="str">
        <f ca="1">OFFSET('0'!$B$112,($A$1-1)*10,$B76-1)</f>
        <v>--</v>
      </c>
      <c r="B76" s="380">
        <f ca="1">OFFSET('0'!$B$111,($A$1-1)*10,9)</f>
        <v>10</v>
      </c>
      <c r="C76" s="25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 t="shared" ref="M76:M81" si="27">SUM(D76-E76)</f>
        <v>0</v>
      </c>
      <c r="N76" s="305">
        <f t="shared" ref="N76:N81" si="28">SUM(E76,M76)</f>
        <v>0</v>
      </c>
      <c r="O76" s="305"/>
      <c r="P76" s="306"/>
      <c r="Q76" s="26"/>
      <c r="T76" s="77"/>
      <c r="U76" s="76"/>
      <c r="V76" s="76"/>
    </row>
    <row r="77" spans="1:22" ht="15.6" thickTop="1" thickBot="1">
      <c r="B77" s="380"/>
      <c r="C77" s="27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 t="shared" si="27"/>
        <v>0</v>
      </c>
      <c r="N77" s="269">
        <f t="shared" si="28"/>
        <v>0</v>
      </c>
      <c r="O77" s="269"/>
      <c r="P77" s="290"/>
      <c r="Q77" s="28"/>
      <c r="T77" s="77"/>
      <c r="U77" s="76"/>
      <c r="V77" s="76"/>
    </row>
    <row r="78" spans="1:22" ht="15.6" thickTop="1" thickBot="1">
      <c r="B78" s="380"/>
      <c r="C78" s="27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si="27"/>
        <v>0</v>
      </c>
      <c r="N78" s="269">
        <f t="shared" si="28"/>
        <v>0</v>
      </c>
      <c r="O78" s="269"/>
      <c r="P78" s="290"/>
      <c r="Q78" s="28"/>
      <c r="T78" s="77"/>
      <c r="U78" s="76"/>
      <c r="V78" s="76"/>
    </row>
    <row r="79" spans="1:22" ht="15.6" thickTop="1" thickBot="1">
      <c r="B79" s="380"/>
      <c r="C79" s="29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7"/>
        <v>0</v>
      </c>
      <c r="N79" s="269">
        <f t="shared" si="28"/>
        <v>0</v>
      </c>
      <c r="O79" s="269"/>
      <c r="P79" s="290"/>
      <c r="Q79" s="28"/>
      <c r="T79" s="77"/>
      <c r="U79" s="76"/>
      <c r="V79" s="76"/>
    </row>
    <row r="80" spans="1:22" ht="15.6" thickTop="1" thickBot="1">
      <c r="B80" s="380"/>
      <c r="C80" s="29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7"/>
        <v>0</v>
      </c>
      <c r="N80" s="269">
        <f t="shared" si="28"/>
        <v>0</v>
      </c>
      <c r="O80" s="279"/>
      <c r="P80" s="294"/>
      <c r="Q80" s="28"/>
      <c r="T80" s="77"/>
      <c r="U80" s="76"/>
      <c r="V80" s="76"/>
    </row>
    <row r="81" spans="1:22" ht="15.6" thickTop="1" thickBot="1">
      <c r="B81" s="380"/>
      <c r="C81" s="29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7"/>
        <v>0</v>
      </c>
      <c r="N81" s="279">
        <f t="shared" si="28"/>
        <v>0</v>
      </c>
      <c r="O81" s="279"/>
      <c r="P81" s="294"/>
      <c r="Q81" s="28"/>
      <c r="T81" s="77"/>
      <c r="U81" s="76"/>
      <c r="V81" s="76"/>
    </row>
    <row r="82" spans="1:22" ht="15.6" thickTop="1" thickBot="1">
      <c r="B82" s="380"/>
      <c r="C82" s="30" t="s">
        <v>69</v>
      </c>
      <c r="D82" s="266">
        <f t="shared" ref="D82:K82" si="29">SUM(D76:D81)</f>
        <v>0</v>
      </c>
      <c r="E82" s="267">
        <f t="shared" si="29"/>
        <v>0</v>
      </c>
      <c r="F82" s="268">
        <f t="shared" si="29"/>
        <v>0</v>
      </c>
      <c r="G82" s="268">
        <f t="shared" si="29"/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70">
        <f t="shared" si="29"/>
        <v>0</v>
      </c>
      <c r="L82" s="307"/>
      <c r="M82" s="271">
        <f>SUM(M76:M81)</f>
        <v>0</v>
      </c>
      <c r="N82" s="269">
        <f>SUM(N76:N81)</f>
        <v>0</v>
      </c>
      <c r="O82" s="62"/>
      <c r="P82" s="63"/>
      <c r="Q82" s="28"/>
      <c r="T82" s="77"/>
      <c r="U82" s="76"/>
      <c r="V82" s="76"/>
    </row>
    <row r="83" spans="1:22" ht="15.6" thickTop="1" thickBot="1">
      <c r="B83" s="380"/>
      <c r="C83" s="1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8"/>
      <c r="T83" s="81">
        <f>$V$3+L11+L19+L27+L35+L43+L51+L59+L67+L75+L83</f>
        <v>0</v>
      </c>
      <c r="U83" s="76"/>
      <c r="V83" s="76"/>
    </row>
    <row r="84" spans="1:22" ht="15.6" thickTop="1" thickBot="1">
      <c r="A84" t="str">
        <f ca="1">OFFSET('0'!$B$112,($A$1-1)*10,$B84-1)</f>
        <v>SS</v>
      </c>
      <c r="B84" s="380">
        <f ca="1">OFFSET('0'!$B$111,($A$1-1)*10,10)</f>
        <v>11</v>
      </c>
      <c r="C84" s="25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 t="shared" ref="M84:M89" si="30">SUM(D84-E84)</f>
        <v>0</v>
      </c>
      <c r="N84" s="305">
        <f t="shared" ref="N84:N89" si="31">SUM(E84,M84)</f>
        <v>0</v>
      </c>
      <c r="O84" s="305"/>
      <c r="P84" s="306"/>
      <c r="Q84" s="26"/>
      <c r="T84" s="77"/>
      <c r="U84" s="76"/>
      <c r="V84" s="76"/>
    </row>
    <row r="85" spans="1:22" ht="15.6" thickTop="1" thickBot="1">
      <c r="B85" s="380"/>
      <c r="C85" s="27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 t="shared" si="30"/>
        <v>0</v>
      </c>
      <c r="N85" s="269">
        <f t="shared" si="31"/>
        <v>0</v>
      </c>
      <c r="O85" s="269"/>
      <c r="P85" s="290"/>
      <c r="Q85" s="28"/>
      <c r="T85" s="77"/>
      <c r="U85" s="76"/>
      <c r="V85" s="76"/>
    </row>
    <row r="86" spans="1:22" ht="15.6" thickTop="1" thickBot="1">
      <c r="B86" s="380"/>
      <c r="C86" s="27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si="30"/>
        <v>0</v>
      </c>
      <c r="N86" s="269">
        <f t="shared" si="31"/>
        <v>0</v>
      </c>
      <c r="O86" s="269"/>
      <c r="P86" s="290"/>
      <c r="Q86" s="28"/>
      <c r="T86" s="77"/>
      <c r="U86" s="76"/>
      <c r="V86" s="76"/>
    </row>
    <row r="87" spans="1:22" ht="15.6" thickTop="1" thickBot="1">
      <c r="B87" s="380"/>
      <c r="C87" s="29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0"/>
        <v>0</v>
      </c>
      <c r="N87" s="269">
        <f t="shared" si="31"/>
        <v>0</v>
      </c>
      <c r="O87" s="269"/>
      <c r="P87" s="290"/>
      <c r="Q87" s="28"/>
      <c r="T87" s="77"/>
      <c r="U87" s="76"/>
      <c r="V87" s="76"/>
    </row>
    <row r="88" spans="1:22" ht="15.6" thickTop="1" thickBot="1">
      <c r="B88" s="380"/>
      <c r="C88" s="29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0"/>
        <v>0</v>
      </c>
      <c r="N88" s="269">
        <f t="shared" si="31"/>
        <v>0</v>
      </c>
      <c r="O88" s="269"/>
      <c r="P88" s="290"/>
      <c r="Q88" s="28"/>
      <c r="T88" s="77"/>
      <c r="U88" s="76"/>
      <c r="V88" s="76"/>
    </row>
    <row r="89" spans="1:22" ht="15.6" thickTop="1" thickBot="1">
      <c r="B89" s="380"/>
      <c r="C89" s="29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0"/>
        <v>0</v>
      </c>
      <c r="N89" s="279">
        <f t="shared" si="31"/>
        <v>0</v>
      </c>
      <c r="O89" s="279"/>
      <c r="P89" s="294"/>
      <c r="Q89" s="28"/>
      <c r="T89" s="77"/>
      <c r="U89" s="76"/>
      <c r="V89" s="76"/>
    </row>
    <row r="90" spans="1:22" ht="15.6" thickTop="1" thickBot="1">
      <c r="B90" s="380"/>
      <c r="C90" s="30" t="s">
        <v>69</v>
      </c>
      <c r="D90" s="266">
        <f t="shared" ref="D90:K90" si="32">SUM(D84:D89)</f>
        <v>0</v>
      </c>
      <c r="E90" s="267">
        <f t="shared" si="32"/>
        <v>0</v>
      </c>
      <c r="F90" s="268">
        <f t="shared" si="32"/>
        <v>0</v>
      </c>
      <c r="G90" s="268">
        <f t="shared" si="32"/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70">
        <f t="shared" si="32"/>
        <v>0</v>
      </c>
      <c r="L90" s="307"/>
      <c r="M90" s="271">
        <f>SUM(M84:M89)</f>
        <v>0</v>
      </c>
      <c r="N90" s="269">
        <f>SUM(N84:N89)</f>
        <v>0</v>
      </c>
      <c r="O90" s="62"/>
      <c r="P90" s="63"/>
      <c r="Q90" s="28"/>
      <c r="T90" s="77"/>
      <c r="U90" s="76"/>
      <c r="V90" s="76"/>
    </row>
    <row r="91" spans="1:22" ht="15.6" thickTop="1" thickBot="1">
      <c r="B91" s="380"/>
      <c r="C91" s="1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8"/>
      <c r="T91" s="81">
        <f>$V$3+L11+L19+L27+L35+L43+L51+L59+L67+L75+L83+L91</f>
        <v>0</v>
      </c>
      <c r="U91" s="76"/>
      <c r="V91" s="76"/>
    </row>
    <row r="92" spans="1:22" ht="15.6" thickTop="1" thickBot="1">
      <c r="A92" t="str">
        <f ca="1">OFFSET('0'!$B$112,($A$1-1)*10,$B92-1)</f>
        <v>SK</v>
      </c>
      <c r="B92" s="380">
        <f ca="1">OFFSET('0'!$B$111,($A$1-1)*10,11)</f>
        <v>12</v>
      </c>
      <c r="C92" s="25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 t="shared" ref="M92:M97" si="33">SUM(D92-E92)</f>
        <v>0</v>
      </c>
      <c r="N92" s="305">
        <f t="shared" ref="N92:N97" si="34">SUM(E92,M92)</f>
        <v>0</v>
      </c>
      <c r="O92" s="305"/>
      <c r="P92" s="306"/>
      <c r="Q92" s="26"/>
      <c r="T92" s="77"/>
      <c r="U92" s="76"/>
      <c r="V92" s="76"/>
    </row>
    <row r="93" spans="1:22" ht="15.6" thickTop="1" thickBot="1">
      <c r="B93" s="380"/>
      <c r="C93" s="27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 t="shared" si="33"/>
        <v>0</v>
      </c>
      <c r="N93" s="269">
        <f t="shared" si="34"/>
        <v>0</v>
      </c>
      <c r="O93" s="269"/>
      <c r="P93" s="290"/>
      <c r="Q93" s="28"/>
      <c r="T93" s="77"/>
      <c r="U93" s="76"/>
      <c r="V93" s="76"/>
    </row>
    <row r="94" spans="1:22" ht="15.6" thickTop="1" thickBot="1">
      <c r="B94" s="380"/>
      <c r="C94" s="27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si="33"/>
        <v>0</v>
      </c>
      <c r="N94" s="269">
        <f t="shared" si="34"/>
        <v>0</v>
      </c>
      <c r="O94" s="269"/>
      <c r="P94" s="290"/>
      <c r="Q94" s="28"/>
      <c r="T94" s="77"/>
      <c r="U94" s="76"/>
      <c r="V94" s="76"/>
    </row>
    <row r="95" spans="1:22" ht="15.6" thickTop="1" thickBot="1">
      <c r="B95" s="380"/>
      <c r="C95" s="29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3"/>
        <v>0</v>
      </c>
      <c r="N95" s="269">
        <f t="shared" si="34"/>
        <v>0</v>
      </c>
      <c r="O95" s="269"/>
      <c r="P95" s="290"/>
      <c r="Q95" s="28"/>
      <c r="T95" s="77"/>
      <c r="U95" s="76"/>
      <c r="V95" s="76"/>
    </row>
    <row r="96" spans="1:22" ht="15.6" thickTop="1" thickBot="1">
      <c r="B96" s="380"/>
      <c r="C96" s="29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3"/>
        <v>0</v>
      </c>
      <c r="N96" s="269">
        <f t="shared" si="34"/>
        <v>0</v>
      </c>
      <c r="O96" s="269"/>
      <c r="P96" s="290"/>
      <c r="Q96" s="28"/>
      <c r="T96" s="77"/>
      <c r="U96" s="76"/>
      <c r="V96" s="76"/>
    </row>
    <row r="97" spans="1:22" ht="15.6" thickTop="1" thickBot="1">
      <c r="B97" s="380"/>
      <c r="C97" s="29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3"/>
        <v>0</v>
      </c>
      <c r="N97" s="279">
        <f t="shared" si="34"/>
        <v>0</v>
      </c>
      <c r="O97" s="279"/>
      <c r="P97" s="294"/>
      <c r="Q97" s="28"/>
      <c r="T97" s="77"/>
      <c r="U97" s="76"/>
      <c r="V97" s="76"/>
    </row>
    <row r="98" spans="1:22" ht="15.6" thickTop="1" thickBot="1">
      <c r="B98" s="380"/>
      <c r="C98" s="30" t="s">
        <v>69</v>
      </c>
      <c r="D98" s="266">
        <f t="shared" ref="D98:K98" si="35">SUM(D92:D97)</f>
        <v>0</v>
      </c>
      <c r="E98" s="267">
        <f t="shared" si="35"/>
        <v>0</v>
      </c>
      <c r="F98" s="268">
        <f t="shared" si="35"/>
        <v>0</v>
      </c>
      <c r="G98" s="268">
        <f t="shared" si="35"/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70">
        <f t="shared" si="35"/>
        <v>0</v>
      </c>
      <c r="L98" s="307"/>
      <c r="M98" s="271">
        <f>SUM(M92:M97)</f>
        <v>0</v>
      </c>
      <c r="N98" s="269">
        <f>SUM(N92:N97)</f>
        <v>0</v>
      </c>
      <c r="O98" s="62"/>
      <c r="P98" s="63"/>
      <c r="Q98" s="28"/>
      <c r="T98" s="77"/>
      <c r="U98" s="76"/>
      <c r="V98" s="76"/>
    </row>
    <row r="99" spans="1:22" ht="15.6" thickTop="1" thickBot="1">
      <c r="B99" s="380"/>
      <c r="C99" s="1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8"/>
      <c r="T99" s="81">
        <f>$V$3+L11+L19+L27+L35+L43+L51+L59+L67+L75+L83+L91+L99</f>
        <v>0</v>
      </c>
      <c r="U99" s="76"/>
      <c r="V99" s="76"/>
    </row>
    <row r="100" spans="1:22" ht="15.6" thickTop="1" thickBot="1">
      <c r="A100" t="str">
        <f ca="1">OFFSET('0'!$B$112,($A$1-1)*10,$B100-1)</f>
        <v>--</v>
      </c>
      <c r="B100" s="380">
        <f ca="1">OFFSET('0'!$B$111,($A$1-1)*10,12)</f>
        <v>13</v>
      </c>
      <c r="C100" s="25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 t="shared" ref="M100:M105" si="36">SUM(D100-E100)</f>
        <v>0</v>
      </c>
      <c r="N100" s="305">
        <f t="shared" ref="N100:N105" si="37">SUM(E100,M100)</f>
        <v>0</v>
      </c>
      <c r="O100" s="305"/>
      <c r="P100" s="306"/>
      <c r="Q100" s="26"/>
      <c r="T100" s="77"/>
      <c r="U100" s="76"/>
      <c r="V100" s="76"/>
    </row>
    <row r="101" spans="1:22" ht="15.6" thickTop="1" thickBot="1">
      <c r="B101" s="380"/>
      <c r="C101" s="27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 t="shared" si="36"/>
        <v>0</v>
      </c>
      <c r="N101" s="269">
        <f t="shared" si="37"/>
        <v>0</v>
      </c>
      <c r="O101" s="269"/>
      <c r="P101" s="290"/>
      <c r="Q101" s="28"/>
      <c r="T101" s="77"/>
      <c r="U101" s="76"/>
      <c r="V101" s="76"/>
    </row>
    <row r="102" spans="1:22" ht="15.6" thickTop="1" thickBot="1">
      <c r="B102" s="380"/>
      <c r="C102" s="27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si="36"/>
        <v>0</v>
      </c>
      <c r="N102" s="269">
        <f t="shared" si="37"/>
        <v>0</v>
      </c>
      <c r="O102" s="269"/>
      <c r="P102" s="290"/>
      <c r="Q102" s="28"/>
      <c r="T102" s="77"/>
      <c r="U102" s="76"/>
      <c r="V102" s="76"/>
    </row>
    <row r="103" spans="1:22" ht="15.6" thickTop="1" thickBot="1">
      <c r="B103" s="380"/>
      <c r="C103" s="29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6"/>
        <v>0</v>
      </c>
      <c r="N103" s="269">
        <f t="shared" si="37"/>
        <v>0</v>
      </c>
      <c r="O103" s="269"/>
      <c r="P103" s="290"/>
      <c r="Q103" s="28"/>
      <c r="T103" s="77"/>
      <c r="U103" s="76"/>
      <c r="V103" s="76"/>
    </row>
    <row r="104" spans="1:22" ht="15.6" thickTop="1" thickBot="1">
      <c r="B104" s="380"/>
      <c r="C104" s="29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6"/>
        <v>0</v>
      </c>
      <c r="N104" s="269">
        <f t="shared" si="37"/>
        <v>0</v>
      </c>
      <c r="O104" s="269"/>
      <c r="P104" s="290"/>
      <c r="Q104" s="28"/>
      <c r="T104" s="77"/>
      <c r="U104" s="76"/>
      <c r="V104" s="76"/>
    </row>
    <row r="105" spans="1:22" ht="15.6" thickTop="1" thickBot="1">
      <c r="B105" s="380"/>
      <c r="C105" s="29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6"/>
        <v>0</v>
      </c>
      <c r="N105" s="279">
        <f t="shared" si="37"/>
        <v>0</v>
      </c>
      <c r="O105" s="279"/>
      <c r="P105" s="294"/>
      <c r="Q105" s="28"/>
      <c r="T105" s="77"/>
      <c r="U105" s="76"/>
      <c r="V105" s="76"/>
    </row>
    <row r="106" spans="1:22" ht="15.6" thickTop="1" thickBot="1">
      <c r="B106" s="380"/>
      <c r="C106" s="33" t="s">
        <v>69</v>
      </c>
      <c r="D106" s="266">
        <f t="shared" ref="D106:K106" si="38">SUM(D100:D105)</f>
        <v>0</v>
      </c>
      <c r="E106" s="267">
        <f t="shared" si="38"/>
        <v>0</v>
      </c>
      <c r="F106" s="268">
        <f t="shared" si="38"/>
        <v>0</v>
      </c>
      <c r="G106" s="268">
        <f t="shared" si="38"/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70">
        <f t="shared" si="38"/>
        <v>0</v>
      </c>
      <c r="L106" s="307"/>
      <c r="M106" s="271">
        <f>SUM(M100:M105)</f>
        <v>0</v>
      </c>
      <c r="N106" s="269">
        <f>SUM(N100:N105)</f>
        <v>0</v>
      </c>
      <c r="O106" s="62"/>
      <c r="P106" s="63"/>
      <c r="Q106" s="28"/>
      <c r="T106" s="77"/>
      <c r="U106" s="76"/>
      <c r="V106" s="76"/>
    </row>
    <row r="107" spans="1:22" ht="15.6" thickTop="1" thickBot="1">
      <c r="B107" s="380"/>
      <c r="C107" s="1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8"/>
      <c r="T107" s="81">
        <f>$V$3+L11+L19+L27+L35+L43+L51+L59+L67+L75+L83+L91+L99+L107</f>
        <v>0</v>
      </c>
      <c r="U107" s="76"/>
      <c r="V107" s="76"/>
    </row>
    <row r="108" spans="1:22" ht="15.6" thickTop="1" thickBot="1">
      <c r="A108" t="str">
        <f ca="1">OFFSET('0'!$B$112,($A$1-1)*10,$B108-1)</f>
        <v>--</v>
      </c>
      <c r="B108" s="380">
        <f ca="1">OFFSET('0'!$B$111,($A$1-1)*10,13)</f>
        <v>14</v>
      </c>
      <c r="C108" s="25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 t="shared" ref="M108:M113" si="39">SUM(D108-E108)</f>
        <v>0</v>
      </c>
      <c r="N108" s="305">
        <f t="shared" ref="N108:N113" si="40">SUM(E108,M108)</f>
        <v>0</v>
      </c>
      <c r="O108" s="305"/>
      <c r="P108" s="306"/>
      <c r="Q108" s="26"/>
      <c r="T108" s="77"/>
      <c r="U108" s="76"/>
      <c r="V108" s="76"/>
    </row>
    <row r="109" spans="1:22" ht="15.6" thickTop="1" thickBot="1">
      <c r="B109" s="380"/>
      <c r="C109" s="27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 t="shared" si="39"/>
        <v>0</v>
      </c>
      <c r="N109" s="269">
        <f t="shared" si="40"/>
        <v>0</v>
      </c>
      <c r="O109" s="269"/>
      <c r="P109" s="290"/>
      <c r="Q109" s="28"/>
      <c r="T109" s="77"/>
      <c r="U109" s="76"/>
      <c r="V109" s="76"/>
    </row>
    <row r="110" spans="1:22" ht="15.6" thickTop="1" thickBot="1">
      <c r="B110" s="380"/>
      <c r="C110" s="27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si="39"/>
        <v>0</v>
      </c>
      <c r="N110" s="269">
        <f t="shared" si="40"/>
        <v>0</v>
      </c>
      <c r="O110" s="269"/>
      <c r="P110" s="290"/>
      <c r="Q110" s="28"/>
      <c r="T110" s="77"/>
      <c r="U110" s="76"/>
      <c r="V110" s="76"/>
    </row>
    <row r="111" spans="1:22" ht="15.6" thickTop="1" thickBot="1">
      <c r="B111" s="380"/>
      <c r="C111" s="29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39"/>
        <v>0</v>
      </c>
      <c r="N111" s="269">
        <f t="shared" si="40"/>
        <v>0</v>
      </c>
      <c r="O111" s="269"/>
      <c r="P111" s="290"/>
      <c r="Q111" s="28"/>
      <c r="T111" s="77"/>
      <c r="U111" s="76"/>
      <c r="V111" s="76"/>
    </row>
    <row r="112" spans="1:22" ht="15.6" thickTop="1" thickBot="1">
      <c r="B112" s="380"/>
      <c r="C112" s="29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39"/>
        <v>0</v>
      </c>
      <c r="N112" s="279">
        <f t="shared" si="40"/>
        <v>0</v>
      </c>
      <c r="O112" s="279"/>
      <c r="P112" s="294"/>
      <c r="Q112" s="28"/>
      <c r="T112" s="77"/>
      <c r="U112" s="76"/>
      <c r="V112" s="76"/>
    </row>
    <row r="113" spans="1:22" ht="15.6" thickTop="1" thickBot="1">
      <c r="B113" s="380"/>
      <c r="C113" s="29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39"/>
        <v>0</v>
      </c>
      <c r="N113" s="269">
        <f t="shared" si="40"/>
        <v>0</v>
      </c>
      <c r="O113" s="269"/>
      <c r="P113" s="290"/>
      <c r="Q113" s="28"/>
      <c r="T113" s="77"/>
      <c r="U113" s="76"/>
      <c r="V113" s="76"/>
    </row>
    <row r="114" spans="1:22" ht="15.6" thickTop="1" thickBot="1">
      <c r="B114" s="380"/>
      <c r="C114" s="30" t="s">
        <v>69</v>
      </c>
      <c r="D114" s="266">
        <f t="shared" ref="D114:K114" si="41">SUM(D108:D113)</f>
        <v>0</v>
      </c>
      <c r="E114" s="267">
        <f t="shared" si="41"/>
        <v>0</v>
      </c>
      <c r="F114" s="268">
        <f t="shared" si="41"/>
        <v>0</v>
      </c>
      <c r="G114" s="268">
        <f t="shared" si="41"/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70">
        <f t="shared" si="41"/>
        <v>0</v>
      </c>
      <c r="L114" s="307"/>
      <c r="M114" s="271">
        <f>SUM(M108:M113)</f>
        <v>0</v>
      </c>
      <c r="N114" s="269">
        <f>SUM(N108:N113)</f>
        <v>0</v>
      </c>
      <c r="O114" s="62"/>
      <c r="P114" s="63"/>
      <c r="Q114" s="28"/>
      <c r="T114" s="77"/>
      <c r="U114" s="76"/>
      <c r="V114" s="76"/>
    </row>
    <row r="115" spans="1:22" ht="15.6" thickTop="1" thickBot="1">
      <c r="B115" s="380"/>
      <c r="C115" s="1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8"/>
      <c r="S115" s="22"/>
      <c r="T115" s="81">
        <f>$V$3+L11+L19+L27+L35+L43+L51+L59+L67+L75+L83+L91+L99+L107+L115</f>
        <v>0</v>
      </c>
      <c r="U115" s="76"/>
      <c r="V115" s="76"/>
    </row>
    <row r="116" spans="1:22" ht="15.6" thickTop="1" thickBot="1">
      <c r="A116" t="str">
        <f ca="1">OFFSET('0'!$B$112,($A$1-1)*10,$B116-1)</f>
        <v>--</v>
      </c>
      <c r="B116" s="380">
        <f ca="1">OFFSET('0'!$B$111,($A$1-1)*10,14)</f>
        <v>15</v>
      </c>
      <c r="C116" s="25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 t="shared" ref="M116:M121" si="42">SUM(D116-E116)</f>
        <v>0</v>
      </c>
      <c r="N116" s="305">
        <f t="shared" ref="N116:N121" si="43">SUM(E116,M116)</f>
        <v>0</v>
      </c>
      <c r="O116" s="305"/>
      <c r="P116" s="306"/>
      <c r="Q116" s="26"/>
      <c r="T116" s="77"/>
      <c r="U116" s="76"/>
      <c r="V116" s="76"/>
    </row>
    <row r="117" spans="1:22" ht="15.6" thickTop="1" thickBot="1">
      <c r="B117" s="380"/>
      <c r="C117" s="27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 t="shared" si="42"/>
        <v>0</v>
      </c>
      <c r="N117" s="269">
        <f t="shared" si="43"/>
        <v>0</v>
      </c>
      <c r="O117" s="269"/>
      <c r="P117" s="290"/>
      <c r="Q117" s="28"/>
      <c r="T117" s="77"/>
      <c r="U117" s="76"/>
      <c r="V117" s="76"/>
    </row>
    <row r="118" spans="1:22" ht="15.6" thickTop="1" thickBot="1">
      <c r="B118" s="380"/>
      <c r="C118" s="27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si="42"/>
        <v>0</v>
      </c>
      <c r="N118" s="269">
        <f t="shared" si="43"/>
        <v>0</v>
      </c>
      <c r="O118" s="269"/>
      <c r="P118" s="290"/>
      <c r="Q118" s="28"/>
      <c r="S118" s="22"/>
      <c r="T118" s="77"/>
      <c r="U118" s="76"/>
      <c r="V118" s="76"/>
    </row>
    <row r="119" spans="1:22" ht="15.6" thickTop="1" thickBot="1">
      <c r="B119" s="380"/>
      <c r="C119" s="29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2"/>
        <v>0</v>
      </c>
      <c r="N119" s="269">
        <f t="shared" si="43"/>
        <v>0</v>
      </c>
      <c r="O119" s="269"/>
      <c r="P119" s="290"/>
      <c r="Q119" s="28"/>
      <c r="S119" s="22"/>
      <c r="T119" s="77"/>
      <c r="U119" s="76"/>
      <c r="V119" s="76"/>
    </row>
    <row r="120" spans="1:22" ht="15.6" thickTop="1" thickBot="1">
      <c r="B120" s="380"/>
      <c r="C120" s="29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2"/>
        <v>0</v>
      </c>
      <c r="N120" s="269">
        <f t="shared" si="43"/>
        <v>0</v>
      </c>
      <c r="O120" s="269"/>
      <c r="P120" s="290"/>
      <c r="Q120" s="28"/>
      <c r="S120" s="22"/>
      <c r="T120" s="77"/>
      <c r="U120" s="76"/>
      <c r="V120" s="76"/>
    </row>
    <row r="121" spans="1:22" ht="15.6" thickTop="1" thickBot="1">
      <c r="B121" s="380"/>
      <c r="C121" s="29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2"/>
        <v>0</v>
      </c>
      <c r="N121" s="269">
        <f t="shared" si="43"/>
        <v>0</v>
      </c>
      <c r="O121" s="269"/>
      <c r="P121" s="290"/>
      <c r="Q121" s="28"/>
      <c r="S121" s="22"/>
      <c r="T121" s="77"/>
      <c r="U121" s="76"/>
      <c r="V121" s="76"/>
    </row>
    <row r="122" spans="1:22" ht="15.6" thickTop="1" thickBot="1">
      <c r="B122" s="380"/>
      <c r="C122" s="30" t="s">
        <v>69</v>
      </c>
      <c r="D122" s="266">
        <f t="shared" ref="D122:K122" si="44">SUM(D116:D121)</f>
        <v>0</v>
      </c>
      <c r="E122" s="267">
        <f t="shared" si="44"/>
        <v>0</v>
      </c>
      <c r="F122" s="268">
        <f t="shared" si="44"/>
        <v>0</v>
      </c>
      <c r="G122" s="268">
        <f t="shared" si="44"/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70">
        <f t="shared" si="44"/>
        <v>0</v>
      </c>
      <c r="L122" s="307"/>
      <c r="M122" s="271">
        <f>SUM(M116:M121)</f>
        <v>0</v>
      </c>
      <c r="N122" s="269">
        <f>SUM(N116:N121)</f>
        <v>0</v>
      </c>
      <c r="O122" s="62"/>
      <c r="P122" s="63"/>
      <c r="Q122" s="28"/>
      <c r="S122" s="22"/>
      <c r="T122" s="77"/>
      <c r="U122" s="76"/>
      <c r="V122" s="76"/>
    </row>
    <row r="123" spans="1:22" ht="15.6" thickTop="1" thickBot="1">
      <c r="B123" s="380"/>
      <c r="C123" s="20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72">
        <f>SUM(M116:M121)</f>
        <v>0</v>
      </c>
      <c r="N123" s="272">
        <f>SUM(N116:N121)</f>
        <v>0</v>
      </c>
      <c r="O123" s="272">
        <f>SUM(O122)</f>
        <v>0</v>
      </c>
      <c r="P123" s="310">
        <f>SUM(P122)</f>
        <v>0</v>
      </c>
      <c r="Q123" s="21"/>
      <c r="T123" s="81">
        <f>$V$3+L11+L19+L27+L35+L43+L51+L59+L67+L75+L83+L91+L99+L107+L115+L123</f>
        <v>0</v>
      </c>
      <c r="U123" s="80"/>
      <c r="V123" s="76"/>
    </row>
    <row r="124" spans="1:22" ht="15.6" thickTop="1" thickBot="1">
      <c r="A124" t="str">
        <f ca="1">OFFSET('0'!$B$112,($A$1-1)*10,$B124-1)</f>
        <v>--</v>
      </c>
      <c r="B124" s="380">
        <f ca="1">OFFSET('0'!$B$111,($A$1-1)*10,15)</f>
        <v>16</v>
      </c>
      <c r="C124" s="25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 t="shared" ref="M124:M129" si="45">SUM(D124-E124)</f>
        <v>0</v>
      </c>
      <c r="N124" s="305">
        <f t="shared" ref="N124:N129" si="46">SUM(E124,M124)</f>
        <v>0</v>
      </c>
      <c r="O124" s="305"/>
      <c r="P124" s="306"/>
      <c r="Q124" s="26"/>
      <c r="T124" s="77"/>
      <c r="U124" s="76"/>
      <c r="V124" s="80"/>
    </row>
    <row r="125" spans="1:22" ht="15.6" thickTop="1" thickBot="1">
      <c r="B125" s="380"/>
      <c r="C125" s="27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 t="shared" si="45"/>
        <v>0</v>
      </c>
      <c r="N125" s="269">
        <f t="shared" si="46"/>
        <v>0</v>
      </c>
      <c r="O125" s="269"/>
      <c r="P125" s="290"/>
      <c r="Q125" s="28"/>
      <c r="T125" s="77"/>
      <c r="U125" s="76"/>
      <c r="V125" s="76"/>
    </row>
    <row r="126" spans="1:22" ht="15.6" thickTop="1" thickBot="1">
      <c r="B126" s="380"/>
      <c r="C126" s="27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si="45"/>
        <v>0</v>
      </c>
      <c r="N126" s="269">
        <f t="shared" si="46"/>
        <v>0</v>
      </c>
      <c r="O126" s="269"/>
      <c r="P126" s="290"/>
      <c r="Q126" s="28"/>
      <c r="T126" s="77"/>
      <c r="U126" s="76"/>
      <c r="V126" s="76"/>
    </row>
    <row r="127" spans="1:22" ht="15.6" thickTop="1" thickBot="1">
      <c r="B127" s="380"/>
      <c r="C127" s="29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5"/>
        <v>0</v>
      </c>
      <c r="N127" s="269">
        <f t="shared" si="46"/>
        <v>0</v>
      </c>
      <c r="O127" s="269"/>
      <c r="P127" s="290"/>
      <c r="Q127" s="28"/>
      <c r="T127" s="77"/>
      <c r="U127" s="76"/>
      <c r="V127" s="76"/>
    </row>
    <row r="128" spans="1:22" ht="15.6" thickTop="1" thickBot="1">
      <c r="B128" s="380"/>
      <c r="C128" s="29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5"/>
        <v>0</v>
      </c>
      <c r="N128" s="279">
        <f t="shared" si="46"/>
        <v>0</v>
      </c>
      <c r="O128" s="279"/>
      <c r="P128" s="294"/>
      <c r="Q128" s="28"/>
      <c r="T128" s="77"/>
      <c r="U128" s="76"/>
      <c r="V128" s="76"/>
    </row>
    <row r="129" spans="1:22" ht="15.6" thickTop="1" thickBot="1">
      <c r="B129" s="380"/>
      <c r="C129" s="29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5"/>
        <v>0</v>
      </c>
      <c r="N129" s="269">
        <f t="shared" si="46"/>
        <v>0</v>
      </c>
      <c r="O129" s="269"/>
      <c r="P129" s="290"/>
      <c r="Q129" s="28"/>
      <c r="T129" s="77"/>
      <c r="U129" s="76"/>
      <c r="V129" s="76"/>
    </row>
    <row r="130" spans="1:22" ht="15.6" thickTop="1" thickBot="1">
      <c r="B130" s="380"/>
      <c r="C130" s="30" t="s">
        <v>69</v>
      </c>
      <c r="D130" s="266">
        <f t="shared" ref="D130:K130" si="47">SUM(D124:D129)</f>
        <v>0</v>
      </c>
      <c r="E130" s="267">
        <f t="shared" si="47"/>
        <v>0</v>
      </c>
      <c r="F130" s="268">
        <f t="shared" si="47"/>
        <v>0</v>
      </c>
      <c r="G130" s="268">
        <f t="shared" si="47"/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70">
        <f t="shared" si="47"/>
        <v>0</v>
      </c>
      <c r="L130" s="307"/>
      <c r="M130" s="271">
        <f>SUM(M124:M129)</f>
        <v>0</v>
      </c>
      <c r="N130" s="269">
        <f>SUM(N124:N129)</f>
        <v>0</v>
      </c>
      <c r="O130" s="62"/>
      <c r="P130" s="63"/>
      <c r="Q130" s="28"/>
      <c r="S130" s="23"/>
      <c r="T130" s="77"/>
      <c r="U130" s="76"/>
      <c r="V130" s="76"/>
    </row>
    <row r="131" spans="1:22" ht="15.6" thickTop="1" thickBot="1">
      <c r="B131" s="380"/>
      <c r="C131" s="1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8"/>
      <c r="S131" s="22"/>
      <c r="T131" s="81">
        <f>$V$3+L11+L19+L27+L35+L43+L51+L59+L67+L75+L83+L91+L99+L107+L115+L123+L131</f>
        <v>0</v>
      </c>
      <c r="U131" s="76"/>
      <c r="V131" s="76"/>
    </row>
    <row r="132" spans="1:22" ht="15.6" thickTop="1" thickBot="1">
      <c r="A132" t="str">
        <f ca="1">OFFSET('0'!$B$112,($A$1-1)*10,$B132-1)</f>
        <v>--</v>
      </c>
      <c r="B132" s="380">
        <f ca="1">OFFSET('0'!$B$111,($A$1-1)*10,16)</f>
        <v>17</v>
      </c>
      <c r="C132" s="25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 t="shared" ref="M132:M137" si="48">SUM(D132-E132)</f>
        <v>0</v>
      </c>
      <c r="N132" s="305">
        <f t="shared" ref="N132:N137" si="49">SUM(E132,M132)</f>
        <v>0</v>
      </c>
      <c r="O132" s="305"/>
      <c r="P132" s="306"/>
      <c r="Q132" s="26"/>
      <c r="T132" s="77"/>
      <c r="U132" s="76"/>
      <c r="V132" s="76"/>
    </row>
    <row r="133" spans="1:22" ht="15.6" thickTop="1" thickBot="1">
      <c r="B133" s="380"/>
      <c r="C133" s="27"/>
      <c r="D133" s="284"/>
      <c r="E133" s="285"/>
      <c r="F133" s="286"/>
      <c r="G133" s="286"/>
      <c r="H133" s="286"/>
      <c r="I133" s="286"/>
      <c r="J133" s="286"/>
      <c r="K133" s="286"/>
      <c r="L133" s="295"/>
      <c r="M133" s="285">
        <f t="shared" si="48"/>
        <v>0</v>
      </c>
      <c r="N133" s="269">
        <f t="shared" si="49"/>
        <v>0</v>
      </c>
      <c r="O133" s="269"/>
      <c r="P133" s="294"/>
      <c r="Q133" s="31"/>
      <c r="T133" s="77"/>
      <c r="U133" s="76"/>
      <c r="V133" s="76"/>
    </row>
    <row r="134" spans="1:22" ht="15.6" thickTop="1" thickBot="1">
      <c r="B134" s="380"/>
      <c r="C134" s="27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si="48"/>
        <v>0</v>
      </c>
      <c r="N134" s="269">
        <f t="shared" si="49"/>
        <v>0</v>
      </c>
      <c r="O134" s="269"/>
      <c r="P134" s="290"/>
      <c r="Q134" s="28"/>
      <c r="T134" s="77"/>
      <c r="U134" s="76"/>
      <c r="V134" s="76"/>
    </row>
    <row r="135" spans="1:22" ht="15.6" thickTop="1" thickBot="1">
      <c r="B135" s="380"/>
      <c r="C135" s="29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8"/>
        <v>0</v>
      </c>
      <c r="N135" s="269">
        <f t="shared" si="49"/>
        <v>0</v>
      </c>
      <c r="O135" s="269"/>
      <c r="P135" s="290"/>
      <c r="Q135" s="28"/>
      <c r="T135" s="77"/>
      <c r="U135" s="76"/>
      <c r="V135" s="76"/>
    </row>
    <row r="136" spans="1:22" ht="15.6" thickTop="1" thickBot="1">
      <c r="B136" s="380"/>
      <c r="C136" s="29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8"/>
        <v>0</v>
      </c>
      <c r="N136" s="269">
        <f t="shared" si="49"/>
        <v>0</v>
      </c>
      <c r="O136" s="269"/>
      <c r="P136" s="290"/>
      <c r="Q136" s="28"/>
      <c r="T136" s="77"/>
      <c r="U136" s="76"/>
      <c r="V136" s="76"/>
    </row>
    <row r="137" spans="1:22" ht="15.6" thickTop="1" thickBot="1">
      <c r="B137" s="380"/>
      <c r="C137" s="29"/>
      <c r="D137" s="276"/>
      <c r="E137" s="277"/>
      <c r="F137" s="278"/>
      <c r="G137" s="278"/>
      <c r="H137" s="278"/>
      <c r="I137" s="278"/>
      <c r="J137" s="278"/>
      <c r="K137" s="278"/>
      <c r="L137" s="291"/>
      <c r="M137" s="277">
        <f t="shared" si="48"/>
        <v>0</v>
      </c>
      <c r="N137" s="280">
        <f t="shared" si="49"/>
        <v>0</v>
      </c>
      <c r="O137" s="280"/>
      <c r="P137" s="293"/>
      <c r="Q137" s="32"/>
      <c r="T137" s="77"/>
      <c r="U137" s="76"/>
      <c r="V137" s="76"/>
    </row>
    <row r="138" spans="1:22" ht="15.6" thickTop="1" thickBot="1">
      <c r="B138" s="380"/>
      <c r="C138" s="30" t="s">
        <v>69</v>
      </c>
      <c r="D138" s="276">
        <f t="shared" ref="D138:K138" si="50">SUM(D132:D137)</f>
        <v>0</v>
      </c>
      <c r="E138" s="277">
        <f t="shared" si="50"/>
        <v>0</v>
      </c>
      <c r="F138" s="278">
        <f t="shared" si="50"/>
        <v>0</v>
      </c>
      <c r="G138" s="278">
        <f t="shared" si="50"/>
        <v>0</v>
      </c>
      <c r="H138" s="278">
        <f t="shared" si="50"/>
        <v>0</v>
      </c>
      <c r="I138" s="278">
        <f t="shared" si="50"/>
        <v>0</v>
      </c>
      <c r="J138" s="278">
        <f t="shared" si="50"/>
        <v>0</v>
      </c>
      <c r="K138" s="308">
        <f t="shared" si="50"/>
        <v>0</v>
      </c>
      <c r="L138" s="307"/>
      <c r="M138" s="309">
        <f>SUM(M132:M137)</f>
        <v>0</v>
      </c>
      <c r="N138" s="280">
        <f>SUM(N132:N137)</f>
        <v>0</v>
      </c>
      <c r="O138" s="65"/>
      <c r="P138" s="71"/>
      <c r="Q138" s="32"/>
      <c r="T138" s="77"/>
      <c r="U138" s="76"/>
      <c r="V138" s="76"/>
    </row>
    <row r="139" spans="1:22" ht="15.6" thickTop="1" thickBot="1">
      <c r="B139" s="380"/>
      <c r="C139" s="1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8"/>
      <c r="T139" s="81">
        <f>$V$3+L11+L19+L27+L35+L43+L51+L59+L67+L75+L83+L91+L99+L107+L115+L123+L131+L139</f>
        <v>0</v>
      </c>
      <c r="U139" s="76"/>
      <c r="V139" s="76"/>
    </row>
    <row r="140" spans="1:22" ht="15.6" thickTop="1" thickBot="1">
      <c r="A140" t="str">
        <f ca="1">OFFSET('0'!$B$112,($A$1-1)*10,$B140-1)</f>
        <v>SS</v>
      </c>
      <c r="B140" s="380">
        <f ca="1">OFFSET('0'!$B$111,($A$1-1)*10,17)</f>
        <v>18</v>
      </c>
      <c r="C140" s="25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 t="shared" ref="M140:M145" si="51">SUM(D140-E140)</f>
        <v>0</v>
      </c>
      <c r="N140" s="305">
        <f t="shared" ref="N140:N145" si="52">SUM(E140,M140)</f>
        <v>0</v>
      </c>
      <c r="O140" s="305"/>
      <c r="P140" s="306"/>
      <c r="Q140" s="26"/>
      <c r="T140" s="77"/>
      <c r="U140" s="76"/>
      <c r="V140" s="76"/>
    </row>
    <row r="141" spans="1:22" ht="15.6" thickTop="1" thickBot="1">
      <c r="B141" s="380"/>
      <c r="C141" s="27"/>
      <c r="D141" s="284"/>
      <c r="E141" s="285"/>
      <c r="F141" s="286"/>
      <c r="G141" s="286"/>
      <c r="H141" s="286"/>
      <c r="I141" s="286"/>
      <c r="J141" s="286"/>
      <c r="K141" s="286"/>
      <c r="L141" s="295"/>
      <c r="M141" s="285">
        <f t="shared" si="51"/>
        <v>0</v>
      </c>
      <c r="N141" s="269">
        <f t="shared" si="52"/>
        <v>0</v>
      </c>
      <c r="O141" s="269"/>
      <c r="P141" s="294"/>
      <c r="Q141" s="31"/>
      <c r="T141" s="77"/>
      <c r="U141" s="76"/>
      <c r="V141" s="76"/>
    </row>
    <row r="142" spans="1:22" ht="15.6" thickTop="1" thickBot="1">
      <c r="B142" s="380"/>
      <c r="C142" s="27"/>
      <c r="D142" s="284"/>
      <c r="E142" s="285"/>
      <c r="F142" s="286"/>
      <c r="G142" s="286"/>
      <c r="H142" s="286"/>
      <c r="I142" s="286"/>
      <c r="J142" s="286"/>
      <c r="K142" s="286"/>
      <c r="L142" s="295"/>
      <c r="M142" s="285">
        <f t="shared" si="51"/>
        <v>0</v>
      </c>
      <c r="N142" s="269">
        <f t="shared" si="52"/>
        <v>0</v>
      </c>
      <c r="O142" s="269"/>
      <c r="P142" s="294"/>
      <c r="Q142" s="31"/>
      <c r="T142" s="77"/>
      <c r="U142" s="76"/>
      <c r="V142" s="76"/>
    </row>
    <row r="143" spans="1:22" ht="15.6" thickTop="1" thickBot="1">
      <c r="B143" s="380"/>
      <c r="C143" s="29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1"/>
        <v>0</v>
      </c>
      <c r="N143" s="269">
        <f t="shared" si="52"/>
        <v>0</v>
      </c>
      <c r="O143" s="269"/>
      <c r="P143" s="290"/>
      <c r="Q143" s="28"/>
      <c r="T143" s="77"/>
      <c r="U143" s="76"/>
      <c r="V143" s="76"/>
    </row>
    <row r="144" spans="1:22" s="1" customFormat="1" ht="15.6" thickTop="1" thickBot="1">
      <c r="B144" s="380"/>
      <c r="C144" s="29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1"/>
        <v>0</v>
      </c>
      <c r="N144" s="269">
        <f t="shared" si="52"/>
        <v>0</v>
      </c>
      <c r="O144" s="269"/>
      <c r="P144" s="290"/>
      <c r="Q144" s="28"/>
      <c r="T144" s="77"/>
      <c r="U144" s="77"/>
      <c r="V144" s="77"/>
    </row>
    <row r="145" spans="1:22" s="1" customFormat="1" ht="15.6" thickTop="1" thickBot="1">
      <c r="B145" s="380"/>
      <c r="C145" s="29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1"/>
        <v>0</v>
      </c>
      <c r="N145" s="269">
        <f t="shared" si="52"/>
        <v>0</v>
      </c>
      <c r="O145" s="269"/>
      <c r="P145" s="290"/>
      <c r="Q145" s="28"/>
      <c r="T145" s="77"/>
      <c r="U145" s="77"/>
      <c r="V145" s="77"/>
    </row>
    <row r="146" spans="1:22" ht="15.6" thickTop="1" thickBot="1">
      <c r="B146" s="380"/>
      <c r="C146" s="30" t="s">
        <v>69</v>
      </c>
      <c r="D146" s="266">
        <f t="shared" ref="D146:K146" si="53">SUM(D140:D145)</f>
        <v>0</v>
      </c>
      <c r="E146" s="267">
        <f t="shared" si="53"/>
        <v>0</v>
      </c>
      <c r="F146" s="268">
        <f t="shared" si="53"/>
        <v>0</v>
      </c>
      <c r="G146" s="268">
        <f t="shared" si="53"/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70">
        <f t="shared" si="53"/>
        <v>0</v>
      </c>
      <c r="L146" s="307"/>
      <c r="M146" s="271">
        <f>SUM(M140:M145)</f>
        <v>0</v>
      </c>
      <c r="N146" s="269">
        <f>SUM(N140:N145)</f>
        <v>0</v>
      </c>
      <c r="O146" s="62"/>
      <c r="P146" s="63"/>
      <c r="Q146" s="28"/>
      <c r="T146" s="77"/>
      <c r="U146" s="76"/>
      <c r="V146" s="76"/>
    </row>
    <row r="147" spans="1:22" ht="15.6" thickTop="1" thickBot="1">
      <c r="B147" s="380"/>
      <c r="C147" s="1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8"/>
      <c r="T147" s="81">
        <f>$V$3+L11+L19+L27+L35+L43+L51+L59+L67+L75+L83+L91+L99+L107+L115+L123+L131+L139+L147</f>
        <v>0</v>
      </c>
      <c r="U147" s="76"/>
      <c r="V147" s="76"/>
    </row>
    <row r="148" spans="1:22" ht="15.6" thickTop="1" thickBot="1">
      <c r="A148" t="str">
        <f ca="1">OFFSET('0'!$B$112,($A$1-1)*10,$B148-1)</f>
        <v>SK</v>
      </c>
      <c r="B148" s="380">
        <f ca="1">OFFSET('0'!$B$111,($A$1-1)*10,18)</f>
        <v>19</v>
      </c>
      <c r="C148" s="25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 t="shared" ref="M148:M153" si="54">SUM(D148-E148)</f>
        <v>0</v>
      </c>
      <c r="N148" s="305">
        <f t="shared" ref="N148:N153" si="55">SUM(E148,M148)</f>
        <v>0</v>
      </c>
      <c r="O148" s="305"/>
      <c r="P148" s="296"/>
      <c r="Q148" s="26"/>
      <c r="T148" s="77"/>
      <c r="U148" s="76"/>
      <c r="V148" s="76"/>
    </row>
    <row r="149" spans="1:22" s="1" customFormat="1" ht="15.6" thickTop="1" thickBot="1">
      <c r="B149" s="380"/>
      <c r="C149" s="27"/>
      <c r="D149" s="284"/>
      <c r="E149" s="285"/>
      <c r="F149" s="286"/>
      <c r="G149" s="286"/>
      <c r="H149" s="286"/>
      <c r="I149" s="286"/>
      <c r="J149" s="286"/>
      <c r="K149" s="286"/>
      <c r="L149" s="295"/>
      <c r="M149" s="285">
        <f t="shared" si="54"/>
        <v>0</v>
      </c>
      <c r="N149" s="269">
        <f t="shared" si="55"/>
        <v>0</v>
      </c>
      <c r="O149" s="269"/>
      <c r="P149" s="296"/>
      <c r="Q149" s="31"/>
      <c r="T149" s="77"/>
      <c r="U149" s="77"/>
      <c r="V149" s="77"/>
    </row>
    <row r="150" spans="1:22" ht="15.6" thickTop="1" thickBot="1">
      <c r="B150" s="380"/>
      <c r="C150" s="27"/>
      <c r="D150" s="284"/>
      <c r="E150" s="285"/>
      <c r="F150" s="286"/>
      <c r="G150" s="286"/>
      <c r="H150" s="286"/>
      <c r="I150" s="286"/>
      <c r="J150" s="286"/>
      <c r="K150" s="286"/>
      <c r="L150" s="295"/>
      <c r="M150" s="285">
        <f t="shared" si="54"/>
        <v>0</v>
      </c>
      <c r="N150" s="269">
        <f t="shared" si="55"/>
        <v>0</v>
      </c>
      <c r="O150" s="269"/>
      <c r="P150" s="294"/>
      <c r="Q150" s="31"/>
      <c r="T150" s="77"/>
      <c r="U150" s="76"/>
      <c r="V150" s="76"/>
    </row>
    <row r="151" spans="1:22" ht="15.6" thickTop="1" thickBot="1">
      <c r="B151" s="380"/>
      <c r="C151" s="29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4"/>
        <v>0</v>
      </c>
      <c r="N151" s="269">
        <f t="shared" si="55"/>
        <v>0</v>
      </c>
      <c r="O151" s="269"/>
      <c r="P151" s="290"/>
      <c r="Q151" s="28"/>
      <c r="T151" s="77"/>
      <c r="U151" s="76"/>
      <c r="V151" s="76"/>
    </row>
    <row r="152" spans="1:22" ht="15.6" thickTop="1" thickBot="1">
      <c r="B152" s="380"/>
      <c r="C152" s="29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4"/>
        <v>0</v>
      </c>
      <c r="N152" s="269">
        <f t="shared" si="55"/>
        <v>0</v>
      </c>
      <c r="O152" s="269"/>
      <c r="P152" s="290"/>
      <c r="Q152" s="28"/>
      <c r="T152" s="77"/>
      <c r="U152" s="76"/>
      <c r="V152" s="76"/>
    </row>
    <row r="153" spans="1:22" ht="15.6" thickTop="1" thickBot="1">
      <c r="B153" s="380"/>
      <c r="C153" s="29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4"/>
        <v>0</v>
      </c>
      <c r="N153" s="269">
        <f t="shared" si="55"/>
        <v>0</v>
      </c>
      <c r="O153" s="269"/>
      <c r="P153" s="290"/>
      <c r="Q153" s="28"/>
      <c r="T153" s="77"/>
      <c r="U153" s="76"/>
      <c r="V153" s="76"/>
    </row>
    <row r="154" spans="1:22" ht="15.6" thickTop="1" thickBot="1">
      <c r="B154" s="380"/>
      <c r="C154" s="30" t="s">
        <v>69</v>
      </c>
      <c r="D154" s="266">
        <f t="shared" ref="D154:K154" si="56">SUM(D148:D153)</f>
        <v>0</v>
      </c>
      <c r="E154" s="267">
        <f t="shared" si="56"/>
        <v>0</v>
      </c>
      <c r="F154" s="268">
        <f t="shared" si="56"/>
        <v>0</v>
      </c>
      <c r="G154" s="268">
        <f t="shared" si="56"/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70">
        <f t="shared" si="56"/>
        <v>0</v>
      </c>
      <c r="L154" s="307"/>
      <c r="M154" s="271">
        <f>SUM(M148:M153)</f>
        <v>0</v>
      </c>
      <c r="N154" s="269">
        <f>SUM(N148:N153)</f>
        <v>0</v>
      </c>
      <c r="O154" s="62"/>
      <c r="P154" s="63"/>
      <c r="Q154" s="28"/>
      <c r="T154" s="77"/>
      <c r="U154" s="76"/>
      <c r="V154" s="76"/>
    </row>
    <row r="155" spans="1:22" ht="15.6" thickTop="1" thickBot="1">
      <c r="B155" s="380"/>
      <c r="C155" s="1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8"/>
      <c r="T155" s="81">
        <f>$V$3+L11+L19+L27+L35+L43+L51+L59+L67+L75+L83+L91+L99+L107+L115+L123+L131+L139+L147+L155</f>
        <v>0</v>
      </c>
      <c r="U155" s="76"/>
      <c r="V155" s="76"/>
    </row>
    <row r="156" spans="1:22" ht="15.6" thickTop="1" thickBot="1">
      <c r="A156" t="str">
        <f ca="1">OFFSET('0'!$B$112,($A$1-1)*10,$B156-1)</f>
        <v>--</v>
      </c>
      <c r="B156" s="380">
        <f ca="1">OFFSET('0'!$B$111,($A$1-1)*10,19)</f>
        <v>20</v>
      </c>
      <c r="C156" s="25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 t="shared" ref="M156:M161" si="57">SUM(D156-E156)</f>
        <v>0</v>
      </c>
      <c r="N156" s="305">
        <f t="shared" ref="N156:N161" si="58">SUM(E156,M156)</f>
        <v>0</v>
      </c>
      <c r="O156" s="305"/>
      <c r="P156" s="296"/>
      <c r="Q156" s="26"/>
      <c r="T156" s="77"/>
      <c r="U156" s="76"/>
      <c r="V156" s="76"/>
    </row>
    <row r="157" spans="1:22" ht="15.6" thickTop="1" thickBot="1">
      <c r="B157" s="380"/>
      <c r="C157" s="27"/>
      <c r="D157" s="284"/>
      <c r="E157" s="285"/>
      <c r="F157" s="286"/>
      <c r="G157" s="286"/>
      <c r="H157" s="286"/>
      <c r="I157" s="286"/>
      <c r="J157" s="286"/>
      <c r="K157" s="286"/>
      <c r="L157" s="295"/>
      <c r="M157" s="285">
        <f t="shared" si="57"/>
        <v>0</v>
      </c>
      <c r="N157" s="269">
        <f t="shared" si="58"/>
        <v>0</v>
      </c>
      <c r="O157" s="269"/>
      <c r="P157" s="296"/>
      <c r="Q157" s="31"/>
      <c r="T157" s="77"/>
      <c r="U157" s="76"/>
      <c r="V157" s="76"/>
    </row>
    <row r="158" spans="1:22" s="1" customFormat="1" ht="15.6" thickTop="1" thickBot="1">
      <c r="B158" s="380"/>
      <c r="C158" s="27"/>
      <c r="D158" s="284"/>
      <c r="E158" s="285"/>
      <c r="F158" s="286"/>
      <c r="G158" s="286"/>
      <c r="H158" s="286"/>
      <c r="I158" s="286"/>
      <c r="J158" s="286"/>
      <c r="K158" s="286"/>
      <c r="L158" s="295"/>
      <c r="M158" s="285">
        <f t="shared" si="57"/>
        <v>0</v>
      </c>
      <c r="N158" s="269">
        <f t="shared" si="58"/>
        <v>0</v>
      </c>
      <c r="O158" s="269"/>
      <c r="P158" s="296"/>
      <c r="Q158" s="31"/>
      <c r="T158" s="77"/>
      <c r="U158" s="77"/>
      <c r="V158" s="77"/>
    </row>
    <row r="159" spans="1:22" ht="15.6" thickTop="1" thickBot="1">
      <c r="B159" s="380"/>
      <c r="C159" s="29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7"/>
        <v>0</v>
      </c>
      <c r="N159" s="269">
        <f t="shared" si="58"/>
        <v>0</v>
      </c>
      <c r="O159" s="269"/>
      <c r="P159" s="296"/>
      <c r="Q159" s="28"/>
      <c r="T159" s="77"/>
      <c r="U159" s="76"/>
      <c r="V159" s="76"/>
    </row>
    <row r="160" spans="1:22" ht="15.6" thickTop="1" thickBot="1">
      <c r="B160" s="380"/>
      <c r="C160" s="29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7"/>
        <v>0</v>
      </c>
      <c r="N160" s="269">
        <f t="shared" si="58"/>
        <v>0</v>
      </c>
      <c r="O160" s="269"/>
      <c r="P160" s="290"/>
      <c r="Q160" s="28"/>
      <c r="T160" s="77"/>
      <c r="U160" s="76"/>
      <c r="V160" s="76"/>
    </row>
    <row r="161" spans="1:22" ht="15.6" thickTop="1" thickBot="1">
      <c r="B161" s="380"/>
      <c r="C161" s="29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7"/>
        <v>0</v>
      </c>
      <c r="N161" s="269">
        <f t="shared" si="58"/>
        <v>0</v>
      </c>
      <c r="O161" s="269"/>
      <c r="P161" s="290"/>
      <c r="Q161" s="28"/>
      <c r="T161" s="77"/>
      <c r="U161" s="76"/>
      <c r="V161" s="76"/>
    </row>
    <row r="162" spans="1:22" ht="15.6" thickTop="1" thickBot="1">
      <c r="B162" s="380"/>
      <c r="C162" s="30" t="s">
        <v>69</v>
      </c>
      <c r="D162" s="266">
        <f t="shared" ref="D162:K162" si="59">SUM(D156:D161)</f>
        <v>0</v>
      </c>
      <c r="E162" s="267">
        <f t="shared" si="59"/>
        <v>0</v>
      </c>
      <c r="F162" s="268">
        <f t="shared" si="59"/>
        <v>0</v>
      </c>
      <c r="G162" s="268">
        <f t="shared" si="59"/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70">
        <f t="shared" si="59"/>
        <v>0</v>
      </c>
      <c r="L162" s="307"/>
      <c r="M162" s="271">
        <f>SUM(M156:M161)</f>
        <v>0</v>
      </c>
      <c r="N162" s="269">
        <f>SUM(N156:N161)</f>
        <v>0</v>
      </c>
      <c r="O162" s="62"/>
      <c r="P162" s="63"/>
      <c r="Q162" s="28"/>
      <c r="T162" s="77"/>
      <c r="U162" s="76"/>
      <c r="V162" s="76"/>
    </row>
    <row r="163" spans="1:22" ht="15.6" thickTop="1" thickBot="1">
      <c r="B163" s="380"/>
      <c r="C163" s="1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8"/>
      <c r="T163" s="81">
        <f>$V$3+L11+L19+L27+L35+L43+L51+L59+L67+L75+L83+L91+L99+L107+L115+L123+L131+L139+L147+L155+L163</f>
        <v>0</v>
      </c>
      <c r="U163" s="76"/>
      <c r="V163" s="76"/>
    </row>
    <row r="164" spans="1:22" ht="15.6" thickTop="1" thickBot="1">
      <c r="A164" t="str">
        <f ca="1">OFFSET('0'!$B$112,($A$1-1)*10,$B164-1)</f>
        <v>--</v>
      </c>
      <c r="B164" s="380">
        <f ca="1">OFFSET('0'!$B$111,($A$1-1)*10,20)</f>
        <v>21</v>
      </c>
      <c r="C164" s="25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 t="shared" ref="M164:M169" si="60">SUM(D164-E164)</f>
        <v>0</v>
      </c>
      <c r="N164" s="305">
        <f t="shared" ref="N164:N169" si="61">SUM(E164,M164)</f>
        <v>0</v>
      </c>
      <c r="O164" s="305"/>
      <c r="P164" s="296"/>
      <c r="Q164" s="26"/>
      <c r="T164" s="77"/>
      <c r="U164" s="76"/>
      <c r="V164" s="76"/>
    </row>
    <row r="165" spans="1:22" ht="15.6" thickTop="1" thickBot="1">
      <c r="B165" s="380"/>
      <c r="C165" s="27"/>
      <c r="D165" s="284"/>
      <c r="E165" s="285"/>
      <c r="F165" s="286"/>
      <c r="G165" s="286"/>
      <c r="H165" s="286"/>
      <c r="I165" s="286"/>
      <c r="J165" s="286"/>
      <c r="K165" s="286"/>
      <c r="L165" s="295"/>
      <c r="M165" s="285">
        <f t="shared" si="60"/>
        <v>0</v>
      </c>
      <c r="N165" s="269">
        <f t="shared" si="61"/>
        <v>0</v>
      </c>
      <c r="O165" s="269"/>
      <c r="P165" s="296"/>
      <c r="Q165" s="31"/>
      <c r="T165" s="77"/>
      <c r="U165" s="76"/>
      <c r="V165" s="76"/>
    </row>
    <row r="166" spans="1:22" s="1" customFormat="1" ht="15.6" thickTop="1" thickBot="1">
      <c r="B166" s="380"/>
      <c r="C166" s="27"/>
      <c r="D166" s="284"/>
      <c r="E166" s="285"/>
      <c r="F166" s="286"/>
      <c r="G166" s="286"/>
      <c r="H166" s="286"/>
      <c r="I166" s="286"/>
      <c r="J166" s="286"/>
      <c r="K166" s="286"/>
      <c r="L166" s="295"/>
      <c r="M166" s="285">
        <f t="shared" si="60"/>
        <v>0</v>
      </c>
      <c r="N166" s="269">
        <f t="shared" si="61"/>
        <v>0</v>
      </c>
      <c r="O166" s="269"/>
      <c r="P166" s="294"/>
      <c r="Q166" s="31"/>
      <c r="T166" s="77"/>
      <c r="U166" s="77"/>
      <c r="V166" s="77"/>
    </row>
    <row r="167" spans="1:22" ht="15.6" thickTop="1" thickBot="1">
      <c r="B167" s="380"/>
      <c r="C167" s="29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0"/>
        <v>0</v>
      </c>
      <c r="N167" s="269">
        <f t="shared" si="61"/>
        <v>0</v>
      </c>
      <c r="O167" s="269"/>
      <c r="P167" s="290"/>
      <c r="Q167" s="28"/>
      <c r="T167" s="77"/>
      <c r="U167" s="76"/>
      <c r="V167" s="76"/>
    </row>
    <row r="168" spans="1:22" ht="15.6" thickTop="1" thickBot="1">
      <c r="B168" s="380"/>
      <c r="C168" s="29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0"/>
        <v>0</v>
      </c>
      <c r="N168" s="269">
        <f t="shared" si="61"/>
        <v>0</v>
      </c>
      <c r="O168" s="269"/>
      <c r="P168" s="290"/>
      <c r="Q168" s="28"/>
      <c r="T168" s="77"/>
      <c r="U168" s="76"/>
      <c r="V168" s="76"/>
    </row>
    <row r="169" spans="1:22" ht="15.6" thickTop="1" thickBot="1">
      <c r="B169" s="380"/>
      <c r="C169" s="29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0"/>
        <v>0</v>
      </c>
      <c r="N169" s="269">
        <f t="shared" si="61"/>
        <v>0</v>
      </c>
      <c r="O169" s="269"/>
      <c r="P169" s="290"/>
      <c r="Q169" s="28"/>
      <c r="T169" s="77"/>
      <c r="U169" s="76"/>
      <c r="V169" s="76"/>
    </row>
    <row r="170" spans="1:22" ht="15.6" thickTop="1" thickBot="1">
      <c r="B170" s="380"/>
      <c r="C170" s="30" t="s">
        <v>69</v>
      </c>
      <c r="D170" s="266">
        <f t="shared" ref="D170:K170" si="62">SUM(D164:D169)</f>
        <v>0</v>
      </c>
      <c r="E170" s="267">
        <f t="shared" si="62"/>
        <v>0</v>
      </c>
      <c r="F170" s="268">
        <f t="shared" si="62"/>
        <v>0</v>
      </c>
      <c r="G170" s="268">
        <f t="shared" si="62"/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70">
        <f t="shared" si="62"/>
        <v>0</v>
      </c>
      <c r="L170" s="307"/>
      <c r="M170" s="271">
        <f>SUM(M164:M169)</f>
        <v>0</v>
      </c>
      <c r="N170" s="269">
        <f>SUM(N164:N169)</f>
        <v>0</v>
      </c>
      <c r="O170" s="62"/>
      <c r="P170" s="63"/>
      <c r="Q170" s="28"/>
      <c r="T170" s="77"/>
      <c r="U170" s="76"/>
      <c r="V170" s="76"/>
    </row>
    <row r="171" spans="1:22" ht="15.6" thickTop="1" thickBot="1">
      <c r="B171" s="380"/>
      <c r="C171" s="1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8"/>
      <c r="T171" s="81">
        <f>$V$3+L11+L19+L27+L35+L43+L51+L59+L67+L75+L83+L91+L99+L107+L115+L123+L131+L139+L147+L155+L163+L171</f>
        <v>0</v>
      </c>
      <c r="U171" s="76"/>
      <c r="V171" s="76"/>
    </row>
    <row r="172" spans="1:22" ht="15.6" thickTop="1" thickBot="1">
      <c r="A172" t="str">
        <f ca="1">OFFSET('0'!$B$112,($A$1-1)*10,$B172-1)</f>
        <v>--</v>
      </c>
      <c r="B172" s="380">
        <f ca="1">OFFSET('0'!$B$111,($A$1-1)*10,21)</f>
        <v>22</v>
      </c>
      <c r="C172" s="25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 t="shared" ref="M172:M177" si="63">SUM(D172-E172)</f>
        <v>0</v>
      </c>
      <c r="N172" s="305">
        <f t="shared" ref="N172:N177" si="64">SUM(E172,M172)</f>
        <v>0</v>
      </c>
      <c r="O172" s="305"/>
      <c r="P172" s="306"/>
      <c r="Q172" s="26"/>
      <c r="T172" s="77"/>
      <c r="U172" s="76"/>
      <c r="V172" s="76"/>
    </row>
    <row r="173" spans="1:22" ht="15.6" thickTop="1" thickBot="1">
      <c r="B173" s="380"/>
      <c r="C173" s="27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 t="shared" si="63"/>
        <v>0</v>
      </c>
      <c r="N173" s="269">
        <f t="shared" si="64"/>
        <v>0</v>
      </c>
      <c r="O173" s="269"/>
      <c r="P173" s="290"/>
      <c r="Q173" s="28"/>
      <c r="T173" s="77"/>
      <c r="U173" s="76"/>
      <c r="V173" s="76"/>
    </row>
    <row r="174" spans="1:22" s="1" customFormat="1" ht="15.6" thickTop="1" thickBot="1">
      <c r="B174" s="380"/>
      <c r="C174" s="27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si="63"/>
        <v>0</v>
      </c>
      <c r="N174" s="269">
        <f t="shared" si="64"/>
        <v>0</v>
      </c>
      <c r="O174" s="269"/>
      <c r="P174" s="290"/>
      <c r="Q174" s="28"/>
      <c r="T174" s="77"/>
      <c r="U174" s="77"/>
      <c r="V174" s="77"/>
    </row>
    <row r="175" spans="1:22" ht="15.6" thickTop="1" thickBot="1">
      <c r="B175" s="380"/>
      <c r="C175" s="29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3"/>
        <v>0</v>
      </c>
      <c r="N175" s="269">
        <f t="shared" si="64"/>
        <v>0</v>
      </c>
      <c r="O175" s="269"/>
      <c r="P175" s="290"/>
      <c r="Q175" s="28"/>
      <c r="T175" s="77"/>
      <c r="U175" s="76"/>
      <c r="V175" s="76"/>
    </row>
    <row r="176" spans="1:22" ht="15.6" thickTop="1" thickBot="1">
      <c r="B176" s="380"/>
      <c r="C176" s="29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3"/>
        <v>0</v>
      </c>
      <c r="N176" s="269">
        <f t="shared" si="64"/>
        <v>0</v>
      </c>
      <c r="O176" s="269"/>
      <c r="P176" s="290"/>
      <c r="Q176" s="28"/>
      <c r="T176" s="77"/>
      <c r="U176" s="76"/>
      <c r="V176" s="76"/>
    </row>
    <row r="177" spans="1:22" ht="15.6" thickTop="1" thickBot="1">
      <c r="B177" s="380"/>
      <c r="C177" s="29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3"/>
        <v>0</v>
      </c>
      <c r="N177" s="269">
        <f t="shared" si="64"/>
        <v>0</v>
      </c>
      <c r="O177" s="269"/>
      <c r="P177" s="290"/>
      <c r="Q177" s="28"/>
      <c r="T177" s="77"/>
      <c r="U177" s="76"/>
      <c r="V177" s="76"/>
    </row>
    <row r="178" spans="1:22" ht="15.6" thickTop="1" thickBot="1">
      <c r="B178" s="380"/>
      <c r="C178" s="30" t="s">
        <v>69</v>
      </c>
      <c r="D178" s="266">
        <f t="shared" ref="D178:K178" si="65">SUM(D172:D177)</f>
        <v>0</v>
      </c>
      <c r="E178" s="267">
        <f t="shared" si="65"/>
        <v>0</v>
      </c>
      <c r="F178" s="268">
        <f t="shared" si="65"/>
        <v>0</v>
      </c>
      <c r="G178" s="268">
        <f t="shared" si="65"/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70">
        <f t="shared" si="65"/>
        <v>0</v>
      </c>
      <c r="L178" s="307"/>
      <c r="M178" s="271">
        <f>SUM(M172:M177)</f>
        <v>0</v>
      </c>
      <c r="N178" s="269">
        <f>SUM(N172:N177)</f>
        <v>0</v>
      </c>
      <c r="O178" s="62"/>
      <c r="P178" s="63"/>
      <c r="Q178" s="28"/>
      <c r="T178" s="77"/>
      <c r="U178" s="76"/>
      <c r="V178" s="76"/>
    </row>
    <row r="179" spans="1:22" ht="15.6" thickTop="1" thickBot="1">
      <c r="B179" s="380"/>
      <c r="C179" s="1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8"/>
      <c r="T179" s="81">
        <f>$V$3+L11+L19+L27+L35+L43+L51+L59+L67+L75+L83+L91+L99+L107+L115+L123+L131+L139+L147+L155+L163+L171+L179</f>
        <v>0</v>
      </c>
      <c r="U179" s="76"/>
      <c r="V179" s="76"/>
    </row>
    <row r="180" spans="1:22" ht="15.6" thickTop="1" thickBot="1">
      <c r="A180" t="str">
        <f ca="1">OFFSET('0'!$B$112,($A$1-1)*10,$B180-1)</f>
        <v>--</v>
      </c>
      <c r="B180" s="380">
        <f ca="1">OFFSET('0'!$B$111,($A$1-1)*10,22)</f>
        <v>23</v>
      </c>
      <c r="C180" s="25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 t="shared" ref="M180:M185" si="66">SUM(D180-E180)</f>
        <v>0</v>
      </c>
      <c r="N180" s="305">
        <f t="shared" ref="N180:N185" si="67">SUM(E180,M180)</f>
        <v>0</v>
      </c>
      <c r="O180" s="305"/>
      <c r="P180" s="296"/>
      <c r="Q180" s="26"/>
      <c r="T180" s="77"/>
      <c r="U180" s="76"/>
      <c r="V180" s="76"/>
    </row>
    <row r="181" spans="1:22" s="1" customFormat="1" ht="15.6" thickTop="1" thickBot="1">
      <c r="B181" s="380"/>
      <c r="C181" s="27"/>
      <c r="D181" s="284"/>
      <c r="E181" s="285"/>
      <c r="F181" s="286"/>
      <c r="G181" s="286"/>
      <c r="H181" s="286"/>
      <c r="I181" s="286"/>
      <c r="J181" s="286"/>
      <c r="K181" s="286"/>
      <c r="L181" s="295"/>
      <c r="M181" s="285">
        <f t="shared" si="66"/>
        <v>0</v>
      </c>
      <c r="N181" s="269">
        <f t="shared" si="67"/>
        <v>0</v>
      </c>
      <c r="O181" s="269"/>
      <c r="P181" s="296"/>
      <c r="Q181" s="31"/>
      <c r="T181" s="77"/>
      <c r="U181" s="77"/>
      <c r="V181" s="77"/>
    </row>
    <row r="182" spans="1:22" ht="15.6" thickTop="1" thickBot="1">
      <c r="B182" s="380"/>
      <c r="C182" s="27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si="66"/>
        <v>0</v>
      </c>
      <c r="N182" s="269">
        <f t="shared" si="67"/>
        <v>0</v>
      </c>
      <c r="O182" s="269"/>
      <c r="P182" s="296"/>
      <c r="Q182" s="28"/>
      <c r="T182" s="77"/>
      <c r="U182" s="76"/>
      <c r="V182" s="76"/>
    </row>
    <row r="183" spans="1:22" ht="15.6" thickTop="1" thickBot="1">
      <c r="B183" s="380"/>
      <c r="C183" s="29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6"/>
        <v>0</v>
      </c>
      <c r="N183" s="269">
        <f t="shared" si="67"/>
        <v>0</v>
      </c>
      <c r="O183" s="269"/>
      <c r="P183" s="290"/>
      <c r="Q183" s="28"/>
      <c r="T183" s="77"/>
      <c r="U183" s="76"/>
      <c r="V183" s="76"/>
    </row>
    <row r="184" spans="1:22" ht="15.6" thickTop="1" thickBot="1">
      <c r="B184" s="380"/>
      <c r="C184" s="29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6"/>
        <v>0</v>
      </c>
      <c r="N184" s="269">
        <f t="shared" si="67"/>
        <v>0</v>
      </c>
      <c r="O184" s="269"/>
      <c r="P184" s="290"/>
      <c r="Q184" s="28"/>
      <c r="T184" s="77"/>
      <c r="U184" s="76"/>
      <c r="V184" s="76"/>
    </row>
    <row r="185" spans="1:22" ht="15.6" thickTop="1" thickBot="1">
      <c r="B185" s="380"/>
      <c r="C185" s="29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6"/>
        <v>0</v>
      </c>
      <c r="N185" s="269">
        <f t="shared" si="67"/>
        <v>0</v>
      </c>
      <c r="O185" s="269"/>
      <c r="P185" s="290"/>
      <c r="Q185" s="28"/>
      <c r="T185" s="77"/>
      <c r="U185" s="76"/>
      <c r="V185" s="76"/>
    </row>
    <row r="186" spans="1:22" ht="15.6" thickTop="1" thickBot="1">
      <c r="B186" s="380"/>
      <c r="C186" s="30" t="s">
        <v>69</v>
      </c>
      <c r="D186" s="266">
        <f t="shared" ref="D186:K186" si="68">SUM(D180:D185)</f>
        <v>0</v>
      </c>
      <c r="E186" s="267">
        <f t="shared" si="68"/>
        <v>0</v>
      </c>
      <c r="F186" s="268">
        <f t="shared" si="68"/>
        <v>0</v>
      </c>
      <c r="G186" s="268">
        <f t="shared" si="68"/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70">
        <f t="shared" si="68"/>
        <v>0</v>
      </c>
      <c r="L186" s="307"/>
      <c r="M186" s="271">
        <f>SUM(M180:M185)</f>
        <v>0</v>
      </c>
      <c r="N186" s="269">
        <f>SUM(N180:N185)</f>
        <v>0</v>
      </c>
      <c r="O186" s="62"/>
      <c r="P186" s="63"/>
      <c r="Q186" s="28"/>
      <c r="T186" s="77"/>
      <c r="U186" s="76"/>
      <c r="V186" s="76"/>
    </row>
    <row r="187" spans="1:22" ht="15.6" thickTop="1" thickBot="1">
      <c r="B187" s="380"/>
      <c r="C187" s="1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8"/>
      <c r="T187" s="81">
        <f>$V$3+L11+L19+L27+L35+L43+L51+L59+L67+L75+L83+L91+L99+L107+L115+L123+L131+L139+L147+L155+L163+L171+L179+L187</f>
        <v>0</v>
      </c>
      <c r="U187" s="76"/>
      <c r="V187" s="76"/>
    </row>
    <row r="188" spans="1:22" ht="15.6" thickTop="1" thickBot="1">
      <c r="A188" t="str">
        <f ca="1">OFFSET('0'!$B$112,($A$1-1)*10,$B188-1)</f>
        <v>--</v>
      </c>
      <c r="B188" s="380">
        <f ca="1">OFFSET('0'!$B$111,($A$1-1)*10,23)</f>
        <v>24</v>
      </c>
      <c r="C188" s="25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 t="shared" ref="M188:M193" si="69">SUM(D188-E188)</f>
        <v>0</v>
      </c>
      <c r="N188" s="305">
        <f t="shared" ref="N188:N193" si="70">SUM(E188,M188)</f>
        <v>0</v>
      </c>
      <c r="O188" s="305"/>
      <c r="P188" s="306"/>
      <c r="Q188" s="26"/>
      <c r="T188" s="77"/>
      <c r="U188" s="76"/>
      <c r="V188" s="76"/>
    </row>
    <row r="189" spans="1:22" ht="15.6" thickTop="1" thickBot="1">
      <c r="B189" s="380"/>
      <c r="C189" s="27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 t="shared" si="69"/>
        <v>0</v>
      </c>
      <c r="N189" s="269">
        <f t="shared" si="70"/>
        <v>0</v>
      </c>
      <c r="O189" s="269"/>
      <c r="P189" s="290"/>
      <c r="Q189" s="28"/>
      <c r="T189" s="77"/>
      <c r="U189" s="76"/>
      <c r="V189" s="76"/>
    </row>
    <row r="190" spans="1:22" s="1" customFormat="1" ht="15.6" thickTop="1" thickBot="1">
      <c r="B190" s="380"/>
      <c r="C190" s="27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si="69"/>
        <v>0</v>
      </c>
      <c r="N190" s="269">
        <f t="shared" si="70"/>
        <v>0</v>
      </c>
      <c r="O190" s="269"/>
      <c r="P190" s="290"/>
      <c r="Q190" s="28"/>
      <c r="T190" s="77"/>
      <c r="U190" s="77"/>
      <c r="V190" s="77"/>
    </row>
    <row r="191" spans="1:22" ht="15.6" thickTop="1" thickBot="1">
      <c r="B191" s="380"/>
      <c r="C191" s="29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69"/>
        <v>0</v>
      </c>
      <c r="N191" s="269">
        <f t="shared" si="70"/>
        <v>0</v>
      </c>
      <c r="O191" s="269"/>
      <c r="P191" s="290"/>
      <c r="Q191" s="28"/>
      <c r="T191" s="77"/>
      <c r="U191" s="76"/>
      <c r="V191" s="76"/>
    </row>
    <row r="192" spans="1:22" ht="15.6" thickTop="1" thickBot="1">
      <c r="B192" s="380"/>
      <c r="C192" s="29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69"/>
        <v>0</v>
      </c>
      <c r="N192" s="269">
        <f t="shared" si="70"/>
        <v>0</v>
      </c>
      <c r="O192" s="269"/>
      <c r="P192" s="290"/>
      <c r="Q192" s="28"/>
      <c r="T192" s="77"/>
      <c r="U192" s="76"/>
      <c r="V192" s="76"/>
    </row>
    <row r="193" spans="1:22" ht="15.6" thickTop="1" thickBot="1">
      <c r="B193" s="380"/>
      <c r="C193" s="29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69"/>
        <v>0</v>
      </c>
      <c r="N193" s="269">
        <f t="shared" si="70"/>
        <v>0</v>
      </c>
      <c r="O193" s="269"/>
      <c r="P193" s="290"/>
      <c r="Q193" s="28"/>
      <c r="T193" s="77"/>
      <c r="U193" s="76"/>
      <c r="V193" s="76"/>
    </row>
    <row r="194" spans="1:22" ht="15.6" thickTop="1" thickBot="1">
      <c r="B194" s="380"/>
      <c r="C194" s="30" t="s">
        <v>69</v>
      </c>
      <c r="D194" s="266">
        <f t="shared" ref="D194:K194" si="71">SUM(D188:D193)</f>
        <v>0</v>
      </c>
      <c r="E194" s="267">
        <f t="shared" si="71"/>
        <v>0</v>
      </c>
      <c r="F194" s="268">
        <f t="shared" si="71"/>
        <v>0</v>
      </c>
      <c r="G194" s="268">
        <f t="shared" si="71"/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70">
        <f t="shared" si="71"/>
        <v>0</v>
      </c>
      <c r="L194" s="307"/>
      <c r="M194" s="271">
        <f>SUM(M188:M193)</f>
        <v>0</v>
      </c>
      <c r="N194" s="269">
        <f>SUM(N188:N193)</f>
        <v>0</v>
      </c>
      <c r="O194" s="62"/>
      <c r="P194" s="63"/>
      <c r="Q194" s="28"/>
      <c r="T194" s="77"/>
      <c r="U194" s="76"/>
      <c r="V194" s="76"/>
    </row>
    <row r="195" spans="1:22" ht="15.6" thickTop="1" thickBot="1">
      <c r="B195" s="380"/>
      <c r="C195" s="1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8"/>
      <c r="T195" s="81">
        <f>$V$3+L11+L19+L27+L35+L43+L51+L59+L67+L75+L83+L91+L99+L107+L115+L123+L131+L139+L147+L155+L163+L171+L179+L187+L195</f>
        <v>0</v>
      </c>
      <c r="U195" s="76"/>
      <c r="V195" s="76"/>
    </row>
    <row r="196" spans="1:22" ht="15.6" thickTop="1" thickBot="1">
      <c r="A196" t="str">
        <f ca="1">OFFSET('0'!$B$112,($A$1-1)*10,$B196-1)</f>
        <v>SS</v>
      </c>
      <c r="B196" s="380">
        <f ca="1">OFFSET('0'!$B$111,($A$1-1)*10,24)</f>
        <v>25</v>
      </c>
      <c r="C196" s="25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 t="shared" ref="M196:M201" si="72">SUM(D196-E196)</f>
        <v>0</v>
      </c>
      <c r="N196" s="305">
        <f t="shared" ref="N196:N201" si="73">SUM(E196,M196)</f>
        <v>0</v>
      </c>
      <c r="O196" s="305"/>
      <c r="P196" s="306"/>
      <c r="Q196" s="26"/>
      <c r="T196" s="77"/>
      <c r="U196" s="76"/>
      <c r="V196" s="76"/>
    </row>
    <row r="197" spans="1:22" ht="15.6" thickTop="1" thickBot="1">
      <c r="B197" s="380"/>
      <c r="C197" s="27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 t="shared" si="72"/>
        <v>0</v>
      </c>
      <c r="N197" s="269">
        <f t="shared" si="73"/>
        <v>0</v>
      </c>
      <c r="O197" s="269"/>
      <c r="P197" s="290"/>
      <c r="Q197" s="28"/>
      <c r="T197" s="77"/>
      <c r="U197" s="76"/>
      <c r="V197" s="76"/>
    </row>
    <row r="198" spans="1:22" ht="15.6" thickTop="1" thickBot="1">
      <c r="B198" s="380"/>
      <c r="C198" s="27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si="72"/>
        <v>0</v>
      </c>
      <c r="N198" s="269">
        <f t="shared" si="73"/>
        <v>0</v>
      </c>
      <c r="O198" s="269"/>
      <c r="P198" s="290"/>
      <c r="Q198" s="28"/>
      <c r="T198" s="77"/>
      <c r="U198" s="76"/>
      <c r="V198" s="76"/>
    </row>
    <row r="199" spans="1:22" ht="15.6" thickTop="1" thickBot="1">
      <c r="B199" s="380"/>
      <c r="C199" s="29"/>
      <c r="D199" s="266"/>
      <c r="E199" s="267"/>
      <c r="F199" s="268"/>
      <c r="G199" s="268"/>
      <c r="H199" s="268"/>
      <c r="I199" s="268"/>
      <c r="J199" s="268"/>
      <c r="K199" s="270"/>
      <c r="L199" s="289"/>
      <c r="M199" s="271">
        <f t="shared" si="72"/>
        <v>0</v>
      </c>
      <c r="N199" s="269">
        <f t="shared" si="73"/>
        <v>0</v>
      </c>
      <c r="O199" s="269"/>
      <c r="P199" s="290"/>
      <c r="Q199" s="28"/>
      <c r="T199" s="77"/>
      <c r="U199" s="76"/>
      <c r="V199" s="76"/>
    </row>
    <row r="200" spans="1:22" ht="15.6" thickTop="1" thickBot="1">
      <c r="B200" s="380"/>
      <c r="C200" s="29"/>
      <c r="D200" s="266"/>
      <c r="E200" s="267"/>
      <c r="F200" s="268"/>
      <c r="G200" s="268"/>
      <c r="H200" s="268"/>
      <c r="I200" s="268"/>
      <c r="J200" s="268"/>
      <c r="K200" s="270"/>
      <c r="L200" s="289"/>
      <c r="M200" s="271">
        <f t="shared" si="72"/>
        <v>0</v>
      </c>
      <c r="N200" s="269">
        <f t="shared" si="73"/>
        <v>0</v>
      </c>
      <c r="O200" s="269"/>
      <c r="P200" s="290"/>
      <c r="Q200" s="28"/>
      <c r="T200" s="77"/>
      <c r="U200" s="76"/>
      <c r="V200" s="76"/>
    </row>
    <row r="201" spans="1:22" ht="15.6" thickTop="1" thickBot="1">
      <c r="B201" s="380"/>
      <c r="C201" s="29"/>
      <c r="D201" s="266"/>
      <c r="E201" s="267"/>
      <c r="F201" s="268"/>
      <c r="G201" s="268"/>
      <c r="H201" s="268"/>
      <c r="I201" s="268"/>
      <c r="J201" s="268"/>
      <c r="K201" s="270"/>
      <c r="L201" s="291"/>
      <c r="M201" s="271">
        <f t="shared" si="72"/>
        <v>0</v>
      </c>
      <c r="N201" s="279">
        <f t="shared" si="73"/>
        <v>0</v>
      </c>
      <c r="O201" s="279"/>
      <c r="P201" s="294"/>
      <c r="Q201" s="28"/>
      <c r="T201" s="77"/>
      <c r="U201" s="76"/>
      <c r="V201" s="76"/>
    </row>
    <row r="202" spans="1:22" ht="15.6" thickTop="1" thickBot="1">
      <c r="B202" s="380"/>
      <c r="C202" s="24" t="s">
        <v>69</v>
      </c>
      <c r="D202" s="266">
        <f t="shared" ref="D202:K202" si="74">SUM(D196:D201)</f>
        <v>0</v>
      </c>
      <c r="E202" s="267">
        <f t="shared" si="74"/>
        <v>0</v>
      </c>
      <c r="F202" s="268">
        <f t="shared" si="74"/>
        <v>0</v>
      </c>
      <c r="G202" s="268">
        <f t="shared" si="74"/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70">
        <f t="shared" si="74"/>
        <v>0</v>
      </c>
      <c r="L202" s="307"/>
      <c r="M202" s="271">
        <f>SUM(M196:M201)</f>
        <v>0</v>
      </c>
      <c r="N202" s="269">
        <f>SUM(N196:N201)</f>
        <v>0</v>
      </c>
      <c r="O202" s="62"/>
      <c r="P202" s="63"/>
      <c r="Q202" s="28"/>
      <c r="T202" s="77"/>
      <c r="U202" s="76"/>
      <c r="V202" s="76"/>
    </row>
    <row r="203" spans="1:22" ht="15.6" thickTop="1" thickBot="1">
      <c r="B203" s="380"/>
      <c r="C203" s="1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8"/>
      <c r="T203" s="81">
        <f>$V$3+L11+L19+L27+L35+L43+L51+L59+L67+L75+L83+L91+L99+L107+L115+L123+L131+L139+L147+L155+L163+L171+L179+L187+L195+L203</f>
        <v>0</v>
      </c>
      <c r="U203" s="76"/>
      <c r="V203" s="76"/>
    </row>
    <row r="204" spans="1:22" ht="15.6" thickTop="1" thickBot="1">
      <c r="A204" t="str">
        <f ca="1">OFFSET('0'!$B$112,($A$1-1)*10,$B204-1)</f>
        <v>SK</v>
      </c>
      <c r="B204" s="380">
        <f ca="1">OFFSET('0'!$B$111,($A$1-1)*10,25)</f>
        <v>26</v>
      </c>
      <c r="C204" s="25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 t="shared" ref="M204:M209" si="75">SUM(D204-E204)</f>
        <v>0</v>
      </c>
      <c r="N204" s="312">
        <f t="shared" ref="N204:N209" si="76">SUM(E204,M204)</f>
        <v>0</v>
      </c>
      <c r="O204" s="312"/>
      <c r="P204" s="313"/>
      <c r="Q204" s="26"/>
      <c r="T204" s="77"/>
      <c r="U204" s="76"/>
      <c r="V204" s="76"/>
    </row>
    <row r="205" spans="1:22" s="1" customFormat="1" ht="15.6" thickTop="1" thickBot="1">
      <c r="B205" s="380"/>
      <c r="C205" s="27"/>
      <c r="D205" s="284"/>
      <c r="E205" s="285"/>
      <c r="F205" s="286"/>
      <c r="G205" s="286"/>
      <c r="H205" s="286"/>
      <c r="I205" s="286"/>
      <c r="J205" s="286"/>
      <c r="K205" s="286"/>
      <c r="L205" s="295"/>
      <c r="M205" s="285">
        <f t="shared" si="75"/>
        <v>0</v>
      </c>
      <c r="N205" s="279">
        <f t="shared" si="76"/>
        <v>0</v>
      </c>
      <c r="O205" s="279"/>
      <c r="P205" s="294"/>
      <c r="Q205" s="31"/>
      <c r="T205" s="77"/>
      <c r="U205" s="77"/>
      <c r="V205" s="77"/>
    </row>
    <row r="206" spans="1:22" ht="15.6" thickTop="1" thickBot="1">
      <c r="B206" s="380"/>
      <c r="C206" s="27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si="75"/>
        <v>0</v>
      </c>
      <c r="N206" s="269">
        <f t="shared" si="76"/>
        <v>0</v>
      </c>
      <c r="O206" s="269"/>
      <c r="P206" s="290"/>
      <c r="Q206" s="28"/>
      <c r="T206" s="77"/>
      <c r="U206" s="76"/>
      <c r="V206" s="76"/>
    </row>
    <row r="207" spans="1:22" ht="15.6" thickTop="1" thickBot="1">
      <c r="B207" s="380"/>
      <c r="C207" s="29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5"/>
        <v>0</v>
      </c>
      <c r="N207" s="269">
        <f t="shared" si="76"/>
        <v>0</v>
      </c>
      <c r="O207" s="269"/>
      <c r="P207" s="290"/>
      <c r="Q207" s="28"/>
      <c r="T207" s="77"/>
      <c r="U207" s="76"/>
      <c r="V207" s="76"/>
    </row>
    <row r="208" spans="1:22" ht="15.6" thickTop="1" thickBot="1">
      <c r="B208" s="380"/>
      <c r="C208" s="29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5"/>
        <v>0</v>
      </c>
      <c r="N208" s="269">
        <f t="shared" si="76"/>
        <v>0</v>
      </c>
      <c r="O208" s="269"/>
      <c r="P208" s="290"/>
      <c r="Q208" s="28"/>
      <c r="T208" s="77"/>
      <c r="U208" s="76"/>
      <c r="V208" s="76"/>
    </row>
    <row r="209" spans="1:22" ht="15.6" thickTop="1" thickBot="1">
      <c r="B209" s="380"/>
      <c r="C209" s="29"/>
      <c r="D209" s="266"/>
      <c r="E209" s="267"/>
      <c r="F209" s="268"/>
      <c r="G209" s="268"/>
      <c r="H209" s="268"/>
      <c r="I209" s="268"/>
      <c r="J209" s="268"/>
      <c r="K209" s="270"/>
      <c r="L209" s="297"/>
      <c r="M209" s="271">
        <f t="shared" si="75"/>
        <v>0</v>
      </c>
      <c r="N209" s="269">
        <f t="shared" si="76"/>
        <v>0</v>
      </c>
      <c r="O209" s="269"/>
      <c r="P209" s="290"/>
      <c r="Q209" s="28"/>
      <c r="T209" s="77"/>
      <c r="U209" s="76"/>
      <c r="V209" s="76"/>
    </row>
    <row r="210" spans="1:22" ht="15.6" thickTop="1" thickBot="1">
      <c r="B210" s="380"/>
      <c r="C210" s="24" t="s">
        <v>69</v>
      </c>
      <c r="D210" s="266">
        <f t="shared" ref="D210:K210" si="77">SUM(D204:D209)</f>
        <v>0</v>
      </c>
      <c r="E210" s="267">
        <f t="shared" si="77"/>
        <v>0</v>
      </c>
      <c r="F210" s="268">
        <f t="shared" si="77"/>
        <v>0</v>
      </c>
      <c r="G210" s="268">
        <f t="shared" si="77"/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70">
        <f t="shared" si="77"/>
        <v>0</v>
      </c>
      <c r="L210" s="307"/>
      <c r="M210" s="271">
        <f>SUM(M204:M209)</f>
        <v>0</v>
      </c>
      <c r="N210" s="269">
        <f>SUM(N204:N209)</f>
        <v>0</v>
      </c>
      <c r="O210" s="62"/>
      <c r="P210" s="63"/>
      <c r="Q210" s="28"/>
      <c r="T210" s="77"/>
      <c r="U210" s="76"/>
      <c r="V210" s="76"/>
    </row>
    <row r="211" spans="1:22" ht="15.6" thickTop="1" thickBot="1">
      <c r="B211" s="380"/>
      <c r="C211" s="1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8"/>
      <c r="T211" s="81">
        <f>$V$3+L11+L19+L27+L35+L43+L51+L59+L67+L75+L83+L91+L99+L107+L115+L123+L131+L139+L147+L155+L163+L171+L179+L187+L195+L203+L211</f>
        <v>0</v>
      </c>
      <c r="U211" s="76"/>
      <c r="V211" s="76"/>
    </row>
    <row r="212" spans="1:22" ht="15.6" thickTop="1" thickBot="1">
      <c r="A212" t="str">
        <f ca="1">OFFSET('0'!$B$112,($A$1-1)*10,$B212-1)</f>
        <v>--</v>
      </c>
      <c r="B212" s="380">
        <f ca="1">OFFSET('0'!$B$111,($A$1-1)*10,26)</f>
        <v>27</v>
      </c>
      <c r="C212" s="25" t="s">
        <v>144</v>
      </c>
      <c r="D212" s="314">
        <v>4</v>
      </c>
      <c r="E212" s="315">
        <v>4</v>
      </c>
      <c r="F212" s="316">
        <v>2</v>
      </c>
      <c r="G212" s="316"/>
      <c r="H212" s="316"/>
      <c r="I212" s="316"/>
      <c r="J212" s="316">
        <v>1</v>
      </c>
      <c r="K212" s="316"/>
      <c r="L212" s="317">
        <v>190</v>
      </c>
      <c r="M212" s="315">
        <f t="shared" ref="M212:M217" si="78">SUM(D212-E212)</f>
        <v>0</v>
      </c>
      <c r="N212" s="312">
        <f t="shared" ref="N212:N217" si="79">SUM(E212,M212)</f>
        <v>4</v>
      </c>
      <c r="O212" s="312"/>
      <c r="P212" s="313"/>
      <c r="Q212" s="26"/>
      <c r="T212" s="77"/>
      <c r="U212" s="76"/>
      <c r="V212" s="76"/>
    </row>
    <row r="213" spans="1:22" ht="15.6" thickTop="1" thickBot="1">
      <c r="B213" s="380"/>
      <c r="C213" s="27" t="s">
        <v>55</v>
      </c>
      <c r="D213" s="318">
        <v>3</v>
      </c>
      <c r="E213" s="319">
        <v>3</v>
      </c>
      <c r="F213" s="320">
        <v>1</v>
      </c>
      <c r="G213" s="320"/>
      <c r="H213" s="320"/>
      <c r="I213" s="320"/>
      <c r="J213" s="320">
        <v>1</v>
      </c>
      <c r="K213" s="320"/>
      <c r="L213" s="300">
        <v>173.2</v>
      </c>
      <c r="M213" s="319">
        <f t="shared" si="78"/>
        <v>0</v>
      </c>
      <c r="N213" s="269">
        <f t="shared" si="79"/>
        <v>3</v>
      </c>
      <c r="O213" s="269"/>
      <c r="P213" s="290"/>
      <c r="Q213" s="28"/>
      <c r="T213" s="77"/>
      <c r="U213" s="76"/>
      <c r="V213" s="76"/>
    </row>
    <row r="214" spans="1:22" s="1" customFormat="1" ht="15.6" thickTop="1" thickBot="1">
      <c r="B214" s="380"/>
      <c r="C214" s="27" t="s">
        <v>56</v>
      </c>
      <c r="D214" s="318">
        <v>5</v>
      </c>
      <c r="E214" s="319">
        <v>5</v>
      </c>
      <c r="F214" s="320"/>
      <c r="G214" s="320"/>
      <c r="H214" s="320"/>
      <c r="I214" s="320"/>
      <c r="J214" s="320"/>
      <c r="K214" s="320"/>
      <c r="L214" s="300">
        <v>390</v>
      </c>
      <c r="M214" s="319">
        <f t="shared" si="78"/>
        <v>0</v>
      </c>
      <c r="N214" s="269">
        <f t="shared" si="79"/>
        <v>5</v>
      </c>
      <c r="O214" s="269"/>
      <c r="P214" s="290"/>
      <c r="Q214" s="28"/>
      <c r="T214" s="77"/>
      <c r="U214" s="77"/>
      <c r="V214" s="77"/>
    </row>
    <row r="215" spans="1:22" s="1" customFormat="1" ht="15.6" thickTop="1" thickBot="1">
      <c r="B215" s="380"/>
      <c r="C215" s="29"/>
      <c r="D215" s="318"/>
      <c r="E215" s="319"/>
      <c r="F215" s="320"/>
      <c r="G215" s="320"/>
      <c r="H215" s="320"/>
      <c r="I215" s="320"/>
      <c r="J215" s="320"/>
      <c r="K215" s="320"/>
      <c r="L215" s="300">
        <v>1150</v>
      </c>
      <c r="M215" s="319">
        <f t="shared" si="78"/>
        <v>0</v>
      </c>
      <c r="N215" s="269">
        <f t="shared" si="79"/>
        <v>0</v>
      </c>
      <c r="O215" s="269"/>
      <c r="P215" s="290"/>
      <c r="Q215" s="28"/>
      <c r="T215" s="77"/>
      <c r="U215" s="77"/>
      <c r="V215" s="77"/>
    </row>
    <row r="216" spans="1:22" ht="15.6" thickTop="1" thickBot="1">
      <c r="B216" s="380"/>
      <c r="C216" s="29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8"/>
        <v>0</v>
      </c>
      <c r="N216" s="269">
        <f t="shared" si="79"/>
        <v>0</v>
      </c>
      <c r="O216" s="269"/>
      <c r="P216" s="290"/>
      <c r="Q216" s="28"/>
      <c r="T216" s="77"/>
      <c r="U216" s="76"/>
      <c r="V216" s="76"/>
    </row>
    <row r="217" spans="1:22" ht="15.6" thickTop="1" thickBot="1">
      <c r="B217" s="380"/>
      <c r="C217" s="29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8"/>
        <v>0</v>
      </c>
      <c r="N217" s="269">
        <f t="shared" si="79"/>
        <v>0</v>
      </c>
      <c r="O217" s="269"/>
      <c r="P217" s="290"/>
      <c r="Q217" s="28"/>
      <c r="T217" s="77"/>
      <c r="U217" s="76"/>
      <c r="V217" s="76"/>
    </row>
    <row r="218" spans="1:22" ht="15.6" thickTop="1" thickBot="1">
      <c r="B218" s="380"/>
      <c r="C218" s="24" t="s">
        <v>69</v>
      </c>
      <c r="D218" s="266">
        <f t="shared" ref="D218:K218" si="80">SUM(D212:D217)</f>
        <v>12</v>
      </c>
      <c r="E218" s="267">
        <f t="shared" si="80"/>
        <v>12</v>
      </c>
      <c r="F218" s="268">
        <f t="shared" si="80"/>
        <v>3</v>
      </c>
      <c r="G218" s="268">
        <f t="shared" si="80"/>
        <v>0</v>
      </c>
      <c r="H218" s="268">
        <f t="shared" si="80"/>
        <v>0</v>
      </c>
      <c r="I218" s="268">
        <f t="shared" si="80"/>
        <v>0</v>
      </c>
      <c r="J218" s="268">
        <f t="shared" si="80"/>
        <v>2</v>
      </c>
      <c r="K218" s="270">
        <f t="shared" si="80"/>
        <v>0</v>
      </c>
      <c r="L218" s="307">
        <v>1903.2</v>
      </c>
      <c r="M218" s="271">
        <f>SUM(M212:M217)</f>
        <v>0</v>
      </c>
      <c r="N218" s="269">
        <f>SUM(N212:N217)</f>
        <v>12</v>
      </c>
      <c r="O218" s="62"/>
      <c r="P218" s="63"/>
      <c r="Q218" s="28"/>
      <c r="T218" s="77"/>
      <c r="U218" s="76"/>
      <c r="V218" s="76"/>
    </row>
    <row r="219" spans="1:22" ht="15.6" thickTop="1" thickBot="1">
      <c r="B219" s="380"/>
      <c r="C219" s="17" t="s">
        <v>45</v>
      </c>
      <c r="D219" s="272">
        <f>SUM(D212:D217)</f>
        <v>12</v>
      </c>
      <c r="E219" s="272">
        <f>SUM(E212:E217)</f>
        <v>12</v>
      </c>
      <c r="F219" s="381">
        <f>SUM(F218:K218)</f>
        <v>5</v>
      </c>
      <c r="G219" s="382"/>
      <c r="H219" s="382"/>
      <c r="I219" s="382"/>
      <c r="J219" s="382"/>
      <c r="K219" s="383"/>
      <c r="L219" s="274">
        <f>L218</f>
        <v>1903.2</v>
      </c>
      <c r="M219" s="272">
        <f>SUM(M212:M217)</f>
        <v>0</v>
      </c>
      <c r="N219" s="272">
        <f>SUM(N212:N217)</f>
        <v>12</v>
      </c>
      <c r="O219" s="272">
        <f>SUM(O218)</f>
        <v>0</v>
      </c>
      <c r="P219" s="275">
        <f>SUM(P218)</f>
        <v>0</v>
      </c>
      <c r="Q219" s="18"/>
      <c r="T219" s="81">
        <f>$V$3+L11+L19+L27+L35+L43+L51+L59+L67+L75+L83+L91+L99+L107+L115+L123+L131+L139+L147+L155+L163+L171+L179+L187+L195+L203+L211+L219</f>
        <v>1903.2</v>
      </c>
      <c r="U219" s="76"/>
      <c r="V219" s="76"/>
    </row>
    <row r="220" spans="1:22" ht="15.6" thickTop="1" thickBot="1">
      <c r="A220" t="str">
        <f ca="1">OFFSET('0'!$B$112,($A$1-1)*10,OFFSET($B$4,($B220-1)*'0'!$E$19,0)-1)</f>
        <v>--</v>
      </c>
      <c r="B220" s="380">
        <f ca="1">OFFSET('0'!$B$111,($A$1-1)*10,27)</f>
        <v>28</v>
      </c>
      <c r="C220" s="25" t="s">
        <v>46</v>
      </c>
      <c r="D220" s="314">
        <v>15</v>
      </c>
      <c r="E220" s="315">
        <v>14</v>
      </c>
      <c r="F220" s="316">
        <v>2</v>
      </c>
      <c r="G220" s="316"/>
      <c r="H220" s="316"/>
      <c r="I220" s="316"/>
      <c r="J220" s="316"/>
      <c r="K220" s="316"/>
      <c r="L220" s="317">
        <v>3800</v>
      </c>
      <c r="M220" s="315">
        <f t="shared" ref="M220:M225" si="81">SUM(D220-E220)</f>
        <v>1</v>
      </c>
      <c r="N220" s="305">
        <f t="shared" ref="N220:N225" si="82">SUM(E220,M220)</f>
        <v>15</v>
      </c>
      <c r="O220" s="305"/>
      <c r="P220" s="296"/>
      <c r="Q220" s="26"/>
      <c r="T220" s="77"/>
      <c r="U220" s="76"/>
      <c r="V220" s="76"/>
    </row>
    <row r="221" spans="1:22" s="1" customFormat="1" ht="15.6" thickTop="1" thickBot="1">
      <c r="B221" s="380"/>
      <c r="C221" s="27" t="s">
        <v>47</v>
      </c>
      <c r="D221" s="318">
        <v>3</v>
      </c>
      <c r="E221" s="319">
        <v>2</v>
      </c>
      <c r="F221" s="320"/>
      <c r="G221" s="320"/>
      <c r="H221" s="320"/>
      <c r="I221" s="320"/>
      <c r="J221" s="320"/>
      <c r="K221" s="320"/>
      <c r="L221" s="300">
        <v>4700</v>
      </c>
      <c r="M221" s="319">
        <f t="shared" si="81"/>
        <v>1</v>
      </c>
      <c r="N221" s="269">
        <f t="shared" si="82"/>
        <v>3</v>
      </c>
      <c r="O221" s="269"/>
      <c r="P221" s="296"/>
      <c r="Q221" s="31"/>
      <c r="T221" s="77"/>
      <c r="U221" s="77"/>
      <c r="V221" s="77"/>
    </row>
    <row r="222" spans="1:22" ht="15.6" thickTop="1" thickBot="1">
      <c r="B222" s="380"/>
      <c r="C222" s="55" t="s">
        <v>48</v>
      </c>
      <c r="D222" s="318">
        <v>16</v>
      </c>
      <c r="E222" s="319">
        <v>16</v>
      </c>
      <c r="F222" s="320"/>
      <c r="G222" s="320"/>
      <c r="H222" s="320"/>
      <c r="I222" s="320">
        <v>1</v>
      </c>
      <c r="J222" s="320"/>
      <c r="K222" s="320"/>
      <c r="L222" s="300"/>
      <c r="M222" s="319">
        <f t="shared" si="81"/>
        <v>0</v>
      </c>
      <c r="N222" s="269">
        <f t="shared" si="82"/>
        <v>16</v>
      </c>
      <c r="O222" s="269"/>
      <c r="P222" s="290"/>
      <c r="Q222" s="28"/>
      <c r="T222" s="77"/>
      <c r="U222" s="76"/>
      <c r="V222" s="76"/>
    </row>
    <row r="223" spans="1:22" s="1" customFormat="1" ht="15.6" thickTop="1" thickBot="1">
      <c r="B223" s="380"/>
      <c r="C223" s="29" t="s">
        <v>49</v>
      </c>
      <c r="D223" s="318">
        <v>8</v>
      </c>
      <c r="E223" s="319">
        <v>7</v>
      </c>
      <c r="F223" s="320"/>
      <c r="G223" s="320"/>
      <c r="H223" s="320"/>
      <c r="I223" s="320"/>
      <c r="J223" s="320">
        <v>1</v>
      </c>
      <c r="K223" s="320">
        <v>1</v>
      </c>
      <c r="L223" s="300">
        <v>7500</v>
      </c>
      <c r="M223" s="319">
        <f t="shared" si="81"/>
        <v>1</v>
      </c>
      <c r="N223" s="269">
        <f t="shared" si="82"/>
        <v>8</v>
      </c>
      <c r="O223" s="269"/>
      <c r="P223" s="290"/>
      <c r="Q223" s="28"/>
      <c r="T223" s="77"/>
      <c r="U223" s="77"/>
      <c r="V223" s="77"/>
    </row>
    <row r="224" spans="1:22" ht="15.6" thickTop="1" thickBot="1">
      <c r="B224" s="380"/>
      <c r="C224" s="29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1"/>
        <v>0</v>
      </c>
      <c r="N224" s="269">
        <f t="shared" si="82"/>
        <v>0</v>
      </c>
      <c r="O224" s="269"/>
      <c r="P224" s="290"/>
      <c r="Q224" s="28"/>
      <c r="T224" s="77"/>
      <c r="U224" s="76"/>
      <c r="V224" s="76"/>
    </row>
    <row r="225" spans="1:22" ht="15.6" thickTop="1" thickBot="1">
      <c r="B225" s="380"/>
      <c r="C225" s="29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1"/>
        <v>0</v>
      </c>
      <c r="N225" s="279">
        <f t="shared" si="82"/>
        <v>0</v>
      </c>
      <c r="O225" s="279"/>
      <c r="P225" s="294"/>
      <c r="Q225" s="28"/>
      <c r="T225" s="77"/>
      <c r="U225" s="76"/>
      <c r="V225" s="76"/>
    </row>
    <row r="226" spans="1:22" ht="15.6" thickTop="1" thickBot="1">
      <c r="B226" s="380"/>
      <c r="C226" s="24" t="s">
        <v>69</v>
      </c>
      <c r="D226" s="266">
        <f t="shared" ref="D226:K226" si="83">SUM(D220:D225)</f>
        <v>42</v>
      </c>
      <c r="E226" s="267">
        <f t="shared" si="83"/>
        <v>39</v>
      </c>
      <c r="F226" s="268">
        <f t="shared" si="83"/>
        <v>2</v>
      </c>
      <c r="G226" s="268">
        <f t="shared" si="83"/>
        <v>0</v>
      </c>
      <c r="H226" s="268">
        <f t="shared" si="83"/>
        <v>0</v>
      </c>
      <c r="I226" s="268">
        <f t="shared" si="83"/>
        <v>1</v>
      </c>
      <c r="J226" s="268">
        <f t="shared" si="83"/>
        <v>1</v>
      </c>
      <c r="K226" s="270">
        <f t="shared" si="83"/>
        <v>1</v>
      </c>
      <c r="L226" s="307">
        <v>16000</v>
      </c>
      <c r="M226" s="271">
        <f>SUM(M220:M225)</f>
        <v>3</v>
      </c>
      <c r="N226" s="269">
        <f>SUM(N220:N225)</f>
        <v>42</v>
      </c>
      <c r="O226" s="62"/>
      <c r="P226" s="63"/>
      <c r="Q226" s="28"/>
      <c r="T226" s="77"/>
      <c r="U226" s="76"/>
      <c r="V226" s="76"/>
    </row>
    <row r="227" spans="1:22" ht="15.6" thickTop="1" thickBot="1">
      <c r="B227" s="380"/>
      <c r="C227" s="17" t="s">
        <v>45</v>
      </c>
      <c r="D227" s="272">
        <f>SUM(D220:D225)</f>
        <v>42</v>
      </c>
      <c r="E227" s="272">
        <f>SUM(E220:E225)</f>
        <v>39</v>
      </c>
      <c r="F227" s="381">
        <f>SUM(F226:K226)</f>
        <v>5</v>
      </c>
      <c r="G227" s="382"/>
      <c r="H227" s="382"/>
      <c r="I227" s="382"/>
      <c r="J227" s="382"/>
      <c r="K227" s="383"/>
      <c r="L227" s="274">
        <f>L226</f>
        <v>16000</v>
      </c>
      <c r="M227" s="272">
        <f>SUM(M220:M225)</f>
        <v>3</v>
      </c>
      <c r="N227" s="272">
        <f>SUM(N220:N225)</f>
        <v>42</v>
      </c>
      <c r="O227" s="272">
        <f>SUM(O226)</f>
        <v>0</v>
      </c>
      <c r="P227" s="275">
        <f>SUM(P226)</f>
        <v>0</v>
      </c>
      <c r="Q227" s="18"/>
      <c r="T227" s="81">
        <f>$V$3+L11+L19+L27+L35+L43+L51+L59+L67+L75+L83+L91+L99+L107+L115+L123+L131+L139+L147+L155+L163+L171+L179+L187+L195+L203+L211+L219+L227</f>
        <v>17903.2</v>
      </c>
      <c r="U227" s="76"/>
      <c r="V227" s="76"/>
    </row>
    <row r="228" spans="1:22" ht="15.6" thickTop="1" thickBot="1">
      <c r="A228" t="str">
        <f ca="1">OFFSET('0'!$B$112,($A$1-1)*10,$B228-1)</f>
        <v>--</v>
      </c>
      <c r="B228" s="380">
        <f ca="1">OFFSET('0'!$B$111,($A$1-1)*10,28)</f>
        <v>29</v>
      </c>
      <c r="C228" s="25" t="s">
        <v>46</v>
      </c>
      <c r="D228" s="314">
        <v>18</v>
      </c>
      <c r="E228" s="315">
        <v>18</v>
      </c>
      <c r="F228" s="316">
        <v>2</v>
      </c>
      <c r="G228" s="316"/>
      <c r="H228" s="316"/>
      <c r="I228" s="316"/>
      <c r="J228" s="316">
        <v>1</v>
      </c>
      <c r="K228" s="316"/>
      <c r="L228" s="317">
        <v>560</v>
      </c>
      <c r="M228" s="315">
        <f t="shared" ref="M228:M233" si="84">SUM(D228-E228)</f>
        <v>0</v>
      </c>
      <c r="N228" s="305">
        <f t="shared" ref="N228:N233" si="85">SUM(E228,M228)</f>
        <v>18</v>
      </c>
      <c r="O228" s="305"/>
      <c r="P228" s="296"/>
      <c r="Q228" s="26"/>
      <c r="T228" s="77"/>
      <c r="U228" s="76"/>
      <c r="V228" s="76"/>
    </row>
    <row r="229" spans="1:22" ht="15.6" thickTop="1" thickBot="1">
      <c r="B229" s="380"/>
      <c r="C229" s="27" t="s">
        <v>50</v>
      </c>
      <c r="D229" s="318">
        <v>13</v>
      </c>
      <c r="E229" s="319">
        <v>13</v>
      </c>
      <c r="F229" s="320">
        <v>2</v>
      </c>
      <c r="G229" s="320"/>
      <c r="H229" s="320"/>
      <c r="I229" s="320"/>
      <c r="J229" s="320">
        <v>1</v>
      </c>
      <c r="K229" s="320"/>
      <c r="L229" s="300">
        <v>2182</v>
      </c>
      <c r="M229" s="319">
        <f t="shared" si="84"/>
        <v>0</v>
      </c>
      <c r="N229" s="269">
        <f t="shared" si="85"/>
        <v>13</v>
      </c>
      <c r="O229" s="269"/>
      <c r="P229" s="296"/>
      <c r="Q229" s="31"/>
      <c r="T229" s="77"/>
      <c r="U229" s="76"/>
      <c r="V229" s="76"/>
    </row>
    <row r="230" spans="1:22" ht="15.6" thickTop="1" thickBot="1">
      <c r="B230" s="380"/>
      <c r="C230" s="27" t="s">
        <v>51</v>
      </c>
      <c r="D230" s="318">
        <v>6</v>
      </c>
      <c r="E230" s="319">
        <v>6</v>
      </c>
      <c r="F230" s="320"/>
      <c r="G230" s="320"/>
      <c r="H230" s="320"/>
      <c r="I230" s="320">
        <v>1</v>
      </c>
      <c r="J230" s="320">
        <v>1</v>
      </c>
      <c r="K230" s="320"/>
      <c r="L230" s="300"/>
      <c r="M230" s="319">
        <f t="shared" si="84"/>
        <v>0</v>
      </c>
      <c r="N230" s="269">
        <f t="shared" si="85"/>
        <v>6</v>
      </c>
      <c r="O230" s="269"/>
      <c r="P230" s="290"/>
      <c r="Q230" s="28"/>
      <c r="T230" s="77"/>
      <c r="U230" s="76"/>
      <c r="V230" s="76"/>
    </row>
    <row r="231" spans="1:22" s="1" customFormat="1" ht="15.6" thickTop="1" thickBot="1">
      <c r="B231" s="380"/>
      <c r="C231" s="29"/>
      <c r="D231" s="318"/>
      <c r="E231" s="319"/>
      <c r="F231" s="320"/>
      <c r="G231" s="320"/>
      <c r="H231" s="320"/>
      <c r="I231" s="320"/>
      <c r="J231" s="320"/>
      <c r="K231" s="320"/>
      <c r="L231" s="300">
        <v>10000</v>
      </c>
      <c r="M231" s="319">
        <f t="shared" si="84"/>
        <v>0</v>
      </c>
      <c r="N231" s="269">
        <f t="shared" si="85"/>
        <v>0</v>
      </c>
      <c r="O231" s="269"/>
      <c r="P231" s="290"/>
      <c r="Q231" s="28"/>
      <c r="T231" s="77"/>
      <c r="U231" s="77"/>
      <c r="V231" s="77"/>
    </row>
    <row r="232" spans="1:22" s="1" customFormat="1" ht="15.6" thickTop="1" thickBot="1">
      <c r="B232" s="380"/>
      <c r="C232" s="29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4"/>
        <v>0</v>
      </c>
      <c r="N232" s="269">
        <f t="shared" si="85"/>
        <v>0</v>
      </c>
      <c r="O232" s="269"/>
      <c r="P232" s="290"/>
      <c r="Q232" s="28"/>
      <c r="T232" s="77"/>
      <c r="U232" s="77"/>
      <c r="V232" s="77"/>
    </row>
    <row r="233" spans="1:22" ht="15.6" thickTop="1" thickBot="1">
      <c r="B233" s="380"/>
      <c r="C233" s="29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4"/>
        <v>0</v>
      </c>
      <c r="N233" s="269">
        <f t="shared" si="85"/>
        <v>0</v>
      </c>
      <c r="O233" s="269"/>
      <c r="P233" s="290"/>
      <c r="Q233" s="28"/>
      <c r="T233" s="77"/>
      <c r="U233" s="76"/>
      <c r="V233" s="76"/>
    </row>
    <row r="234" spans="1:22" ht="15.6" thickTop="1" thickBot="1">
      <c r="B234" s="380"/>
      <c r="C234" s="24" t="s">
        <v>69</v>
      </c>
      <c r="D234" s="266">
        <f t="shared" ref="D234:K234" si="86">SUM(D228:D233)</f>
        <v>37</v>
      </c>
      <c r="E234" s="267">
        <f t="shared" si="86"/>
        <v>37</v>
      </c>
      <c r="F234" s="268">
        <f t="shared" si="86"/>
        <v>4</v>
      </c>
      <c r="G234" s="268">
        <f t="shared" si="86"/>
        <v>0</v>
      </c>
      <c r="H234" s="268">
        <f t="shared" si="86"/>
        <v>0</v>
      </c>
      <c r="I234" s="268">
        <f t="shared" si="86"/>
        <v>1</v>
      </c>
      <c r="J234" s="268">
        <f t="shared" si="86"/>
        <v>3</v>
      </c>
      <c r="K234" s="270">
        <f t="shared" si="86"/>
        <v>0</v>
      </c>
      <c r="L234" s="307">
        <v>12742</v>
      </c>
      <c r="M234" s="271">
        <f>SUM(M228:M233)</f>
        <v>0</v>
      </c>
      <c r="N234" s="269">
        <f>SUM(N228:N233)</f>
        <v>37</v>
      </c>
      <c r="O234" s="62"/>
      <c r="P234" s="63"/>
      <c r="Q234" s="28"/>
      <c r="T234" s="77"/>
      <c r="U234" s="76"/>
      <c r="V234" s="76"/>
    </row>
    <row r="235" spans="1:22" ht="15.6" thickTop="1" thickBot="1">
      <c r="B235" s="380"/>
      <c r="C235" s="17" t="s">
        <v>45</v>
      </c>
      <c r="D235" s="272">
        <f>SUM(D228:D233)</f>
        <v>37</v>
      </c>
      <c r="E235" s="272">
        <f>SUM(E228:E233)</f>
        <v>37</v>
      </c>
      <c r="F235" s="381">
        <f>SUM(F234:K234)</f>
        <v>8</v>
      </c>
      <c r="G235" s="382"/>
      <c r="H235" s="382"/>
      <c r="I235" s="382"/>
      <c r="J235" s="382"/>
      <c r="K235" s="383"/>
      <c r="L235" s="274">
        <f>L234</f>
        <v>12742</v>
      </c>
      <c r="M235" s="272">
        <f>SUM(M228:M233)</f>
        <v>0</v>
      </c>
      <c r="N235" s="272">
        <f>SUM(N228:N233)</f>
        <v>37</v>
      </c>
      <c r="O235" s="272">
        <f>SUM(O234)</f>
        <v>0</v>
      </c>
      <c r="P235" s="275">
        <f>SUM(P234)</f>
        <v>0</v>
      </c>
      <c r="Q235" s="18"/>
      <c r="T235" s="81">
        <f>$V$3+L11+L19+L27+L35+L43+L51+L59+L67+L75+L83+L91+L99+L107+L115+L123+L131+L139+L147+L155+L163+L171+L179+L187+L195+L203+L211+L219+L227+L235</f>
        <v>30645.200000000001</v>
      </c>
      <c r="U235" s="76"/>
      <c r="V235" s="76"/>
    </row>
    <row r="236" spans="1:22" ht="15.6" thickTop="1" thickBot="1">
      <c r="A236" t="str">
        <f ca="1">OFFSET('0'!$B$112,($A$1-1)*10,$B236-1)</f>
        <v>--</v>
      </c>
      <c r="B236" s="380">
        <f ca="1">OFFSET('0'!$B$111,($A$1-1)*10,29)</f>
        <v>30</v>
      </c>
      <c r="C236" s="25" t="s">
        <v>50</v>
      </c>
      <c r="D236" s="314">
        <v>21</v>
      </c>
      <c r="E236" s="315">
        <v>21</v>
      </c>
      <c r="F236" s="316"/>
      <c r="G236" s="316"/>
      <c r="H236" s="316"/>
      <c r="I236" s="316"/>
      <c r="J236" s="316"/>
      <c r="K236" s="316">
        <v>1</v>
      </c>
      <c r="L236" s="317">
        <v>55</v>
      </c>
      <c r="M236" s="315">
        <f t="shared" ref="M236:M241" si="87">SUM(D236-E236)</f>
        <v>0</v>
      </c>
      <c r="N236" s="312">
        <f>SUM(E236,M236)</f>
        <v>21</v>
      </c>
      <c r="O236" s="305"/>
      <c r="P236" s="296"/>
      <c r="Q236" s="26"/>
      <c r="T236" s="77"/>
      <c r="U236" s="76"/>
      <c r="V236" s="76"/>
    </row>
    <row r="237" spans="1:22" ht="15.6" thickTop="1" thickBot="1">
      <c r="B237" s="380"/>
      <c r="C237" s="27" t="s">
        <v>52</v>
      </c>
      <c r="D237" s="318">
        <v>24</v>
      </c>
      <c r="E237" s="319">
        <v>23</v>
      </c>
      <c r="F237" s="320"/>
      <c r="G237" s="320"/>
      <c r="H237" s="320"/>
      <c r="I237" s="320"/>
      <c r="J237" s="320"/>
      <c r="K237" s="320">
        <v>2</v>
      </c>
      <c r="L237" s="300">
        <v>2700</v>
      </c>
      <c r="M237" s="319">
        <f t="shared" si="87"/>
        <v>1</v>
      </c>
      <c r="N237" s="269">
        <f>SUM(E237,M237)</f>
        <v>24</v>
      </c>
      <c r="O237" s="269"/>
      <c r="P237" s="296"/>
      <c r="Q237" s="31"/>
      <c r="T237" s="77"/>
      <c r="U237" s="76"/>
      <c r="V237" s="76"/>
    </row>
    <row r="238" spans="1:22" s="1" customFormat="1" ht="15.6" thickTop="1" thickBot="1">
      <c r="B238" s="380"/>
      <c r="C238" s="27" t="s">
        <v>53</v>
      </c>
      <c r="D238" s="318">
        <v>17</v>
      </c>
      <c r="E238" s="319">
        <v>16</v>
      </c>
      <c r="F238" s="320">
        <v>1</v>
      </c>
      <c r="G238" s="320"/>
      <c r="H238" s="320"/>
      <c r="I238" s="320"/>
      <c r="J238" s="320"/>
      <c r="K238" s="320"/>
      <c r="L238" s="300">
        <v>246</v>
      </c>
      <c r="M238" s="319">
        <f t="shared" si="87"/>
        <v>1</v>
      </c>
      <c r="N238" s="269">
        <f>SUM(E238,M238)</f>
        <v>17</v>
      </c>
      <c r="O238" s="269"/>
      <c r="P238" s="294"/>
      <c r="Q238" s="31"/>
      <c r="T238" s="77"/>
      <c r="U238" s="77"/>
      <c r="V238" s="77"/>
    </row>
    <row r="239" spans="1:22" s="1" customFormat="1" ht="15.6" thickTop="1" thickBot="1">
      <c r="B239" s="380"/>
      <c r="C239" s="29"/>
      <c r="D239" s="284"/>
      <c r="E239" s="285"/>
      <c r="F239" s="286"/>
      <c r="G239" s="286"/>
      <c r="H239" s="286"/>
      <c r="I239" s="286"/>
      <c r="J239" s="286"/>
      <c r="K239" s="286"/>
      <c r="L239" s="295"/>
      <c r="M239" s="285">
        <f t="shared" si="87"/>
        <v>0</v>
      </c>
      <c r="N239" s="269">
        <f t="shared" ref="N239:N241" si="88">SUM(E239,M239)</f>
        <v>0</v>
      </c>
      <c r="O239" s="269"/>
      <c r="P239" s="294"/>
      <c r="Q239" s="31"/>
      <c r="T239" s="77"/>
      <c r="U239" s="77"/>
      <c r="V239" s="77"/>
    </row>
    <row r="240" spans="1:22" ht="15.6" thickTop="1" thickBot="1">
      <c r="B240" s="380"/>
      <c r="C240" s="29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7"/>
        <v>0</v>
      </c>
      <c r="N240" s="269">
        <f t="shared" si="88"/>
        <v>0</v>
      </c>
      <c r="O240" s="269"/>
      <c r="P240" s="290"/>
      <c r="Q240" s="28"/>
      <c r="T240" s="77"/>
      <c r="U240" s="76"/>
      <c r="V240" s="76"/>
    </row>
    <row r="241" spans="1:22" ht="15.6" thickTop="1" thickBot="1">
      <c r="B241" s="380"/>
      <c r="C241" s="29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7"/>
        <v>0</v>
      </c>
      <c r="N241" s="269">
        <f t="shared" si="88"/>
        <v>0</v>
      </c>
      <c r="O241" s="269"/>
      <c r="P241" s="290"/>
      <c r="Q241" s="28"/>
      <c r="T241" s="77"/>
      <c r="U241" s="76"/>
      <c r="V241" s="76"/>
    </row>
    <row r="242" spans="1:22" ht="15.6" thickTop="1" thickBot="1">
      <c r="B242" s="380"/>
      <c r="C242" s="24" t="s">
        <v>69</v>
      </c>
      <c r="D242" s="266">
        <f t="shared" ref="D242:K242" si="89">SUM(D236:D241)</f>
        <v>62</v>
      </c>
      <c r="E242" s="267">
        <f t="shared" si="89"/>
        <v>60</v>
      </c>
      <c r="F242" s="268">
        <f t="shared" si="89"/>
        <v>1</v>
      </c>
      <c r="G242" s="268">
        <f t="shared" si="89"/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70">
        <f t="shared" si="89"/>
        <v>3</v>
      </c>
      <c r="L242" s="307">
        <v>3001</v>
      </c>
      <c r="M242" s="271">
        <f>SUM(M236:M241)</f>
        <v>2</v>
      </c>
      <c r="N242" s="269">
        <f>SUM(N236:N241)</f>
        <v>62</v>
      </c>
      <c r="O242" s="62"/>
      <c r="P242" s="63"/>
      <c r="Q242" s="28"/>
      <c r="T242" s="77"/>
      <c r="U242" s="76"/>
      <c r="V242" s="76"/>
    </row>
    <row r="243" spans="1:22" ht="15.6" thickTop="1" thickBot="1">
      <c r="B243" s="380"/>
      <c r="C243" s="17" t="s">
        <v>45</v>
      </c>
      <c r="D243" s="272">
        <f>SUM(D236:D241)</f>
        <v>62</v>
      </c>
      <c r="E243" s="272">
        <f>SUM(E236:E241)</f>
        <v>60</v>
      </c>
      <c r="F243" s="381">
        <f>SUM(F242:K242)</f>
        <v>4</v>
      </c>
      <c r="G243" s="382"/>
      <c r="H243" s="382"/>
      <c r="I243" s="382"/>
      <c r="J243" s="382"/>
      <c r="K243" s="383"/>
      <c r="L243" s="274">
        <f>L242</f>
        <v>3001</v>
      </c>
      <c r="M243" s="272">
        <f>SUM(M236:M241)</f>
        <v>2</v>
      </c>
      <c r="N243" s="272">
        <f>SUM(N236:N241)</f>
        <v>62</v>
      </c>
      <c r="O243" s="272">
        <f>SUM(O242)</f>
        <v>0</v>
      </c>
      <c r="P243" s="275">
        <f>SUM(P242)</f>
        <v>0</v>
      </c>
      <c r="Q243" s="18"/>
      <c r="T243" s="81">
        <f>$V$3+L11+L19+L27+L35+L43+L51+L59+L67+L75+L83+L91+L99+L107+L115+L123+L131+L139+L147+L155+L163+L171+L179+L187+L195+L203+L211+L219+L227+L235+L243</f>
        <v>33646.199999999997</v>
      </c>
      <c r="U243" s="76"/>
      <c r="V243" s="76"/>
    </row>
    <row r="244" spans="1:22" ht="15.6" thickTop="1" thickBot="1">
      <c r="A244" t="str">
        <f ca="1">OFFSET('0'!$B$112,($A$1-1)*10,$B244-1)</f>
        <v>--</v>
      </c>
      <c r="B244" s="380">
        <f ca="1">OFFSET('0'!$B$111,($A$1-1)*10,30)</f>
        <v>31</v>
      </c>
      <c r="C244" s="25" t="s">
        <v>54</v>
      </c>
      <c r="D244" s="314">
        <v>4</v>
      </c>
      <c r="E244" s="315">
        <v>4</v>
      </c>
      <c r="F244" s="316">
        <v>1</v>
      </c>
      <c r="G244" s="316"/>
      <c r="H244" s="316"/>
      <c r="I244" s="316">
        <v>1</v>
      </c>
      <c r="J244" s="316"/>
      <c r="K244" s="316"/>
      <c r="L244" s="317">
        <v>750</v>
      </c>
      <c r="M244" s="315">
        <f t="shared" ref="M244:M249" si="90">SUM(D244-E244)</f>
        <v>0</v>
      </c>
      <c r="N244" s="312">
        <f>SUM(E244,M244)</f>
        <v>4</v>
      </c>
      <c r="O244" s="269"/>
      <c r="P244" s="296"/>
      <c r="Q244" s="26"/>
      <c r="T244" s="77"/>
      <c r="U244" s="76"/>
      <c r="V244" s="76"/>
    </row>
    <row r="245" spans="1:22" s="1" customFormat="1" ht="15.6" thickTop="1" thickBot="1">
      <c r="B245" s="380"/>
      <c r="C245" s="27" t="s">
        <v>55</v>
      </c>
      <c r="D245" s="318">
        <v>20</v>
      </c>
      <c r="E245" s="319">
        <v>20</v>
      </c>
      <c r="F245" s="320">
        <v>1</v>
      </c>
      <c r="G245" s="320"/>
      <c r="H245" s="320"/>
      <c r="I245" s="320"/>
      <c r="J245" s="320">
        <v>1</v>
      </c>
      <c r="K245" s="320"/>
      <c r="L245" s="300">
        <v>12254</v>
      </c>
      <c r="M245" s="319">
        <f t="shared" si="90"/>
        <v>0</v>
      </c>
      <c r="N245" s="269">
        <f>SUM(E245,M245)</f>
        <v>20</v>
      </c>
      <c r="O245" s="269"/>
      <c r="P245" s="296"/>
      <c r="Q245" s="31"/>
      <c r="T245" s="77"/>
      <c r="U245" s="77"/>
      <c r="V245" s="77"/>
    </row>
    <row r="246" spans="1:22" s="1" customFormat="1" ht="15.6" thickTop="1" thickBot="1">
      <c r="B246" s="380"/>
      <c r="C246" s="27" t="s">
        <v>56</v>
      </c>
      <c r="D246" s="318">
        <v>20</v>
      </c>
      <c r="E246" s="319">
        <v>20</v>
      </c>
      <c r="F246" s="320"/>
      <c r="G246" s="320"/>
      <c r="H246" s="320"/>
      <c r="I246" s="320">
        <v>1</v>
      </c>
      <c r="J246" s="320">
        <v>1</v>
      </c>
      <c r="K246" s="320"/>
      <c r="L246" s="300"/>
      <c r="M246" s="319">
        <f t="shared" si="90"/>
        <v>0</v>
      </c>
      <c r="N246" s="269">
        <f>SUM(E246,M246)</f>
        <v>20</v>
      </c>
      <c r="O246" s="269"/>
      <c r="P246" s="294"/>
      <c r="Q246" s="31"/>
      <c r="T246" s="77"/>
      <c r="U246" s="77"/>
      <c r="V246" s="77"/>
    </row>
    <row r="247" spans="1:22" s="1" customFormat="1" ht="15.6" thickTop="1" thickBot="1">
      <c r="B247" s="380"/>
      <c r="C247" s="29"/>
      <c r="D247" s="318"/>
      <c r="E247" s="319"/>
      <c r="F247" s="320"/>
      <c r="G247" s="320"/>
      <c r="H247" s="320"/>
      <c r="I247" s="320"/>
      <c r="J247" s="320"/>
      <c r="K247" s="320"/>
      <c r="L247" s="300"/>
      <c r="M247" s="319">
        <f t="shared" si="90"/>
        <v>0</v>
      </c>
      <c r="N247" s="269">
        <f>SUM(E247,M247)</f>
        <v>0</v>
      </c>
      <c r="O247" s="269"/>
      <c r="P247" s="294"/>
      <c r="Q247" s="31"/>
      <c r="T247" s="77"/>
      <c r="U247" s="77"/>
      <c r="V247" s="77"/>
    </row>
    <row r="248" spans="1:22" ht="15.6" thickTop="1" thickBot="1">
      <c r="B248" s="380"/>
      <c r="C248" s="29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0"/>
        <v>0</v>
      </c>
      <c r="N248" s="269">
        <f t="shared" ref="N248:N249" si="91">SUM(E248,M248)</f>
        <v>0</v>
      </c>
      <c r="O248" s="269"/>
      <c r="P248" s="290"/>
      <c r="Q248" s="28"/>
      <c r="T248" s="77"/>
      <c r="U248" s="76"/>
      <c r="V248" s="76"/>
    </row>
    <row r="249" spans="1:22" ht="15.6" thickTop="1" thickBot="1">
      <c r="B249" s="380"/>
      <c r="C249" s="29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0"/>
        <v>0</v>
      </c>
      <c r="N249" s="269">
        <f t="shared" si="91"/>
        <v>0</v>
      </c>
      <c r="O249" s="269"/>
      <c r="P249" s="290"/>
      <c r="Q249" s="28"/>
      <c r="T249" s="77"/>
      <c r="U249" s="76"/>
      <c r="V249" s="76"/>
    </row>
    <row r="250" spans="1:22" ht="15.6" thickTop="1" thickBot="1">
      <c r="B250" s="380"/>
      <c r="C250" s="24" t="s">
        <v>69</v>
      </c>
      <c r="D250" s="266">
        <f t="shared" ref="D250:K250" si="92">SUM(D244:D249)</f>
        <v>44</v>
      </c>
      <c r="E250" s="267">
        <f t="shared" si="92"/>
        <v>44</v>
      </c>
      <c r="F250" s="268">
        <f t="shared" si="92"/>
        <v>2</v>
      </c>
      <c r="G250" s="268">
        <f t="shared" si="92"/>
        <v>0</v>
      </c>
      <c r="H250" s="268">
        <f t="shared" si="92"/>
        <v>0</v>
      </c>
      <c r="I250" s="268">
        <f t="shared" si="92"/>
        <v>2</v>
      </c>
      <c r="J250" s="268">
        <f t="shared" si="92"/>
        <v>2</v>
      </c>
      <c r="K250" s="270">
        <f t="shared" si="92"/>
        <v>0</v>
      </c>
      <c r="L250" s="307">
        <v>13004</v>
      </c>
      <c r="M250" s="271">
        <f>SUM(M244:M249)</f>
        <v>0</v>
      </c>
      <c r="N250" s="269">
        <f>SUM(N244:N249)</f>
        <v>44</v>
      </c>
      <c r="O250" s="62">
        <v>59</v>
      </c>
      <c r="P250" s="63">
        <v>301</v>
      </c>
      <c r="Q250" s="28"/>
      <c r="T250" s="77"/>
      <c r="U250" s="76"/>
      <c r="V250" s="76"/>
    </row>
    <row r="251" spans="1:22" ht="15.6" thickTop="1" thickBot="1">
      <c r="B251" s="380"/>
      <c r="C251" s="17" t="s">
        <v>45</v>
      </c>
      <c r="D251" s="272">
        <f>SUM(D244:D249)</f>
        <v>44</v>
      </c>
      <c r="E251" s="272">
        <f>SUM(E244:E249)</f>
        <v>44</v>
      </c>
      <c r="F251" s="381">
        <f>SUM(F250:K250)</f>
        <v>6</v>
      </c>
      <c r="G251" s="382"/>
      <c r="H251" s="382"/>
      <c r="I251" s="382"/>
      <c r="J251" s="382"/>
      <c r="K251" s="383"/>
      <c r="L251" s="274">
        <f>L250</f>
        <v>13004</v>
      </c>
      <c r="M251" s="272">
        <f>SUM(M244:M249)</f>
        <v>0</v>
      </c>
      <c r="N251" s="272">
        <f>SUM(N244:N249)</f>
        <v>44</v>
      </c>
      <c r="O251" s="272">
        <f>SUM(O250)</f>
        <v>59</v>
      </c>
      <c r="P251" s="357">
        <f>SUM(P250)</f>
        <v>301</v>
      </c>
      <c r="Q251" s="18"/>
      <c r="T251" s="81">
        <f>$V$3+L11+L19+L27+L35+L43+L51+L59+L67+L75+L83+L91+L99+L107+L115+L123+L131+L139+L147+L155+L163+L171+L179+L187+L195+L203+L211+L219+L227+L235+L243+L251</f>
        <v>46650.2</v>
      </c>
      <c r="U251" s="76"/>
      <c r="V251" s="76"/>
    </row>
    <row r="252" spans="1:22" ht="15" thickTop="1">
      <c r="T252" s="77"/>
      <c r="U252" s="76"/>
      <c r="V252" s="76"/>
    </row>
    <row r="253" spans="1:22">
      <c r="C253" s="19" t="s">
        <v>31</v>
      </c>
      <c r="D253" s="117">
        <f t="shared" ref="D253:P253" si="93">SUM(D250,D242,D234,D226,D218,D210,D202,D194,D186,D178,D170,D162,D154,D146,D138,D130,D122,D114,D106,D98,D90,D82,D74,D66,D58,D50,D42,D34,D26,D18,D10)</f>
        <v>197</v>
      </c>
      <c r="E253" s="298">
        <f t="shared" si="93"/>
        <v>192</v>
      </c>
      <c r="F253" s="299">
        <f t="shared" si="93"/>
        <v>12</v>
      </c>
      <c r="G253" s="299">
        <f t="shared" si="93"/>
        <v>0</v>
      </c>
      <c r="H253" s="299">
        <f t="shared" si="93"/>
        <v>0</v>
      </c>
      <c r="I253" s="299">
        <f t="shared" si="93"/>
        <v>4</v>
      </c>
      <c r="J253" s="299">
        <f t="shared" si="93"/>
        <v>8</v>
      </c>
      <c r="K253" s="299">
        <f t="shared" si="93"/>
        <v>4</v>
      </c>
      <c r="L253" s="300">
        <f t="shared" si="93"/>
        <v>46650.2</v>
      </c>
      <c r="M253" s="298">
        <f t="shared" si="93"/>
        <v>5</v>
      </c>
      <c r="N253" s="117">
        <f t="shared" si="93"/>
        <v>197</v>
      </c>
      <c r="O253" s="117">
        <f t="shared" si="93"/>
        <v>59</v>
      </c>
      <c r="P253" s="321">
        <f t="shared" si="93"/>
        <v>301</v>
      </c>
    </row>
    <row r="254" spans="1:22">
      <c r="C254" s="19" t="s">
        <v>57</v>
      </c>
      <c r="D254" s="287">
        <f>D253</f>
        <v>197</v>
      </c>
      <c r="E254" s="287">
        <f>E253</f>
        <v>192</v>
      </c>
      <c r="F254" s="377">
        <f>SUM(F251,F243,F235,F227,F219,F211,F203,F195,F187,F179,F171,F163,F155,F147,F139,F131,F123,F115,F107,F99,F91,F83,F75,F67,F59,F51,F43,F35,F27,F19,F11)</f>
        <v>28</v>
      </c>
      <c r="G254" s="378"/>
      <c r="H254" s="378"/>
      <c r="I254" s="378"/>
      <c r="J254" s="378"/>
      <c r="K254" s="379"/>
      <c r="L254" s="288">
        <f>L253</f>
        <v>46650.2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414" priority="31">
      <formula>$A12&lt;&gt;"--"</formula>
    </cfRule>
  </conditionalFormatting>
  <conditionalFormatting sqref="B20:B27">
    <cfRule type="expression" dxfId="413" priority="30">
      <formula>$A20&lt;&gt;"--"</formula>
    </cfRule>
  </conditionalFormatting>
  <conditionalFormatting sqref="B28:B35">
    <cfRule type="expression" dxfId="412" priority="29">
      <formula>$A28&lt;&gt;"--"</formula>
    </cfRule>
  </conditionalFormatting>
  <conditionalFormatting sqref="B36:B43">
    <cfRule type="expression" dxfId="411" priority="28">
      <formula>$A36&lt;&gt;"--"</formula>
    </cfRule>
  </conditionalFormatting>
  <conditionalFormatting sqref="B44:B51">
    <cfRule type="expression" dxfId="410" priority="27">
      <formula>$A44&lt;&gt;"--"</formula>
    </cfRule>
  </conditionalFormatting>
  <conditionalFormatting sqref="B52:B59">
    <cfRule type="expression" dxfId="409" priority="26">
      <formula>$A52&lt;&gt;"--"</formula>
    </cfRule>
  </conditionalFormatting>
  <conditionalFormatting sqref="B60:B67">
    <cfRule type="expression" dxfId="408" priority="25">
      <formula>$A60&lt;&gt;"--"</formula>
    </cfRule>
  </conditionalFormatting>
  <conditionalFormatting sqref="B68:B75">
    <cfRule type="expression" dxfId="407" priority="24">
      <formula>$A68&lt;&gt;"--"</formula>
    </cfRule>
  </conditionalFormatting>
  <conditionalFormatting sqref="B76:B83">
    <cfRule type="expression" dxfId="406" priority="23">
      <formula>$A76&lt;&gt;"--"</formula>
    </cfRule>
  </conditionalFormatting>
  <conditionalFormatting sqref="B84:B91">
    <cfRule type="expression" dxfId="405" priority="22">
      <formula>$A84&lt;&gt;"--"</formula>
    </cfRule>
  </conditionalFormatting>
  <conditionalFormatting sqref="B92:B99">
    <cfRule type="expression" dxfId="404" priority="21">
      <formula>$A92&lt;&gt;"--"</formula>
    </cfRule>
  </conditionalFormatting>
  <conditionalFormatting sqref="B100:B107">
    <cfRule type="expression" dxfId="403" priority="20">
      <formula>$A100&lt;&gt;"--"</formula>
    </cfRule>
  </conditionalFormatting>
  <conditionalFormatting sqref="B108:B115">
    <cfRule type="expression" dxfId="402" priority="19">
      <formula>$A108&lt;&gt;"--"</formula>
    </cfRule>
  </conditionalFormatting>
  <conditionalFormatting sqref="B116:B123">
    <cfRule type="expression" dxfId="401" priority="18">
      <formula>$A116&lt;&gt;"--"</formula>
    </cfRule>
  </conditionalFormatting>
  <conditionalFormatting sqref="B124:B131">
    <cfRule type="expression" dxfId="400" priority="17">
      <formula>$A124&lt;&gt;"--"</formula>
    </cfRule>
  </conditionalFormatting>
  <conditionalFormatting sqref="B132:B139">
    <cfRule type="expression" dxfId="399" priority="16">
      <formula>$A132&lt;&gt;"--"</formula>
    </cfRule>
  </conditionalFormatting>
  <conditionalFormatting sqref="B140:B147">
    <cfRule type="expression" dxfId="398" priority="15">
      <formula>$A140&lt;&gt;"--"</formula>
    </cfRule>
  </conditionalFormatting>
  <conditionalFormatting sqref="B148:B155">
    <cfRule type="expression" dxfId="397" priority="14">
      <formula>$A148&lt;&gt;"--"</formula>
    </cfRule>
  </conditionalFormatting>
  <conditionalFormatting sqref="B156:B163">
    <cfRule type="expression" dxfId="396" priority="13">
      <formula>$A156&lt;&gt;"--"</formula>
    </cfRule>
  </conditionalFormatting>
  <conditionalFormatting sqref="B164:B171">
    <cfRule type="expression" dxfId="395" priority="12">
      <formula>$A164&lt;&gt;"--"</formula>
    </cfRule>
  </conditionalFormatting>
  <conditionalFormatting sqref="B172:B179">
    <cfRule type="expression" dxfId="394" priority="11">
      <formula>$A172&lt;&gt;"--"</formula>
    </cfRule>
  </conditionalFormatting>
  <conditionalFormatting sqref="B180:B187">
    <cfRule type="expression" dxfId="393" priority="10">
      <formula>$A180&lt;&gt;"--"</formula>
    </cfRule>
  </conditionalFormatting>
  <conditionalFormatting sqref="B188:B195">
    <cfRule type="expression" dxfId="392" priority="9">
      <formula>$A188&lt;&gt;"--"</formula>
    </cfRule>
  </conditionalFormatting>
  <conditionalFormatting sqref="B196:B203">
    <cfRule type="expression" dxfId="391" priority="8">
      <formula>$A196&lt;&gt;"--"</formula>
    </cfRule>
  </conditionalFormatting>
  <conditionalFormatting sqref="B204:B211">
    <cfRule type="expression" dxfId="390" priority="7">
      <formula>$A204&lt;&gt;"--"</formula>
    </cfRule>
  </conditionalFormatting>
  <conditionalFormatting sqref="B212:B219">
    <cfRule type="expression" dxfId="389" priority="6">
      <formula>$A212&lt;&gt;"--"</formula>
    </cfRule>
  </conditionalFormatting>
  <conditionalFormatting sqref="B220:B227">
    <cfRule type="expression" dxfId="388" priority="5">
      <formula>$A220&lt;&gt;"--"</formula>
    </cfRule>
  </conditionalFormatting>
  <conditionalFormatting sqref="B228:B235">
    <cfRule type="expression" dxfId="387" priority="4">
      <formula>$A228&lt;&gt;"--"</formula>
    </cfRule>
  </conditionalFormatting>
  <conditionalFormatting sqref="B236:B243">
    <cfRule type="expression" dxfId="386" priority="3">
      <formula>$A236&lt;&gt;"--"</formula>
    </cfRule>
  </conditionalFormatting>
  <conditionalFormatting sqref="B244:B251">
    <cfRule type="expression" dxfId="385" priority="2">
      <formula>$A244&lt;&gt;"--"</formula>
    </cfRule>
  </conditionalFormatting>
  <conditionalFormatting sqref="B228:B251">
    <cfRule type="cellIs" dxfId="384" priority="1" operator="lessThan">
      <formula>0</formula>
    </cfRule>
  </conditionalFormatting>
  <dataValidations disablePrompts="1" count="1">
    <dataValidation type="list" allowBlank="1" showInputMessage="1" showErrorMessage="1" sqref="C4:C9 C12:C17 C20:C25 C28:C33 C36:C41 C44:C49 C52:C57 C60:C65 C68:C73 C76:C81 C84:C89 C92:C97 C100:C105 C108:C113 C116:C121 C124:C129 C132:C137 C140:C145 C148:C153 C156:C161 C164:C169 C172:C177 C180:C185 C188:C193 C196:C201 C204:C209 C212:C217 C220:C225 C228:C233 C236:C241 C244:C24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26"/>
  <sheetViews>
    <sheetView workbookViewId="0">
      <selection activeCell="A4" sqref="A4"/>
    </sheetView>
  </sheetViews>
  <sheetFormatPr defaultColWidth="8.88671875" defaultRowHeight="14.4"/>
  <cols>
    <col min="1" max="2" width="8.88671875" style="161"/>
    <col min="3" max="3" width="22.109375" style="162" customWidth="1"/>
    <col min="4" max="11" width="8.886718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8.88671875" style="161"/>
    <col min="20" max="20" width="26" style="162" customWidth="1"/>
    <col min="21" max="21" width="8.88671875" style="161"/>
    <col min="22" max="22" width="11.33203125" style="161" bestFit="1" customWidth="1"/>
    <col min="23" max="16384" width="8.88671875" style="161"/>
  </cols>
  <sheetData>
    <row r="1" spans="1:22">
      <c r="A1" s="161">
        <v>2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metų'!V6)</f>
        <v>46650.2</v>
      </c>
    </row>
    <row r="4" spans="1:22" ht="16.5" customHeight="1" thickTop="1">
      <c r="A4" s="73" t="str">
        <f ca="1">OFFSET('0'!$B$112,($A$1-1)*10,$B4-1)</f>
        <v>SS</v>
      </c>
      <c r="B4" s="391">
        <f ca="1">OFFSET('0'!$B$111,($A$1-1)*10,0)</f>
        <v>1</v>
      </c>
      <c r="C4" s="178"/>
      <c r="D4" s="314">
        <v>7</v>
      </c>
      <c r="E4" s="315">
        <v>7</v>
      </c>
      <c r="F4" s="316"/>
      <c r="G4" s="316"/>
      <c r="H4" s="316"/>
      <c r="I4" s="316"/>
      <c r="J4" s="316">
        <v>1</v>
      </c>
      <c r="K4" s="316"/>
      <c r="L4" s="317"/>
      <c r="M4" s="315">
        <f t="shared" ref="M4:M5" si="0">SUM(D4-E4)</f>
        <v>0</v>
      </c>
      <c r="N4" s="312">
        <f t="shared" ref="N4:N5" si="1">SUM(E4,M4)</f>
        <v>7</v>
      </c>
      <c r="O4" s="305"/>
      <c r="P4" s="306"/>
      <c r="Q4" s="179"/>
      <c r="T4" s="384"/>
    </row>
    <row r="5" spans="1:22" ht="15" thickBot="1">
      <c r="A5" s="73"/>
      <c r="B5" s="392"/>
      <c r="C5" s="182"/>
      <c r="D5" s="266"/>
      <c r="E5" s="267"/>
      <c r="F5" s="268"/>
      <c r="G5" s="268"/>
      <c r="H5" s="268"/>
      <c r="I5" s="268"/>
      <c r="J5" s="268"/>
      <c r="K5" s="268"/>
      <c r="L5" s="291"/>
      <c r="M5" s="267">
        <f t="shared" si="0"/>
        <v>0</v>
      </c>
      <c r="N5" s="269">
        <f t="shared" si="1"/>
        <v>0</v>
      </c>
      <c r="O5" s="269"/>
      <c r="P5" s="290"/>
      <c r="Q5" s="181"/>
    </row>
    <row r="6" spans="1:22" ht="15" thickBot="1">
      <c r="A6" s="73"/>
      <c r="B6" s="392"/>
      <c r="C6" s="183" t="s">
        <v>69</v>
      </c>
      <c r="D6" s="266">
        <f t="shared" ref="D6:N6" si="2">SUM(D4:D5)</f>
        <v>7</v>
      </c>
      <c r="E6" s="267">
        <f t="shared" si="2"/>
        <v>7</v>
      </c>
      <c r="F6" s="268">
        <f t="shared" si="2"/>
        <v>0</v>
      </c>
      <c r="G6" s="268">
        <f t="shared" si="2"/>
        <v>0</v>
      </c>
      <c r="H6" s="268">
        <f t="shared" si="2"/>
        <v>0</v>
      </c>
      <c r="I6" s="268">
        <f t="shared" si="2"/>
        <v>0</v>
      </c>
      <c r="J6" s="268">
        <f t="shared" si="2"/>
        <v>1</v>
      </c>
      <c r="K6" s="270">
        <f t="shared" si="2"/>
        <v>0</v>
      </c>
      <c r="L6" s="273">
        <f t="shared" si="2"/>
        <v>0</v>
      </c>
      <c r="M6" s="271">
        <f t="shared" si="2"/>
        <v>0</v>
      </c>
      <c r="N6" s="269">
        <f t="shared" si="2"/>
        <v>7</v>
      </c>
      <c r="O6" s="170"/>
      <c r="P6" s="91">
        <v>55</v>
      </c>
      <c r="Q6" s="181"/>
    </row>
    <row r="7" spans="1:22" ht="15" thickBot="1">
      <c r="A7" s="73"/>
      <c r="B7" s="393"/>
      <c r="C7" s="167" t="s">
        <v>45</v>
      </c>
      <c r="D7" s="272">
        <f>SUM(D4:D5)</f>
        <v>7</v>
      </c>
      <c r="E7" s="272">
        <f>SUM(E4:E5)</f>
        <v>7</v>
      </c>
      <c r="F7" s="381">
        <f>SUM(F6:K6)</f>
        <v>1</v>
      </c>
      <c r="G7" s="382"/>
      <c r="H7" s="382"/>
      <c r="I7" s="382"/>
      <c r="J7" s="382"/>
      <c r="K7" s="383"/>
      <c r="L7" s="274">
        <f>L6</f>
        <v>0</v>
      </c>
      <c r="M7" s="272">
        <f>SUM(M4:M5)</f>
        <v>0</v>
      </c>
      <c r="N7" s="272">
        <f>SUM(N4:N5)</f>
        <v>7</v>
      </c>
      <c r="O7" s="272">
        <f>SUM(O6)</f>
        <v>0</v>
      </c>
      <c r="P7" s="275">
        <f>SUM(P6)</f>
        <v>55</v>
      </c>
      <c r="Q7" s="168"/>
      <c r="T7" s="184">
        <f>$V$3+L7</f>
        <v>46650.2</v>
      </c>
    </row>
    <row r="8" spans="1:22" ht="15" thickTop="1">
      <c r="A8" s="73" t="str">
        <f ca="1">OFFSET('0'!$B$112,($A$1-1)*10,$B8-1)</f>
        <v>SK</v>
      </c>
      <c r="B8" s="391">
        <f ca="1">OFFSET('0'!$B$111,($A$1-1)*10,1)</f>
        <v>2</v>
      </c>
      <c r="C8" s="178"/>
      <c r="D8" s="323">
        <v>4</v>
      </c>
      <c r="E8" s="324">
        <v>4</v>
      </c>
      <c r="F8" s="325">
        <v>2</v>
      </c>
      <c r="G8" s="325"/>
      <c r="H8" s="325"/>
      <c r="I8" s="325"/>
      <c r="J8" s="325">
        <v>1</v>
      </c>
      <c r="K8" s="325"/>
      <c r="L8" s="326">
        <v>227</v>
      </c>
      <c r="M8" s="324">
        <f t="shared" ref="M8:M13" si="3">SUM(D8-E8)</f>
        <v>0</v>
      </c>
      <c r="N8" s="305">
        <f t="shared" ref="N8:N13" si="4">SUM(E8,M8)</f>
        <v>4</v>
      </c>
      <c r="O8" s="305"/>
      <c r="P8" s="292"/>
      <c r="Q8" s="186"/>
    </row>
    <row r="9" spans="1:22" ht="17.25" customHeight="1">
      <c r="A9" s="73"/>
      <c r="B9" s="392"/>
      <c r="C9" s="180"/>
      <c r="D9" s="318">
        <v>3</v>
      </c>
      <c r="E9" s="319">
        <v>3</v>
      </c>
      <c r="F9" s="320"/>
      <c r="G9" s="320"/>
      <c r="H9" s="320"/>
      <c r="I9" s="320"/>
      <c r="J9" s="320"/>
      <c r="K9" s="320"/>
      <c r="L9" s="300">
        <v>50</v>
      </c>
      <c r="M9" s="319">
        <f t="shared" si="3"/>
        <v>0</v>
      </c>
      <c r="N9" s="269">
        <f t="shared" si="4"/>
        <v>3</v>
      </c>
      <c r="O9" s="269"/>
      <c r="P9" s="290"/>
      <c r="Q9" s="181"/>
    </row>
    <row r="10" spans="1:22">
      <c r="A10" s="73"/>
      <c r="B10" s="392"/>
      <c r="C10" s="180"/>
      <c r="D10" s="318">
        <v>7</v>
      </c>
      <c r="E10" s="319">
        <v>6</v>
      </c>
      <c r="F10" s="320"/>
      <c r="G10" s="320"/>
      <c r="H10" s="320"/>
      <c r="I10" s="320"/>
      <c r="J10" s="320">
        <v>1</v>
      </c>
      <c r="K10" s="320"/>
      <c r="L10" s="300">
        <v>35</v>
      </c>
      <c r="M10" s="319">
        <f t="shared" si="3"/>
        <v>1</v>
      </c>
      <c r="N10" s="269">
        <f t="shared" si="4"/>
        <v>7</v>
      </c>
      <c r="O10" s="269"/>
      <c r="P10" s="290"/>
      <c r="Q10" s="181"/>
    </row>
    <row r="11" spans="1:22">
      <c r="A11" s="73"/>
      <c r="B11" s="392"/>
      <c r="C11" s="182"/>
      <c r="D11" s="318">
        <v>4</v>
      </c>
      <c r="E11" s="319">
        <v>4</v>
      </c>
      <c r="F11" s="320">
        <v>2</v>
      </c>
      <c r="G11" s="320"/>
      <c r="H11" s="320"/>
      <c r="I11" s="320"/>
      <c r="J11" s="320">
        <v>1</v>
      </c>
      <c r="K11" s="320"/>
      <c r="L11" s="300">
        <v>14448.5</v>
      </c>
      <c r="M11" s="319">
        <f t="shared" si="3"/>
        <v>0</v>
      </c>
      <c r="N11" s="269">
        <f t="shared" si="4"/>
        <v>4</v>
      </c>
      <c r="O11" s="269"/>
      <c r="P11" s="290"/>
      <c r="Q11" s="181"/>
    </row>
    <row r="12" spans="1:22">
      <c r="A12" s="73"/>
      <c r="B12" s="392"/>
      <c r="C12" s="182"/>
      <c r="D12" s="276"/>
      <c r="E12" s="277"/>
      <c r="F12" s="278"/>
      <c r="G12" s="278"/>
      <c r="H12" s="278"/>
      <c r="I12" s="278"/>
      <c r="J12" s="278"/>
      <c r="K12" s="278"/>
      <c r="L12" s="291"/>
      <c r="M12" s="277">
        <f t="shared" si="3"/>
        <v>0</v>
      </c>
      <c r="N12" s="279">
        <f t="shared" si="4"/>
        <v>0</v>
      </c>
      <c r="O12" s="279"/>
      <c r="P12" s="292"/>
      <c r="Q12" s="187"/>
    </row>
    <row r="13" spans="1:22" ht="15" thickBot="1">
      <c r="A13" s="73"/>
      <c r="B13" s="392"/>
      <c r="C13" s="182"/>
      <c r="D13" s="276"/>
      <c r="E13" s="277"/>
      <c r="F13" s="278"/>
      <c r="G13" s="278"/>
      <c r="H13" s="278"/>
      <c r="I13" s="278"/>
      <c r="J13" s="278"/>
      <c r="K13" s="278"/>
      <c r="L13" s="291"/>
      <c r="M13" s="277">
        <f t="shared" si="3"/>
        <v>0</v>
      </c>
      <c r="N13" s="279">
        <f t="shared" si="4"/>
        <v>0</v>
      </c>
      <c r="O13" s="279"/>
      <c r="P13" s="292"/>
      <c r="Q13" s="187"/>
      <c r="U13" s="83"/>
      <c r="V13" s="84"/>
    </row>
    <row r="14" spans="1:22" ht="15" thickBot="1">
      <c r="A14" s="73"/>
      <c r="B14" s="392"/>
      <c r="C14" s="183" t="s">
        <v>69</v>
      </c>
      <c r="D14" s="276">
        <f t="shared" ref="D14:N14" si="5">SUM(D8:D13)</f>
        <v>18</v>
      </c>
      <c r="E14" s="277">
        <f t="shared" si="5"/>
        <v>17</v>
      </c>
      <c r="F14" s="278">
        <f t="shared" si="5"/>
        <v>4</v>
      </c>
      <c r="G14" s="278">
        <f t="shared" si="5"/>
        <v>0</v>
      </c>
      <c r="H14" s="278">
        <f t="shared" si="5"/>
        <v>0</v>
      </c>
      <c r="I14" s="278">
        <f t="shared" si="5"/>
        <v>0</v>
      </c>
      <c r="J14" s="278">
        <f t="shared" si="5"/>
        <v>3</v>
      </c>
      <c r="K14" s="308">
        <f t="shared" si="5"/>
        <v>0</v>
      </c>
      <c r="L14" s="273">
        <f t="shared" si="5"/>
        <v>14760.5</v>
      </c>
      <c r="M14" s="309">
        <f t="shared" si="5"/>
        <v>1</v>
      </c>
      <c r="N14" s="280">
        <f t="shared" si="5"/>
        <v>18</v>
      </c>
      <c r="O14" s="188"/>
      <c r="P14" s="189"/>
      <c r="Q14" s="187"/>
      <c r="U14" s="85"/>
      <c r="V14" s="85"/>
    </row>
    <row r="15" spans="1:22" ht="15" thickBot="1">
      <c r="A15" s="73"/>
      <c r="B15" s="393"/>
      <c r="C15" s="167" t="s">
        <v>45</v>
      </c>
      <c r="D15" s="272">
        <f>SUM(D8:D13)</f>
        <v>18</v>
      </c>
      <c r="E15" s="272">
        <f>SUM(E8:E13)</f>
        <v>17</v>
      </c>
      <c r="F15" s="381">
        <f>SUM(F14:K14)</f>
        <v>7</v>
      </c>
      <c r="G15" s="382"/>
      <c r="H15" s="382"/>
      <c r="I15" s="382"/>
      <c r="J15" s="382"/>
      <c r="K15" s="383"/>
      <c r="L15" s="274">
        <f>L14</f>
        <v>14760.5</v>
      </c>
      <c r="M15" s="272">
        <f>SUM(M8:M13)</f>
        <v>1</v>
      </c>
      <c r="N15" s="272">
        <f>SUM(N8:N13)</f>
        <v>18</v>
      </c>
      <c r="O15" s="272">
        <f>SUM(O14)</f>
        <v>0</v>
      </c>
      <c r="P15" s="275">
        <f>SUM(P14)</f>
        <v>0</v>
      </c>
      <c r="Q15" s="168"/>
      <c r="T15" s="184">
        <f>$V$3+L7+L15</f>
        <v>61410.7</v>
      </c>
    </row>
    <row r="16" spans="1:22" ht="15.6" thickTop="1" thickBot="1">
      <c r="A16" s="73" t="str">
        <f ca="1">OFFSET('0'!$B$112,($A$1-1)*10,$B16-1)</f>
        <v>--</v>
      </c>
      <c r="B16" s="380">
        <f ca="1">OFFSET('0'!$B$111,($A$1-1)*10,2)</f>
        <v>3</v>
      </c>
      <c r="C16" s="178"/>
      <c r="D16" s="314">
        <v>4</v>
      </c>
      <c r="E16" s="315">
        <v>4</v>
      </c>
      <c r="F16" s="316">
        <v>2</v>
      </c>
      <c r="G16" s="316"/>
      <c r="H16" s="316"/>
      <c r="I16" s="316"/>
      <c r="J16" s="316">
        <v>1</v>
      </c>
      <c r="K16" s="316"/>
      <c r="L16" s="317">
        <v>53</v>
      </c>
      <c r="M16" s="315">
        <f t="shared" ref="M16:M21" si="6">SUM(D16-E16)</f>
        <v>0</v>
      </c>
      <c r="N16" s="305">
        <f t="shared" ref="N16:N21" si="7">SUM(E16,M16)</f>
        <v>4</v>
      </c>
      <c r="O16" s="305"/>
      <c r="P16" s="306"/>
      <c r="Q16" s="179"/>
    </row>
    <row r="17" spans="1:20" ht="15.6" thickTop="1" thickBot="1">
      <c r="A17" s="73"/>
      <c r="B17" s="380"/>
      <c r="C17" s="180"/>
      <c r="D17" s="318">
        <v>29</v>
      </c>
      <c r="E17" s="319">
        <v>29</v>
      </c>
      <c r="F17" s="320">
        <v>2</v>
      </c>
      <c r="G17" s="320"/>
      <c r="H17" s="320"/>
      <c r="I17" s="320">
        <v>1</v>
      </c>
      <c r="J17" s="320">
        <v>1</v>
      </c>
      <c r="K17" s="320">
        <v>1</v>
      </c>
      <c r="L17" s="300">
        <v>1953.24</v>
      </c>
      <c r="M17" s="319">
        <f t="shared" si="6"/>
        <v>0</v>
      </c>
      <c r="N17" s="269">
        <f t="shared" si="7"/>
        <v>29</v>
      </c>
      <c r="O17" s="269"/>
      <c r="P17" s="290"/>
      <c r="Q17" s="181"/>
    </row>
    <row r="18" spans="1:20" ht="15.6" thickTop="1" thickBot="1">
      <c r="A18" s="73"/>
      <c r="B18" s="380"/>
      <c r="C18" s="180"/>
      <c r="D18" s="318">
        <v>33</v>
      </c>
      <c r="E18" s="319">
        <v>30</v>
      </c>
      <c r="F18" s="320">
        <v>1</v>
      </c>
      <c r="G18" s="320"/>
      <c r="H18" s="320"/>
      <c r="I18" s="320"/>
      <c r="J18" s="320">
        <v>1</v>
      </c>
      <c r="K18" s="320"/>
      <c r="L18" s="300">
        <v>16760</v>
      </c>
      <c r="M18" s="319">
        <f t="shared" si="6"/>
        <v>3</v>
      </c>
      <c r="N18" s="269">
        <f t="shared" si="7"/>
        <v>33</v>
      </c>
      <c r="O18" s="269"/>
      <c r="P18" s="290"/>
      <c r="Q18" s="181"/>
    </row>
    <row r="19" spans="1:20" ht="15.6" thickTop="1" thickBot="1">
      <c r="A19" s="73"/>
      <c r="B19" s="380"/>
      <c r="C19" s="182"/>
      <c r="D19" s="318">
        <v>27</v>
      </c>
      <c r="E19" s="319">
        <v>27</v>
      </c>
      <c r="F19" s="320">
        <v>2</v>
      </c>
      <c r="G19" s="320"/>
      <c r="H19" s="320"/>
      <c r="I19" s="320">
        <v>2</v>
      </c>
      <c r="J19" s="320"/>
      <c r="K19" s="320"/>
      <c r="L19" s="300">
        <v>4045.43</v>
      </c>
      <c r="M19" s="319">
        <f t="shared" si="6"/>
        <v>0</v>
      </c>
      <c r="N19" s="269">
        <f t="shared" si="7"/>
        <v>27</v>
      </c>
      <c r="O19" s="269"/>
      <c r="P19" s="290"/>
      <c r="Q19" s="181"/>
    </row>
    <row r="20" spans="1:20" ht="15.6" thickTop="1" thickBot="1">
      <c r="A20" s="73"/>
      <c r="B20" s="380"/>
      <c r="C20" s="182"/>
      <c r="D20" s="276"/>
      <c r="E20" s="277"/>
      <c r="F20" s="278"/>
      <c r="G20" s="278"/>
      <c r="H20" s="278"/>
      <c r="I20" s="278"/>
      <c r="J20" s="278"/>
      <c r="K20" s="278"/>
      <c r="L20" s="291"/>
      <c r="M20" s="277">
        <f t="shared" si="6"/>
        <v>0</v>
      </c>
      <c r="N20" s="269">
        <f t="shared" si="7"/>
        <v>0</v>
      </c>
      <c r="O20" s="269"/>
      <c r="P20" s="293"/>
      <c r="Q20" s="187"/>
    </row>
    <row r="21" spans="1:20" ht="15.6" thickTop="1" thickBot="1">
      <c r="A21" s="73"/>
      <c r="B21" s="380"/>
      <c r="C21" s="182"/>
      <c r="D21" s="276"/>
      <c r="E21" s="277"/>
      <c r="F21" s="278"/>
      <c r="G21" s="278"/>
      <c r="H21" s="278"/>
      <c r="I21" s="278"/>
      <c r="J21" s="278"/>
      <c r="K21" s="278"/>
      <c r="L21" s="291"/>
      <c r="M21" s="277">
        <f t="shared" si="6"/>
        <v>0</v>
      </c>
      <c r="N21" s="269">
        <f t="shared" si="7"/>
        <v>0</v>
      </c>
      <c r="O21" s="269"/>
      <c r="P21" s="293"/>
      <c r="Q21" s="187"/>
    </row>
    <row r="22" spans="1:20" ht="15.6" thickTop="1" thickBot="1">
      <c r="A22" s="73"/>
      <c r="B22" s="380"/>
      <c r="C22" s="183" t="s">
        <v>69</v>
      </c>
      <c r="D22" s="276">
        <f t="shared" ref="D22:N22" si="8">SUM(D16:D21)</f>
        <v>93</v>
      </c>
      <c r="E22" s="277">
        <f t="shared" si="8"/>
        <v>90</v>
      </c>
      <c r="F22" s="278">
        <f t="shared" si="8"/>
        <v>7</v>
      </c>
      <c r="G22" s="278">
        <f t="shared" si="8"/>
        <v>0</v>
      </c>
      <c r="H22" s="278">
        <f t="shared" si="8"/>
        <v>0</v>
      </c>
      <c r="I22" s="278">
        <f t="shared" si="8"/>
        <v>3</v>
      </c>
      <c r="J22" s="278">
        <f t="shared" si="8"/>
        <v>3</v>
      </c>
      <c r="K22" s="308">
        <f t="shared" si="8"/>
        <v>1</v>
      </c>
      <c r="L22" s="273">
        <f t="shared" si="8"/>
        <v>22811.670000000002</v>
      </c>
      <c r="M22" s="309">
        <f t="shared" si="8"/>
        <v>3</v>
      </c>
      <c r="N22" s="280">
        <f t="shared" si="8"/>
        <v>93</v>
      </c>
      <c r="O22" s="188"/>
      <c r="P22" s="189"/>
      <c r="Q22" s="187"/>
    </row>
    <row r="23" spans="1:20" ht="15.6" thickTop="1" thickBot="1">
      <c r="A23" s="73"/>
      <c r="B23" s="380"/>
      <c r="C23" s="173" t="s">
        <v>45</v>
      </c>
      <c r="D23" s="281">
        <f>SUM(D16:D21)</f>
        <v>93</v>
      </c>
      <c r="E23" s="281">
        <f>SUM(E16:E21)</f>
        <v>90</v>
      </c>
      <c r="F23" s="381">
        <f>SUM(F22:K22)</f>
        <v>14</v>
      </c>
      <c r="G23" s="382"/>
      <c r="H23" s="382"/>
      <c r="I23" s="382"/>
      <c r="J23" s="382"/>
      <c r="K23" s="383"/>
      <c r="L23" s="282">
        <f>L22</f>
        <v>22811.670000000002</v>
      </c>
      <c r="M23" s="272">
        <f>SUM(M16:M21)</f>
        <v>3</v>
      </c>
      <c r="N23" s="272">
        <f>SUM(N16:N21)</f>
        <v>93</v>
      </c>
      <c r="O23" s="272">
        <f>SUM(O22)</f>
        <v>0</v>
      </c>
      <c r="P23" s="310">
        <f>SUM(P22)</f>
        <v>0</v>
      </c>
      <c r="Q23" s="174"/>
      <c r="T23" s="184">
        <f>$V$3+L7+L15+L23</f>
        <v>84222.37</v>
      </c>
    </row>
    <row r="24" spans="1:20" ht="15.6" thickTop="1" thickBot="1">
      <c r="A24" s="73" t="str">
        <f ca="1">OFFSET('0'!$B$112,($A$1-1)*10,$B24-1)</f>
        <v>--</v>
      </c>
      <c r="B24" s="380">
        <f ca="1">OFFSET('0'!$B$111,($A$1-1)*10,3)</f>
        <v>4</v>
      </c>
      <c r="C24" s="178"/>
      <c r="D24" s="314">
        <v>31</v>
      </c>
      <c r="E24" s="315">
        <v>31</v>
      </c>
      <c r="F24" s="316">
        <v>2</v>
      </c>
      <c r="G24" s="316"/>
      <c r="H24" s="316"/>
      <c r="I24" s="316">
        <v>1</v>
      </c>
      <c r="J24" s="316">
        <v>1</v>
      </c>
      <c r="K24" s="316">
        <v>3</v>
      </c>
      <c r="L24" s="317">
        <v>180</v>
      </c>
      <c r="M24" s="315">
        <f t="shared" ref="M24:M29" si="9">SUM(D24-E24)</f>
        <v>0</v>
      </c>
      <c r="N24" s="305">
        <f t="shared" ref="N24:N29" si="10">SUM(E24,M24)</f>
        <v>31</v>
      </c>
      <c r="O24" s="305"/>
      <c r="P24" s="306"/>
      <c r="Q24" s="179"/>
    </row>
    <row r="25" spans="1:20" ht="17.25" customHeight="1" thickTop="1" thickBot="1">
      <c r="A25" s="73"/>
      <c r="B25" s="380"/>
      <c r="C25" s="180"/>
      <c r="D25" s="318">
        <v>9</v>
      </c>
      <c r="E25" s="319">
        <v>9</v>
      </c>
      <c r="F25" s="320"/>
      <c r="G25" s="320"/>
      <c r="H25" s="320"/>
      <c r="I25" s="320"/>
      <c r="J25" s="320"/>
      <c r="K25" s="320"/>
      <c r="L25" s="300">
        <v>18506</v>
      </c>
      <c r="M25" s="319">
        <f t="shared" si="9"/>
        <v>0</v>
      </c>
      <c r="N25" s="269">
        <f t="shared" si="10"/>
        <v>9</v>
      </c>
      <c r="O25" s="269"/>
      <c r="P25" s="290"/>
      <c r="Q25" s="181"/>
    </row>
    <row r="26" spans="1:20" ht="17.25" customHeight="1" thickTop="1" thickBot="1">
      <c r="A26" s="73"/>
      <c r="B26" s="380"/>
      <c r="C26" s="180"/>
      <c r="D26" s="318">
        <v>26</v>
      </c>
      <c r="E26" s="319">
        <v>26</v>
      </c>
      <c r="F26" s="320">
        <v>5</v>
      </c>
      <c r="G26" s="320"/>
      <c r="H26" s="320"/>
      <c r="I26" s="320"/>
      <c r="J26" s="320">
        <v>4</v>
      </c>
      <c r="K26" s="320"/>
      <c r="L26" s="300">
        <v>997</v>
      </c>
      <c r="M26" s="319">
        <f t="shared" si="9"/>
        <v>0</v>
      </c>
      <c r="N26" s="269">
        <f t="shared" si="10"/>
        <v>26</v>
      </c>
      <c r="O26" s="269"/>
      <c r="P26" s="290"/>
      <c r="Q26" s="181"/>
    </row>
    <row r="27" spans="1:20" ht="17.25" customHeight="1" thickTop="1" thickBot="1">
      <c r="A27" s="73"/>
      <c r="B27" s="380"/>
      <c r="C27" s="182"/>
      <c r="D27" s="318">
        <v>30</v>
      </c>
      <c r="E27" s="319">
        <v>30</v>
      </c>
      <c r="F27" s="320">
        <v>3</v>
      </c>
      <c r="G27" s="320"/>
      <c r="H27" s="320"/>
      <c r="I27" s="320"/>
      <c r="J27" s="320"/>
      <c r="K27" s="320"/>
      <c r="L27" s="300">
        <v>1015</v>
      </c>
      <c r="M27" s="319">
        <f t="shared" si="9"/>
        <v>0</v>
      </c>
      <c r="N27" s="269">
        <f t="shared" si="10"/>
        <v>30</v>
      </c>
      <c r="O27" s="269"/>
      <c r="P27" s="290"/>
      <c r="Q27" s="181"/>
    </row>
    <row r="28" spans="1:20" ht="15.6" thickTop="1" thickBot="1">
      <c r="A28" s="73"/>
      <c r="B28" s="380"/>
      <c r="C28" s="182"/>
      <c r="D28" s="266"/>
      <c r="E28" s="267"/>
      <c r="F28" s="268"/>
      <c r="G28" s="268"/>
      <c r="H28" s="268"/>
      <c r="I28" s="268"/>
      <c r="J28" s="268"/>
      <c r="K28" s="268"/>
      <c r="L28" s="289"/>
      <c r="M28" s="267">
        <f t="shared" si="9"/>
        <v>0</v>
      </c>
      <c r="N28" s="269">
        <f t="shared" si="10"/>
        <v>0</v>
      </c>
      <c r="O28" s="269"/>
      <c r="P28" s="290"/>
      <c r="Q28" s="181"/>
    </row>
    <row r="29" spans="1:20" ht="15.6" thickTop="1" thickBot="1">
      <c r="A29" s="73"/>
      <c r="B29" s="380"/>
      <c r="C29" s="182"/>
      <c r="D29" s="266"/>
      <c r="E29" s="267"/>
      <c r="F29" s="268"/>
      <c r="G29" s="268"/>
      <c r="H29" s="268"/>
      <c r="I29" s="268"/>
      <c r="J29" s="268"/>
      <c r="K29" s="268"/>
      <c r="L29" s="291"/>
      <c r="M29" s="267">
        <f t="shared" si="9"/>
        <v>0</v>
      </c>
      <c r="N29" s="269">
        <f t="shared" si="10"/>
        <v>0</v>
      </c>
      <c r="O29" s="269"/>
      <c r="P29" s="290"/>
      <c r="Q29" s="181"/>
    </row>
    <row r="30" spans="1:20" ht="15.6" thickTop="1" thickBot="1">
      <c r="A30" s="73"/>
      <c r="B30" s="380"/>
      <c r="C30" s="183" t="s">
        <v>69</v>
      </c>
      <c r="D30" s="266">
        <f t="shared" ref="D30:N30" si="11">SUM(D24:D29)</f>
        <v>96</v>
      </c>
      <c r="E30" s="267">
        <f t="shared" si="11"/>
        <v>96</v>
      </c>
      <c r="F30" s="268">
        <f t="shared" si="11"/>
        <v>10</v>
      </c>
      <c r="G30" s="268">
        <f t="shared" si="11"/>
        <v>0</v>
      </c>
      <c r="H30" s="268">
        <f t="shared" si="11"/>
        <v>0</v>
      </c>
      <c r="I30" s="268">
        <f t="shared" si="11"/>
        <v>1</v>
      </c>
      <c r="J30" s="268">
        <f t="shared" si="11"/>
        <v>5</v>
      </c>
      <c r="K30" s="270">
        <f t="shared" si="11"/>
        <v>3</v>
      </c>
      <c r="L30" s="273">
        <f t="shared" si="11"/>
        <v>20698</v>
      </c>
      <c r="M30" s="271">
        <f t="shared" si="11"/>
        <v>0</v>
      </c>
      <c r="N30" s="269">
        <f t="shared" si="11"/>
        <v>96</v>
      </c>
      <c r="O30" s="170"/>
      <c r="P30" s="171"/>
      <c r="Q30" s="181"/>
    </row>
    <row r="31" spans="1:20" ht="15.6" thickTop="1" thickBot="1">
      <c r="A31" s="73"/>
      <c r="B31" s="380"/>
      <c r="C31" s="167" t="s">
        <v>45</v>
      </c>
      <c r="D31" s="272">
        <f>SUM(D24:D29)</f>
        <v>96</v>
      </c>
      <c r="E31" s="272">
        <f>SUM(E24:E29)</f>
        <v>96</v>
      </c>
      <c r="F31" s="381">
        <f>SUM(F30:K30)</f>
        <v>19</v>
      </c>
      <c r="G31" s="382"/>
      <c r="H31" s="382"/>
      <c r="I31" s="382"/>
      <c r="J31" s="382"/>
      <c r="K31" s="383"/>
      <c r="L31" s="274">
        <f>L30</f>
        <v>20698</v>
      </c>
      <c r="M31" s="272">
        <f>SUM(M24:M29)</f>
        <v>0</v>
      </c>
      <c r="N31" s="272">
        <f>SUM(N24:N29)</f>
        <v>96</v>
      </c>
      <c r="O31" s="272">
        <f>SUM(O30)</f>
        <v>0</v>
      </c>
      <c r="P31" s="275">
        <f>SUM(P30)</f>
        <v>0</v>
      </c>
      <c r="Q31" s="168"/>
      <c r="T31" s="184">
        <f>$V$3+L7+L15+L23+L31</f>
        <v>104920.37</v>
      </c>
    </row>
    <row r="32" spans="1:20" ht="15.6" thickTop="1" thickBot="1">
      <c r="A32" s="73" t="str">
        <f ca="1">OFFSET('0'!$B$112,($A$1-1)*10,$B32-1)</f>
        <v>--</v>
      </c>
      <c r="B32" s="380">
        <f ca="1">OFFSET('0'!$B$111,($A$1-1)*10,4)</f>
        <v>5</v>
      </c>
      <c r="C32" s="178"/>
      <c r="D32" s="314">
        <v>40</v>
      </c>
      <c r="E32" s="315">
        <v>39</v>
      </c>
      <c r="F32" s="316">
        <v>2</v>
      </c>
      <c r="G32" s="316"/>
      <c r="H32" s="316"/>
      <c r="I32" s="316"/>
      <c r="J32" s="316"/>
      <c r="K32" s="316"/>
      <c r="L32" s="317">
        <v>2651.17</v>
      </c>
      <c r="M32" s="315">
        <f t="shared" ref="M32:M37" si="12">SUM(D32-E32)</f>
        <v>1</v>
      </c>
      <c r="N32" s="305">
        <f>SUM(E32,M32)</f>
        <v>40</v>
      </c>
      <c r="O32" s="305"/>
      <c r="P32" s="306"/>
      <c r="Q32" s="179"/>
    </row>
    <row r="33" spans="1:20" ht="15.6" thickTop="1" thickBot="1">
      <c r="A33" s="73"/>
      <c r="B33" s="380"/>
      <c r="C33" s="180"/>
      <c r="D33" s="318">
        <v>10</v>
      </c>
      <c r="E33" s="319">
        <v>9</v>
      </c>
      <c r="F33" s="320">
        <v>2</v>
      </c>
      <c r="G33" s="320"/>
      <c r="H33" s="320"/>
      <c r="I33" s="320">
        <v>1</v>
      </c>
      <c r="J33" s="320">
        <v>4</v>
      </c>
      <c r="K33" s="320">
        <v>1</v>
      </c>
      <c r="L33" s="300">
        <v>10762.29</v>
      </c>
      <c r="M33" s="319">
        <f t="shared" si="12"/>
        <v>1</v>
      </c>
      <c r="N33" s="269">
        <f>SUM(E33,M33)</f>
        <v>10</v>
      </c>
      <c r="O33" s="269"/>
      <c r="P33" s="290"/>
      <c r="Q33" s="181"/>
    </row>
    <row r="34" spans="1:20" ht="15.6" thickTop="1" thickBot="1">
      <c r="A34" s="73"/>
      <c r="B34" s="380"/>
      <c r="C34" s="180"/>
      <c r="D34" s="318">
        <v>49</v>
      </c>
      <c r="E34" s="319">
        <v>48</v>
      </c>
      <c r="F34" s="320">
        <v>2</v>
      </c>
      <c r="G34" s="320"/>
      <c r="H34" s="320"/>
      <c r="I34" s="320">
        <v>1</v>
      </c>
      <c r="J34" s="320">
        <v>4</v>
      </c>
      <c r="K34" s="320">
        <v>1</v>
      </c>
      <c r="L34" s="300">
        <v>44184.93</v>
      </c>
      <c r="M34" s="319">
        <f t="shared" si="12"/>
        <v>1</v>
      </c>
      <c r="N34" s="269">
        <f>SUM(E34,M34)</f>
        <v>49</v>
      </c>
      <c r="O34" s="269"/>
      <c r="P34" s="290"/>
      <c r="Q34" s="181"/>
    </row>
    <row r="35" spans="1:20" ht="15.6" thickTop="1" thickBot="1">
      <c r="A35" s="73"/>
      <c r="B35" s="380"/>
      <c r="C35" s="182"/>
      <c r="D35" s="318"/>
      <c r="E35" s="319"/>
      <c r="F35" s="320"/>
      <c r="G35" s="320"/>
      <c r="H35" s="320"/>
      <c r="I35" s="320"/>
      <c r="J35" s="320"/>
      <c r="K35" s="320"/>
      <c r="L35" s="300"/>
      <c r="M35" s="319">
        <f t="shared" si="12"/>
        <v>0</v>
      </c>
      <c r="N35" s="269">
        <f t="shared" ref="N35:N37" si="13">SUM(E35,M35)</f>
        <v>0</v>
      </c>
      <c r="O35" s="269"/>
      <c r="P35" s="290"/>
      <c r="Q35" s="181"/>
    </row>
    <row r="36" spans="1:20" ht="15.6" thickTop="1" thickBot="1">
      <c r="A36" s="73"/>
      <c r="B36" s="380"/>
      <c r="C36" s="182"/>
      <c r="D36" s="266"/>
      <c r="E36" s="267"/>
      <c r="F36" s="268"/>
      <c r="G36" s="268"/>
      <c r="H36" s="268"/>
      <c r="I36" s="268"/>
      <c r="J36" s="268"/>
      <c r="K36" s="268"/>
      <c r="L36" s="291"/>
      <c r="M36" s="267">
        <f t="shared" si="12"/>
        <v>0</v>
      </c>
      <c r="N36" s="269">
        <f t="shared" si="13"/>
        <v>0</v>
      </c>
      <c r="O36" s="269"/>
      <c r="P36" s="290"/>
      <c r="Q36" s="181"/>
    </row>
    <row r="37" spans="1:20" ht="15.6" thickTop="1" thickBot="1">
      <c r="A37" s="73"/>
      <c r="B37" s="380"/>
      <c r="C37" s="182"/>
      <c r="D37" s="266"/>
      <c r="E37" s="267"/>
      <c r="F37" s="268"/>
      <c r="G37" s="268"/>
      <c r="H37" s="268"/>
      <c r="I37" s="268"/>
      <c r="J37" s="268"/>
      <c r="K37" s="268"/>
      <c r="L37" s="291"/>
      <c r="M37" s="267">
        <f t="shared" si="12"/>
        <v>0</v>
      </c>
      <c r="N37" s="269">
        <f t="shared" si="13"/>
        <v>0</v>
      </c>
      <c r="O37" s="269"/>
      <c r="P37" s="290"/>
      <c r="Q37" s="181"/>
    </row>
    <row r="38" spans="1:20" ht="15.6" thickTop="1" thickBot="1">
      <c r="A38" s="73"/>
      <c r="B38" s="380"/>
      <c r="C38" s="183" t="s">
        <v>69</v>
      </c>
      <c r="D38" s="276">
        <f t="shared" ref="D38:N38" si="14">SUM(D32:D37)</f>
        <v>99</v>
      </c>
      <c r="E38" s="277">
        <f t="shared" si="14"/>
        <v>96</v>
      </c>
      <c r="F38" s="278">
        <f t="shared" si="14"/>
        <v>6</v>
      </c>
      <c r="G38" s="278">
        <f t="shared" si="14"/>
        <v>0</v>
      </c>
      <c r="H38" s="278">
        <f t="shared" si="14"/>
        <v>0</v>
      </c>
      <c r="I38" s="278">
        <f t="shared" si="14"/>
        <v>2</v>
      </c>
      <c r="J38" s="278">
        <f t="shared" si="14"/>
        <v>8</v>
      </c>
      <c r="K38" s="308">
        <f t="shared" si="14"/>
        <v>2</v>
      </c>
      <c r="L38" s="273">
        <f t="shared" si="14"/>
        <v>57598.39</v>
      </c>
      <c r="M38" s="309">
        <f t="shared" si="14"/>
        <v>3</v>
      </c>
      <c r="N38" s="279">
        <f t="shared" si="14"/>
        <v>99</v>
      </c>
      <c r="O38" s="172"/>
      <c r="P38" s="185"/>
      <c r="Q38" s="187"/>
    </row>
    <row r="39" spans="1:20" ht="15.6" thickTop="1" thickBot="1">
      <c r="A39" s="73"/>
      <c r="B39" s="380"/>
      <c r="C39" s="167" t="s">
        <v>45</v>
      </c>
      <c r="D39" s="272">
        <f>SUM(D32:D37)</f>
        <v>99</v>
      </c>
      <c r="E39" s="272">
        <f>SUM(E32:E37)</f>
        <v>96</v>
      </c>
      <c r="F39" s="381">
        <f>SUM(F38:K38)</f>
        <v>18</v>
      </c>
      <c r="G39" s="382"/>
      <c r="H39" s="382"/>
      <c r="I39" s="382"/>
      <c r="J39" s="382"/>
      <c r="K39" s="383"/>
      <c r="L39" s="274">
        <f>L38</f>
        <v>57598.39</v>
      </c>
      <c r="M39" s="272">
        <f>SUM(M32:M37)</f>
        <v>3</v>
      </c>
      <c r="N39" s="272">
        <f>SUM(N32:N37)</f>
        <v>99</v>
      </c>
      <c r="O39" s="272">
        <f>SUM(O38)</f>
        <v>0</v>
      </c>
      <c r="P39" s="275">
        <f>SUM(P38)</f>
        <v>0</v>
      </c>
      <c r="Q39" s="168"/>
      <c r="T39" s="184">
        <f>$V$3+L7+L15+L23+L31+L39</f>
        <v>162518.76</v>
      </c>
    </row>
    <row r="40" spans="1:20" ht="15.6" thickTop="1" thickBot="1">
      <c r="A40" s="73" t="str">
        <f ca="1">OFFSET('0'!$B$112,($A$1-1)*10,$B40-1)</f>
        <v>--</v>
      </c>
      <c r="B40" s="380">
        <f ca="1">OFFSET('0'!$B$111,($A$1-1)*10,5)</f>
        <v>6</v>
      </c>
      <c r="C40" s="178"/>
      <c r="D40" s="314">
        <v>17</v>
      </c>
      <c r="E40" s="315">
        <v>17</v>
      </c>
      <c r="F40" s="316">
        <v>1</v>
      </c>
      <c r="G40" s="316"/>
      <c r="H40" s="316"/>
      <c r="I40" s="316">
        <v>2</v>
      </c>
      <c r="J40" s="316"/>
      <c r="K40" s="316">
        <v>1</v>
      </c>
      <c r="L40" s="317">
        <v>1937.67</v>
      </c>
      <c r="M40" s="315">
        <f t="shared" ref="M40:M45" si="15">SUM(D40-E40)</f>
        <v>0</v>
      </c>
      <c r="N40" s="305">
        <f t="shared" ref="N40:N45" si="16">SUM(E40,M40)</f>
        <v>17</v>
      </c>
      <c r="O40" s="305"/>
      <c r="P40" s="306"/>
      <c r="Q40" s="179"/>
    </row>
    <row r="41" spans="1:20" ht="15.6" thickTop="1" thickBot="1">
      <c r="A41" s="73"/>
      <c r="B41" s="380"/>
      <c r="C41" s="180"/>
      <c r="D41" s="318">
        <v>35</v>
      </c>
      <c r="E41" s="319">
        <v>34</v>
      </c>
      <c r="F41" s="320">
        <v>1</v>
      </c>
      <c r="G41" s="320"/>
      <c r="H41" s="320"/>
      <c r="I41" s="320">
        <v>1</v>
      </c>
      <c r="J41" s="320">
        <v>1</v>
      </c>
      <c r="K41" s="320">
        <v>1</v>
      </c>
      <c r="L41" s="300">
        <v>3888</v>
      </c>
      <c r="M41" s="319">
        <f t="shared" si="15"/>
        <v>1</v>
      </c>
      <c r="N41" s="269">
        <f t="shared" si="16"/>
        <v>35</v>
      </c>
      <c r="O41" s="269"/>
      <c r="P41" s="290"/>
      <c r="Q41" s="181"/>
    </row>
    <row r="42" spans="1:20" ht="15.6" thickTop="1" thickBot="1">
      <c r="A42" s="73"/>
      <c r="B42" s="380"/>
      <c r="C42" s="180"/>
      <c r="D42" s="318">
        <v>30</v>
      </c>
      <c r="E42" s="319">
        <v>30</v>
      </c>
      <c r="F42" s="320">
        <v>3</v>
      </c>
      <c r="G42" s="320"/>
      <c r="H42" s="320"/>
      <c r="I42" s="320">
        <v>1</v>
      </c>
      <c r="J42" s="320">
        <v>1</v>
      </c>
      <c r="K42" s="320">
        <v>1</v>
      </c>
      <c r="L42" s="300">
        <v>170</v>
      </c>
      <c r="M42" s="319">
        <f t="shared" si="15"/>
        <v>0</v>
      </c>
      <c r="N42" s="269">
        <f t="shared" si="16"/>
        <v>30</v>
      </c>
      <c r="O42" s="269"/>
      <c r="P42" s="290"/>
      <c r="Q42" s="181"/>
    </row>
    <row r="43" spans="1:20" ht="15.6" thickTop="1" thickBot="1">
      <c r="A43" s="73"/>
      <c r="B43" s="380"/>
      <c r="C43" s="182"/>
      <c r="D43" s="266"/>
      <c r="E43" s="267"/>
      <c r="F43" s="268"/>
      <c r="G43" s="268"/>
      <c r="H43" s="268"/>
      <c r="I43" s="268"/>
      <c r="J43" s="268"/>
      <c r="K43" s="268"/>
      <c r="L43" s="289"/>
      <c r="M43" s="267">
        <f t="shared" si="15"/>
        <v>0</v>
      </c>
      <c r="N43" s="269">
        <f t="shared" si="16"/>
        <v>0</v>
      </c>
      <c r="O43" s="269"/>
      <c r="P43" s="290"/>
      <c r="Q43" s="181"/>
    </row>
    <row r="44" spans="1:20" ht="15.6" thickTop="1" thickBot="1">
      <c r="A44" s="73"/>
      <c r="B44" s="380"/>
      <c r="C44" s="182"/>
      <c r="D44" s="276"/>
      <c r="E44" s="277"/>
      <c r="F44" s="278"/>
      <c r="G44" s="278"/>
      <c r="H44" s="278"/>
      <c r="I44" s="278"/>
      <c r="J44" s="278"/>
      <c r="K44" s="278"/>
      <c r="L44" s="291"/>
      <c r="M44" s="277">
        <f t="shared" si="15"/>
        <v>0</v>
      </c>
      <c r="N44" s="269">
        <f t="shared" si="16"/>
        <v>0</v>
      </c>
      <c r="O44" s="279"/>
      <c r="P44" s="292"/>
      <c r="Q44" s="187"/>
    </row>
    <row r="45" spans="1:20" ht="15.6" thickTop="1" thickBot="1">
      <c r="A45" s="73"/>
      <c r="B45" s="380"/>
      <c r="C45" s="182"/>
      <c r="D45" s="276"/>
      <c r="E45" s="277"/>
      <c r="F45" s="278"/>
      <c r="G45" s="278"/>
      <c r="H45" s="278"/>
      <c r="I45" s="278"/>
      <c r="J45" s="278"/>
      <c r="K45" s="278"/>
      <c r="L45" s="291"/>
      <c r="M45" s="277">
        <f t="shared" si="15"/>
        <v>0</v>
      </c>
      <c r="N45" s="279">
        <f t="shared" si="16"/>
        <v>0</v>
      </c>
      <c r="O45" s="279"/>
      <c r="P45" s="292"/>
      <c r="Q45" s="187"/>
    </row>
    <row r="46" spans="1:20" ht="15.6" thickTop="1" thickBot="1">
      <c r="A46" s="73"/>
      <c r="B46" s="380"/>
      <c r="C46" s="183" t="s">
        <v>69</v>
      </c>
      <c r="D46" s="276">
        <f t="shared" ref="D46:N46" si="17">SUM(D40:D45)</f>
        <v>82</v>
      </c>
      <c r="E46" s="277">
        <f t="shared" si="17"/>
        <v>81</v>
      </c>
      <c r="F46" s="278">
        <f t="shared" si="17"/>
        <v>5</v>
      </c>
      <c r="G46" s="278">
        <f t="shared" si="17"/>
        <v>0</v>
      </c>
      <c r="H46" s="278">
        <f t="shared" si="17"/>
        <v>0</v>
      </c>
      <c r="I46" s="278">
        <f t="shared" si="17"/>
        <v>4</v>
      </c>
      <c r="J46" s="278">
        <f t="shared" si="17"/>
        <v>2</v>
      </c>
      <c r="K46" s="308">
        <f t="shared" si="17"/>
        <v>3</v>
      </c>
      <c r="L46" s="273">
        <f t="shared" si="17"/>
        <v>5995.67</v>
      </c>
      <c r="M46" s="309">
        <f t="shared" si="17"/>
        <v>1</v>
      </c>
      <c r="N46" s="280">
        <f t="shared" si="17"/>
        <v>82</v>
      </c>
      <c r="O46" s="188"/>
      <c r="P46" s="189"/>
      <c r="Q46" s="187"/>
    </row>
    <row r="47" spans="1:20" ht="15.6" thickTop="1" thickBot="1">
      <c r="A47" s="73"/>
      <c r="B47" s="380"/>
      <c r="C47" s="173" t="s">
        <v>45</v>
      </c>
      <c r="D47" s="281">
        <f>SUM(D40:D45)</f>
        <v>82</v>
      </c>
      <c r="E47" s="281">
        <f>SUM(E40:E45)</f>
        <v>81</v>
      </c>
      <c r="F47" s="381">
        <f>SUM(F46:K46)</f>
        <v>14</v>
      </c>
      <c r="G47" s="382"/>
      <c r="H47" s="382"/>
      <c r="I47" s="382"/>
      <c r="J47" s="382"/>
      <c r="K47" s="383"/>
      <c r="L47" s="282">
        <f>L46</f>
        <v>5995.67</v>
      </c>
      <c r="M47" s="272">
        <f>SUM(M40:M45)</f>
        <v>1</v>
      </c>
      <c r="N47" s="272">
        <f>SUM(N40:N45)</f>
        <v>82</v>
      </c>
      <c r="O47" s="272">
        <f>SUM(O46)</f>
        <v>0</v>
      </c>
      <c r="P47" s="310">
        <f>SUM(P46)</f>
        <v>0</v>
      </c>
      <c r="Q47" s="174"/>
      <c r="T47" s="184">
        <f>$V$3+L7+L15+L23+L31+L39+L47</f>
        <v>168514.43000000002</v>
      </c>
    </row>
    <row r="48" spans="1:20" ht="15.6" thickTop="1" thickBot="1">
      <c r="A48" s="73" t="str">
        <f ca="1">OFFSET('0'!$B$112,($A$1-1)*10,$B48-1)</f>
        <v>--</v>
      </c>
      <c r="B48" s="380">
        <f ca="1">OFFSET('0'!$B$111,($A$1-1)*10,6)</f>
        <v>7</v>
      </c>
      <c r="C48" s="178"/>
      <c r="D48" s="314">
        <v>22</v>
      </c>
      <c r="E48" s="315">
        <v>21</v>
      </c>
      <c r="F48" s="316">
        <v>4</v>
      </c>
      <c r="G48" s="316"/>
      <c r="H48" s="316"/>
      <c r="I48" s="316">
        <v>1</v>
      </c>
      <c r="J48" s="316">
        <v>2</v>
      </c>
      <c r="K48" s="316"/>
      <c r="L48" s="317">
        <v>11284.01</v>
      </c>
      <c r="M48" s="315">
        <f t="shared" ref="M48:M53" si="18">SUM(D48-E48)</f>
        <v>1</v>
      </c>
      <c r="N48" s="305">
        <f t="shared" ref="N48:N53" si="19">SUM(E48,M48)</f>
        <v>22</v>
      </c>
      <c r="O48" s="305"/>
      <c r="P48" s="306"/>
      <c r="Q48" s="179"/>
    </row>
    <row r="49" spans="1:20" ht="15.6" thickTop="1" thickBot="1">
      <c r="A49" s="73"/>
      <c r="B49" s="380"/>
      <c r="C49" s="180"/>
      <c r="D49" s="318">
        <v>36</v>
      </c>
      <c r="E49" s="319">
        <v>36</v>
      </c>
      <c r="F49" s="320">
        <v>2</v>
      </c>
      <c r="G49" s="320"/>
      <c r="H49" s="320"/>
      <c r="I49" s="320">
        <v>3</v>
      </c>
      <c r="J49" s="320">
        <v>1</v>
      </c>
      <c r="K49" s="320"/>
      <c r="L49" s="300">
        <v>13797.98</v>
      </c>
      <c r="M49" s="319">
        <f t="shared" si="18"/>
        <v>0</v>
      </c>
      <c r="N49" s="269">
        <f t="shared" si="19"/>
        <v>36</v>
      </c>
      <c r="O49" s="269"/>
      <c r="P49" s="290"/>
      <c r="Q49" s="181"/>
    </row>
    <row r="50" spans="1:20" ht="15.6" thickTop="1" thickBot="1">
      <c r="A50" s="73"/>
      <c r="B50" s="380"/>
      <c r="C50" s="180"/>
      <c r="D50" s="318">
        <v>34</v>
      </c>
      <c r="E50" s="319">
        <v>34</v>
      </c>
      <c r="F50" s="320">
        <v>2</v>
      </c>
      <c r="G50" s="320"/>
      <c r="H50" s="320"/>
      <c r="I50" s="320">
        <v>2</v>
      </c>
      <c r="J50" s="320">
        <v>1</v>
      </c>
      <c r="K50" s="320"/>
      <c r="L50" s="300">
        <v>16728.88</v>
      </c>
      <c r="M50" s="319">
        <f t="shared" si="18"/>
        <v>0</v>
      </c>
      <c r="N50" s="269">
        <f t="shared" si="19"/>
        <v>34</v>
      </c>
      <c r="O50" s="269"/>
      <c r="P50" s="290"/>
      <c r="Q50" s="181"/>
    </row>
    <row r="51" spans="1:20" ht="15.6" thickTop="1" thickBot="1">
      <c r="A51" s="73"/>
      <c r="B51" s="380"/>
      <c r="C51" s="182"/>
      <c r="D51" s="266"/>
      <c r="E51" s="267"/>
      <c r="F51" s="268"/>
      <c r="G51" s="268"/>
      <c r="H51" s="268"/>
      <c r="I51" s="268"/>
      <c r="J51" s="268"/>
      <c r="K51" s="268"/>
      <c r="L51" s="289"/>
      <c r="M51" s="267">
        <f t="shared" si="18"/>
        <v>0</v>
      </c>
      <c r="N51" s="269">
        <f t="shared" si="19"/>
        <v>0</v>
      </c>
      <c r="O51" s="269"/>
      <c r="P51" s="290"/>
      <c r="Q51" s="181"/>
    </row>
    <row r="52" spans="1:20" ht="15.6" thickTop="1" thickBot="1">
      <c r="A52" s="73"/>
      <c r="B52" s="380"/>
      <c r="C52" s="182"/>
      <c r="D52" s="276"/>
      <c r="E52" s="277"/>
      <c r="F52" s="278"/>
      <c r="G52" s="278"/>
      <c r="H52" s="278"/>
      <c r="I52" s="278"/>
      <c r="J52" s="278"/>
      <c r="K52" s="278"/>
      <c r="L52" s="291"/>
      <c r="M52" s="277">
        <f t="shared" si="18"/>
        <v>0</v>
      </c>
      <c r="N52" s="269">
        <f t="shared" si="19"/>
        <v>0</v>
      </c>
      <c r="O52" s="279"/>
      <c r="P52" s="292"/>
      <c r="Q52" s="187"/>
    </row>
    <row r="53" spans="1:20" ht="15.6" thickTop="1" thickBot="1">
      <c r="A53" s="73"/>
      <c r="B53" s="380"/>
      <c r="C53" s="182"/>
      <c r="D53" s="276"/>
      <c r="E53" s="277"/>
      <c r="F53" s="278"/>
      <c r="G53" s="278"/>
      <c r="H53" s="278"/>
      <c r="I53" s="278"/>
      <c r="J53" s="278"/>
      <c r="K53" s="278"/>
      <c r="L53" s="291"/>
      <c r="M53" s="277">
        <f t="shared" si="18"/>
        <v>0</v>
      </c>
      <c r="N53" s="279">
        <f t="shared" si="19"/>
        <v>0</v>
      </c>
      <c r="O53" s="279"/>
      <c r="P53" s="292"/>
      <c r="Q53" s="187"/>
    </row>
    <row r="54" spans="1:20" ht="15.6" thickTop="1" thickBot="1">
      <c r="A54" s="73"/>
      <c r="B54" s="380"/>
      <c r="C54" s="183" t="s">
        <v>69</v>
      </c>
      <c r="D54" s="276">
        <f t="shared" ref="D54:N54" si="20">SUM(D48:D53)</f>
        <v>92</v>
      </c>
      <c r="E54" s="277">
        <f t="shared" si="20"/>
        <v>91</v>
      </c>
      <c r="F54" s="278">
        <f t="shared" si="20"/>
        <v>8</v>
      </c>
      <c r="G54" s="278">
        <f t="shared" si="20"/>
        <v>0</v>
      </c>
      <c r="H54" s="278">
        <f t="shared" si="20"/>
        <v>0</v>
      </c>
      <c r="I54" s="278">
        <f t="shared" si="20"/>
        <v>6</v>
      </c>
      <c r="J54" s="278">
        <f t="shared" si="20"/>
        <v>4</v>
      </c>
      <c r="K54" s="308">
        <f t="shared" si="20"/>
        <v>0</v>
      </c>
      <c r="L54" s="273">
        <f t="shared" si="20"/>
        <v>41810.869999999995</v>
      </c>
      <c r="M54" s="309">
        <f t="shared" si="20"/>
        <v>1</v>
      </c>
      <c r="N54" s="280">
        <f t="shared" si="20"/>
        <v>92</v>
      </c>
      <c r="O54" s="188"/>
      <c r="P54" s="189"/>
      <c r="Q54" s="187"/>
    </row>
    <row r="55" spans="1:20" ht="15.6" thickTop="1" thickBot="1">
      <c r="A55" s="73"/>
      <c r="B55" s="380"/>
      <c r="C55" s="167" t="s">
        <v>45</v>
      </c>
      <c r="D55" s="272">
        <f>SUM(D48:D53)</f>
        <v>92</v>
      </c>
      <c r="E55" s="272">
        <f>SUM(E48:E53)</f>
        <v>91</v>
      </c>
      <c r="F55" s="381">
        <f>SUM(F54:K54)</f>
        <v>18</v>
      </c>
      <c r="G55" s="382"/>
      <c r="H55" s="382"/>
      <c r="I55" s="382"/>
      <c r="J55" s="382"/>
      <c r="K55" s="383"/>
      <c r="L55" s="283">
        <f>L54</f>
        <v>41810.869999999995</v>
      </c>
      <c r="M55" s="272">
        <f>SUM(M48:M53)</f>
        <v>1</v>
      </c>
      <c r="N55" s="272">
        <f>SUM(N48:N53)</f>
        <v>92</v>
      </c>
      <c r="O55" s="272">
        <f>SUM(O54)</f>
        <v>0</v>
      </c>
      <c r="P55" s="275">
        <f>SUM(P54)</f>
        <v>0</v>
      </c>
      <c r="Q55" s="168"/>
      <c r="T55" s="184">
        <f>$V$3+L7+L15+L23+L31+L39+L47+L55</f>
        <v>210325.30000000002</v>
      </c>
    </row>
    <row r="56" spans="1:20" ht="15.6" thickTop="1" thickBot="1">
      <c r="A56" s="73" t="str">
        <f ca="1">OFFSET('0'!$B$112,($A$1-1)*10,$B56-1)</f>
        <v>SS</v>
      </c>
      <c r="B56" s="380">
        <f ca="1">OFFSET('0'!$B$111,($A$1-1)*10,7)</f>
        <v>8</v>
      </c>
      <c r="C56" s="178"/>
      <c r="D56" s="314">
        <v>13</v>
      </c>
      <c r="E56" s="315">
        <v>10</v>
      </c>
      <c r="F56" s="316"/>
      <c r="G56" s="316"/>
      <c r="H56" s="316"/>
      <c r="I56" s="316">
        <v>3</v>
      </c>
      <c r="J56" s="316"/>
      <c r="K56" s="316"/>
      <c r="L56" s="317">
        <v>20430</v>
      </c>
      <c r="M56" s="315">
        <f t="shared" ref="M56:M61" si="21">SUM(D56-E56)</f>
        <v>3</v>
      </c>
      <c r="N56" s="305">
        <f t="shared" ref="N56:N61" si="22">SUM(E56,M56)</f>
        <v>13</v>
      </c>
      <c r="O56" s="305"/>
      <c r="P56" s="306"/>
      <c r="Q56" s="179"/>
    </row>
    <row r="57" spans="1:20" ht="15.6" thickTop="1" thickBot="1">
      <c r="A57" s="73"/>
      <c r="B57" s="380"/>
      <c r="C57" s="180"/>
      <c r="D57" s="318">
        <v>6</v>
      </c>
      <c r="E57" s="319">
        <v>6</v>
      </c>
      <c r="F57" s="320">
        <v>1</v>
      </c>
      <c r="G57" s="320"/>
      <c r="H57" s="320"/>
      <c r="I57" s="320"/>
      <c r="J57" s="320">
        <v>1</v>
      </c>
      <c r="K57" s="320"/>
      <c r="L57" s="300">
        <v>10850</v>
      </c>
      <c r="M57" s="319">
        <f t="shared" si="21"/>
        <v>0</v>
      </c>
      <c r="N57" s="269">
        <f t="shared" si="22"/>
        <v>6</v>
      </c>
      <c r="O57" s="269"/>
      <c r="P57" s="290"/>
      <c r="Q57" s="181"/>
    </row>
    <row r="58" spans="1:20" ht="15.6" thickTop="1" thickBot="1">
      <c r="A58" s="73"/>
      <c r="B58" s="380"/>
      <c r="C58" s="180"/>
      <c r="D58" s="318">
        <v>6</v>
      </c>
      <c r="E58" s="319">
        <v>4</v>
      </c>
      <c r="F58" s="320"/>
      <c r="G58" s="320"/>
      <c r="H58" s="320"/>
      <c r="I58" s="320"/>
      <c r="J58" s="320"/>
      <c r="K58" s="320"/>
      <c r="L58" s="300">
        <v>17500</v>
      </c>
      <c r="M58" s="319">
        <f t="shared" si="21"/>
        <v>2</v>
      </c>
      <c r="N58" s="269">
        <f t="shared" si="22"/>
        <v>6</v>
      </c>
      <c r="O58" s="269"/>
      <c r="P58" s="290"/>
      <c r="Q58" s="181"/>
    </row>
    <row r="59" spans="1:20" ht="15.6" thickTop="1" thickBot="1">
      <c r="A59" s="73"/>
      <c r="B59" s="380"/>
      <c r="C59" s="182"/>
      <c r="D59" s="266"/>
      <c r="E59" s="267"/>
      <c r="F59" s="268"/>
      <c r="G59" s="268"/>
      <c r="H59" s="268"/>
      <c r="I59" s="268"/>
      <c r="J59" s="268"/>
      <c r="K59" s="268"/>
      <c r="L59" s="289"/>
      <c r="M59" s="267">
        <f t="shared" si="21"/>
        <v>0</v>
      </c>
      <c r="N59" s="269">
        <f t="shared" si="22"/>
        <v>0</v>
      </c>
      <c r="O59" s="269"/>
      <c r="P59" s="290"/>
      <c r="Q59" s="181"/>
    </row>
    <row r="60" spans="1:20" ht="15.6" thickTop="1" thickBot="1">
      <c r="A60" s="73"/>
      <c r="B60" s="380"/>
      <c r="C60" s="182"/>
      <c r="D60" s="276"/>
      <c r="E60" s="277"/>
      <c r="F60" s="278"/>
      <c r="G60" s="278"/>
      <c r="H60" s="278"/>
      <c r="I60" s="278"/>
      <c r="J60" s="278"/>
      <c r="K60" s="278"/>
      <c r="L60" s="291"/>
      <c r="M60" s="277">
        <f t="shared" si="21"/>
        <v>0</v>
      </c>
      <c r="N60" s="269">
        <f t="shared" si="22"/>
        <v>0</v>
      </c>
      <c r="O60" s="279"/>
      <c r="P60" s="292"/>
      <c r="Q60" s="187"/>
    </row>
    <row r="61" spans="1:20" ht="15.6" thickTop="1" thickBot="1">
      <c r="A61" s="73"/>
      <c r="B61" s="380"/>
      <c r="C61" s="182"/>
      <c r="D61" s="276"/>
      <c r="E61" s="277"/>
      <c r="F61" s="278"/>
      <c r="G61" s="278"/>
      <c r="H61" s="278"/>
      <c r="I61" s="278"/>
      <c r="J61" s="278"/>
      <c r="K61" s="278"/>
      <c r="L61" s="291"/>
      <c r="M61" s="277">
        <f t="shared" si="21"/>
        <v>0</v>
      </c>
      <c r="N61" s="279">
        <f t="shared" si="22"/>
        <v>0</v>
      </c>
      <c r="O61" s="279"/>
      <c r="P61" s="292"/>
      <c r="Q61" s="187"/>
    </row>
    <row r="62" spans="1:20" ht="15.6" thickTop="1" thickBot="1">
      <c r="A62" s="73"/>
      <c r="B62" s="380"/>
      <c r="C62" s="183" t="s">
        <v>69</v>
      </c>
      <c r="D62" s="276">
        <f t="shared" ref="D62:N62" si="23">SUM(D56:D61)</f>
        <v>25</v>
      </c>
      <c r="E62" s="277">
        <f t="shared" si="23"/>
        <v>20</v>
      </c>
      <c r="F62" s="278">
        <f t="shared" si="23"/>
        <v>1</v>
      </c>
      <c r="G62" s="278">
        <f t="shared" si="23"/>
        <v>0</v>
      </c>
      <c r="H62" s="278">
        <f t="shared" si="23"/>
        <v>0</v>
      </c>
      <c r="I62" s="278">
        <f t="shared" si="23"/>
        <v>3</v>
      </c>
      <c r="J62" s="278">
        <f t="shared" si="23"/>
        <v>1</v>
      </c>
      <c r="K62" s="308">
        <f t="shared" si="23"/>
        <v>0</v>
      </c>
      <c r="L62" s="273">
        <f t="shared" si="23"/>
        <v>48780</v>
      </c>
      <c r="M62" s="309">
        <f t="shared" si="23"/>
        <v>5</v>
      </c>
      <c r="N62" s="280">
        <f t="shared" si="23"/>
        <v>25</v>
      </c>
      <c r="O62" s="188"/>
      <c r="P62" s="189"/>
      <c r="Q62" s="187"/>
    </row>
    <row r="63" spans="1:20" ht="15.6" thickTop="1" thickBot="1">
      <c r="A63" s="73"/>
      <c r="B63" s="380"/>
      <c r="C63" s="167" t="s">
        <v>45</v>
      </c>
      <c r="D63" s="272">
        <f>SUM(D56:D61)</f>
        <v>25</v>
      </c>
      <c r="E63" s="272">
        <f>SUM(E56:E61)</f>
        <v>20</v>
      </c>
      <c r="F63" s="381">
        <f>SUM(F62:K62)</f>
        <v>5</v>
      </c>
      <c r="G63" s="382"/>
      <c r="H63" s="382"/>
      <c r="I63" s="382"/>
      <c r="J63" s="382"/>
      <c r="K63" s="383"/>
      <c r="L63" s="274">
        <f>L62</f>
        <v>48780</v>
      </c>
      <c r="M63" s="272">
        <f>SUM(M56:M61)</f>
        <v>5</v>
      </c>
      <c r="N63" s="272">
        <f>SUM(N56:N61)</f>
        <v>25</v>
      </c>
      <c r="O63" s="272">
        <f>SUM(O62)</f>
        <v>0</v>
      </c>
      <c r="P63" s="275">
        <f>SUM(P62)</f>
        <v>0</v>
      </c>
      <c r="Q63" s="168"/>
      <c r="T63" s="184">
        <f>$V$3+L7+L15+L23+L31+L39+L47+L55+L63</f>
        <v>259105.30000000002</v>
      </c>
    </row>
    <row r="64" spans="1:20" ht="15.6" thickTop="1" thickBot="1">
      <c r="A64" s="73" t="str">
        <f ca="1">OFFSET('0'!$B$112,($A$1-1)*10,$B64-1)</f>
        <v>SK</v>
      </c>
      <c r="B64" s="380">
        <f ca="1">OFFSET('0'!$B$111,($A$1-1)*10,8)</f>
        <v>9</v>
      </c>
      <c r="C64" s="178"/>
      <c r="D64" s="314">
        <v>6</v>
      </c>
      <c r="E64" s="315">
        <v>6</v>
      </c>
      <c r="F64" s="316">
        <v>1</v>
      </c>
      <c r="G64" s="316"/>
      <c r="H64" s="316"/>
      <c r="I64" s="316">
        <v>1</v>
      </c>
      <c r="J64" s="316"/>
      <c r="K64" s="316"/>
      <c r="L64" s="317">
        <v>0</v>
      </c>
      <c r="M64" s="315">
        <f t="shared" ref="M64:M69" si="24">SUM(D64-E64)</f>
        <v>0</v>
      </c>
      <c r="N64" s="305">
        <f>SUM(E64,M64)</f>
        <v>6</v>
      </c>
      <c r="O64" s="305"/>
      <c r="P64" s="306"/>
      <c r="Q64" s="179"/>
    </row>
    <row r="65" spans="1:20" ht="15.6" thickTop="1" thickBot="1">
      <c r="A65" s="73"/>
      <c r="B65" s="380"/>
      <c r="C65" s="180"/>
      <c r="D65" s="318">
        <v>5</v>
      </c>
      <c r="E65" s="319">
        <v>5</v>
      </c>
      <c r="F65" s="320">
        <v>4</v>
      </c>
      <c r="G65" s="320"/>
      <c r="H65" s="320"/>
      <c r="I65" s="320"/>
      <c r="J65" s="320">
        <v>1</v>
      </c>
      <c r="K65" s="320"/>
      <c r="L65" s="300">
        <v>517</v>
      </c>
      <c r="M65" s="319">
        <f t="shared" si="24"/>
        <v>0</v>
      </c>
      <c r="N65" s="269">
        <f>SUM(E65,M65)</f>
        <v>5</v>
      </c>
      <c r="O65" s="269"/>
      <c r="P65" s="290"/>
      <c r="Q65" s="181"/>
    </row>
    <row r="66" spans="1:20" ht="15.6" thickTop="1" thickBot="1">
      <c r="A66" s="73"/>
      <c r="B66" s="380"/>
      <c r="C66" s="180"/>
      <c r="D66" s="318">
        <v>4</v>
      </c>
      <c r="E66" s="319">
        <v>4</v>
      </c>
      <c r="F66" s="320">
        <v>2</v>
      </c>
      <c r="G66" s="320"/>
      <c r="H66" s="320"/>
      <c r="I66" s="320"/>
      <c r="J66" s="320">
        <v>2</v>
      </c>
      <c r="K66" s="320"/>
      <c r="L66" s="300">
        <v>4091</v>
      </c>
      <c r="M66" s="319">
        <f t="shared" si="24"/>
        <v>0</v>
      </c>
      <c r="N66" s="269">
        <f>SUM(E66,M66)</f>
        <v>4</v>
      </c>
      <c r="O66" s="269"/>
      <c r="P66" s="290"/>
      <c r="Q66" s="181"/>
    </row>
    <row r="67" spans="1:20" ht="15.6" thickTop="1" thickBot="1">
      <c r="A67" s="73"/>
      <c r="B67" s="380"/>
      <c r="C67" s="182"/>
      <c r="D67" s="266"/>
      <c r="E67" s="267"/>
      <c r="F67" s="268"/>
      <c r="G67" s="268"/>
      <c r="H67" s="268"/>
      <c r="I67" s="268"/>
      <c r="J67" s="268"/>
      <c r="K67" s="268"/>
      <c r="L67" s="289"/>
      <c r="M67" s="267">
        <f t="shared" si="24"/>
        <v>0</v>
      </c>
      <c r="N67" s="269">
        <f>SUM(E67,M67)</f>
        <v>0</v>
      </c>
      <c r="O67" s="269"/>
      <c r="P67" s="290"/>
      <c r="Q67" s="181"/>
    </row>
    <row r="68" spans="1:20" ht="15.6" thickTop="1" thickBot="1">
      <c r="A68" s="73"/>
      <c r="B68" s="380"/>
      <c r="C68" s="182"/>
      <c r="D68" s="266"/>
      <c r="E68" s="267"/>
      <c r="F68" s="268"/>
      <c r="G68" s="268"/>
      <c r="H68" s="268"/>
      <c r="I68" s="268"/>
      <c r="J68" s="268"/>
      <c r="K68" s="268"/>
      <c r="L68" s="291"/>
      <c r="M68" s="267">
        <f t="shared" si="24"/>
        <v>0</v>
      </c>
      <c r="N68" s="269">
        <f t="shared" ref="N68:N69" si="25">SUM(E68,M68)</f>
        <v>0</v>
      </c>
      <c r="O68" s="269"/>
      <c r="P68" s="290"/>
      <c r="Q68" s="181"/>
    </row>
    <row r="69" spans="1:20" ht="15.6" thickTop="1" thickBot="1">
      <c r="A69" s="73"/>
      <c r="B69" s="380"/>
      <c r="C69" s="182"/>
      <c r="D69" s="266"/>
      <c r="E69" s="267"/>
      <c r="F69" s="268"/>
      <c r="G69" s="268"/>
      <c r="H69" s="268"/>
      <c r="I69" s="268"/>
      <c r="J69" s="268"/>
      <c r="K69" s="268"/>
      <c r="L69" s="291"/>
      <c r="M69" s="267">
        <f t="shared" si="24"/>
        <v>0</v>
      </c>
      <c r="N69" s="269">
        <f t="shared" si="25"/>
        <v>0</v>
      </c>
      <c r="O69" s="269"/>
      <c r="P69" s="290"/>
      <c r="Q69" s="181"/>
    </row>
    <row r="70" spans="1:20" ht="15.6" thickTop="1" thickBot="1">
      <c r="A70" s="73"/>
      <c r="B70" s="380"/>
      <c r="C70" s="183" t="s">
        <v>69</v>
      </c>
      <c r="D70" s="266">
        <f t="shared" ref="D70:N70" si="26">SUM(D64:D69)</f>
        <v>15</v>
      </c>
      <c r="E70" s="267">
        <f t="shared" si="26"/>
        <v>15</v>
      </c>
      <c r="F70" s="268">
        <f t="shared" si="26"/>
        <v>7</v>
      </c>
      <c r="G70" s="268">
        <f t="shared" si="26"/>
        <v>0</v>
      </c>
      <c r="H70" s="268">
        <f t="shared" si="26"/>
        <v>0</v>
      </c>
      <c r="I70" s="268">
        <f t="shared" si="26"/>
        <v>1</v>
      </c>
      <c r="J70" s="268">
        <f t="shared" si="26"/>
        <v>3</v>
      </c>
      <c r="K70" s="270">
        <f t="shared" si="26"/>
        <v>0</v>
      </c>
      <c r="L70" s="273">
        <f t="shared" si="26"/>
        <v>4608</v>
      </c>
      <c r="M70" s="271">
        <f t="shared" si="26"/>
        <v>0</v>
      </c>
      <c r="N70" s="269">
        <f t="shared" si="26"/>
        <v>15</v>
      </c>
      <c r="O70" s="170"/>
      <c r="P70" s="171"/>
      <c r="Q70" s="181"/>
      <c r="S70" s="175"/>
    </row>
    <row r="71" spans="1:20" ht="15.6" thickTop="1" thickBot="1">
      <c r="A71" s="73"/>
      <c r="B71" s="380"/>
      <c r="C71" s="167" t="s">
        <v>45</v>
      </c>
      <c r="D71" s="272">
        <f>SUM(D64:D69)</f>
        <v>15</v>
      </c>
      <c r="E71" s="272">
        <f>SUM(E64:E69)</f>
        <v>15</v>
      </c>
      <c r="F71" s="381">
        <f>SUM(F70:K70)</f>
        <v>11</v>
      </c>
      <c r="G71" s="382"/>
      <c r="H71" s="382"/>
      <c r="I71" s="382"/>
      <c r="J71" s="382"/>
      <c r="K71" s="383"/>
      <c r="L71" s="274">
        <f>L70</f>
        <v>4608</v>
      </c>
      <c r="M71" s="272">
        <f>SUM(M64:M69)</f>
        <v>0</v>
      </c>
      <c r="N71" s="272">
        <f>SUM(N64:N69)</f>
        <v>15</v>
      </c>
      <c r="O71" s="272">
        <f>SUM(O70)</f>
        <v>0</v>
      </c>
      <c r="P71" s="275">
        <f>SUM(P70)</f>
        <v>0</v>
      </c>
      <c r="Q71" s="168"/>
      <c r="T71" s="184">
        <f>$V$3+L7+L15+L23+L31+L39+L47+L55+L63+L71</f>
        <v>263713.30000000005</v>
      </c>
    </row>
    <row r="72" spans="1:20" ht="15.6" thickTop="1" thickBot="1">
      <c r="A72" s="73" t="str">
        <f ca="1">OFFSET('0'!$B$112,($A$1-1)*10,$B72-1)</f>
        <v>--</v>
      </c>
      <c r="B72" s="380">
        <f ca="1">OFFSET('0'!$B$111,($A$1-1)*10,9)</f>
        <v>10</v>
      </c>
      <c r="C72" s="178"/>
      <c r="D72" s="314">
        <v>5</v>
      </c>
      <c r="E72" s="315">
        <v>4</v>
      </c>
      <c r="F72" s="316">
        <v>2</v>
      </c>
      <c r="G72" s="316"/>
      <c r="H72" s="316"/>
      <c r="I72" s="316">
        <v>1</v>
      </c>
      <c r="J72" s="316">
        <v>1</v>
      </c>
      <c r="K72" s="316"/>
      <c r="L72" s="317">
        <v>750</v>
      </c>
      <c r="M72" s="315">
        <f t="shared" ref="M72:M77" si="27">SUM(D72-E72)</f>
        <v>1</v>
      </c>
      <c r="N72" s="305">
        <f t="shared" ref="N72:N77" si="28">SUM(E72,M72)</f>
        <v>5</v>
      </c>
      <c r="O72" s="305"/>
      <c r="P72" s="306"/>
      <c r="Q72" s="179"/>
    </row>
    <row r="73" spans="1:20" ht="15.6" thickTop="1" thickBot="1">
      <c r="A73" s="73"/>
      <c r="B73" s="380"/>
      <c r="C73" s="180"/>
      <c r="D73" s="318">
        <v>27</v>
      </c>
      <c r="E73" s="319">
        <v>26</v>
      </c>
      <c r="F73" s="320">
        <v>2</v>
      </c>
      <c r="G73" s="320"/>
      <c r="H73" s="320"/>
      <c r="I73" s="320"/>
      <c r="J73" s="320">
        <v>2</v>
      </c>
      <c r="K73" s="320"/>
      <c r="L73" s="300">
        <v>9327.6</v>
      </c>
      <c r="M73" s="319">
        <f t="shared" si="27"/>
        <v>1</v>
      </c>
      <c r="N73" s="269">
        <f t="shared" si="28"/>
        <v>27</v>
      </c>
      <c r="O73" s="269"/>
      <c r="P73" s="290"/>
      <c r="Q73" s="181"/>
      <c r="S73" s="175"/>
    </row>
    <row r="74" spans="1:20" ht="15.6" thickTop="1" thickBot="1">
      <c r="A74" s="73"/>
      <c r="B74" s="380"/>
      <c r="C74" s="180"/>
      <c r="D74" s="318">
        <v>23</v>
      </c>
      <c r="E74" s="319">
        <v>22</v>
      </c>
      <c r="F74" s="320">
        <v>3</v>
      </c>
      <c r="G74" s="320"/>
      <c r="H74" s="320"/>
      <c r="I74" s="320">
        <v>2</v>
      </c>
      <c r="J74" s="320">
        <v>1</v>
      </c>
      <c r="K74" s="320"/>
      <c r="L74" s="300">
        <v>14972.41</v>
      </c>
      <c r="M74" s="319">
        <f t="shared" si="27"/>
        <v>1</v>
      </c>
      <c r="N74" s="269">
        <f t="shared" si="28"/>
        <v>23</v>
      </c>
      <c r="O74" s="269"/>
      <c r="P74" s="290"/>
      <c r="Q74" s="181"/>
      <c r="S74" s="175"/>
    </row>
    <row r="75" spans="1:20" ht="15.6" thickTop="1" thickBot="1">
      <c r="A75" s="73"/>
      <c r="B75" s="380"/>
      <c r="C75" s="182"/>
      <c r="D75" s="318">
        <v>25</v>
      </c>
      <c r="E75" s="319">
        <v>22</v>
      </c>
      <c r="F75" s="320">
        <v>2</v>
      </c>
      <c r="G75" s="320"/>
      <c r="H75" s="320"/>
      <c r="I75" s="320">
        <v>1</v>
      </c>
      <c r="J75" s="320">
        <v>2</v>
      </c>
      <c r="K75" s="320">
        <v>1</v>
      </c>
      <c r="L75" s="300">
        <v>14608.61</v>
      </c>
      <c r="M75" s="319">
        <f t="shared" si="27"/>
        <v>3</v>
      </c>
      <c r="N75" s="269">
        <f t="shared" si="28"/>
        <v>25</v>
      </c>
      <c r="O75" s="269"/>
      <c r="P75" s="290"/>
      <c r="Q75" s="181"/>
      <c r="S75" s="175"/>
    </row>
    <row r="76" spans="1:20" ht="15.6" thickTop="1" thickBot="1">
      <c r="A76" s="73"/>
      <c r="B76" s="380"/>
      <c r="C76" s="182"/>
      <c r="D76" s="266"/>
      <c r="E76" s="267"/>
      <c r="F76" s="268"/>
      <c r="G76" s="268"/>
      <c r="H76" s="268"/>
      <c r="I76" s="268"/>
      <c r="J76" s="268"/>
      <c r="K76" s="268"/>
      <c r="L76" s="291"/>
      <c r="M76" s="267">
        <f t="shared" si="27"/>
        <v>0</v>
      </c>
      <c r="N76" s="269">
        <f t="shared" si="28"/>
        <v>0</v>
      </c>
      <c r="O76" s="279"/>
      <c r="P76" s="294"/>
      <c r="Q76" s="181"/>
    </row>
    <row r="77" spans="1:20" ht="15.6" thickTop="1" thickBot="1">
      <c r="A77" s="73"/>
      <c r="B77" s="380"/>
      <c r="C77" s="182"/>
      <c r="D77" s="266"/>
      <c r="E77" s="267"/>
      <c r="F77" s="268"/>
      <c r="G77" s="268"/>
      <c r="H77" s="268"/>
      <c r="I77" s="268"/>
      <c r="J77" s="268"/>
      <c r="K77" s="268"/>
      <c r="L77" s="291"/>
      <c r="M77" s="267">
        <f t="shared" si="27"/>
        <v>0</v>
      </c>
      <c r="N77" s="279">
        <f t="shared" si="28"/>
        <v>0</v>
      </c>
      <c r="O77" s="279"/>
      <c r="P77" s="294"/>
      <c r="Q77" s="181"/>
    </row>
    <row r="78" spans="1:20" ht="15.6" thickTop="1" thickBot="1">
      <c r="A78" s="73"/>
      <c r="B78" s="380"/>
      <c r="C78" s="183" t="s">
        <v>69</v>
      </c>
      <c r="D78" s="266">
        <f t="shared" ref="D78:N78" si="29">SUM(D72:D77)</f>
        <v>80</v>
      </c>
      <c r="E78" s="267">
        <f t="shared" si="29"/>
        <v>74</v>
      </c>
      <c r="F78" s="268">
        <f t="shared" si="29"/>
        <v>9</v>
      </c>
      <c r="G78" s="268">
        <f t="shared" si="29"/>
        <v>0</v>
      </c>
      <c r="H78" s="268">
        <f t="shared" si="29"/>
        <v>0</v>
      </c>
      <c r="I78" s="268">
        <f t="shared" si="29"/>
        <v>4</v>
      </c>
      <c r="J78" s="268">
        <f t="shared" si="29"/>
        <v>6</v>
      </c>
      <c r="K78" s="270">
        <f t="shared" si="29"/>
        <v>1</v>
      </c>
      <c r="L78" s="273">
        <f t="shared" si="29"/>
        <v>39658.620000000003</v>
      </c>
      <c r="M78" s="271">
        <f t="shared" si="29"/>
        <v>6</v>
      </c>
      <c r="N78" s="269">
        <f t="shared" si="29"/>
        <v>80</v>
      </c>
      <c r="O78" s="170"/>
      <c r="P78" s="171"/>
      <c r="Q78" s="181"/>
    </row>
    <row r="79" spans="1:20" ht="15.6" thickTop="1" thickBot="1">
      <c r="A79" s="73"/>
      <c r="B79" s="380"/>
      <c r="C79" s="167" t="s">
        <v>45</v>
      </c>
      <c r="D79" s="272">
        <f>SUM(D72:D77)</f>
        <v>80</v>
      </c>
      <c r="E79" s="272">
        <f>SUM(E72:E77)</f>
        <v>74</v>
      </c>
      <c r="F79" s="381">
        <f>SUM(F78:K78)</f>
        <v>20</v>
      </c>
      <c r="G79" s="382"/>
      <c r="H79" s="382"/>
      <c r="I79" s="382"/>
      <c r="J79" s="382"/>
      <c r="K79" s="383"/>
      <c r="L79" s="274">
        <f>L78</f>
        <v>39658.620000000003</v>
      </c>
      <c r="M79" s="272">
        <f>SUM(M72:M77)</f>
        <v>6</v>
      </c>
      <c r="N79" s="272">
        <f>SUM(N72:N77)</f>
        <v>80</v>
      </c>
      <c r="O79" s="272">
        <f>SUM(O78)</f>
        <v>0</v>
      </c>
      <c r="P79" s="275">
        <f>SUM(P78)</f>
        <v>0</v>
      </c>
      <c r="Q79" s="168"/>
      <c r="T79" s="184">
        <f>$V$3+L7+L15+L23+L31+L39+L47+L55+L63+L71+L79</f>
        <v>303371.92000000004</v>
      </c>
    </row>
    <row r="80" spans="1:20" ht="15.6" thickTop="1" thickBot="1">
      <c r="A80" s="73" t="str">
        <f ca="1">OFFSET('0'!$B$112,($A$1-1)*10,$B80-1)</f>
        <v>--</v>
      </c>
      <c r="B80" s="380">
        <f ca="1">OFFSET('0'!$B$111,($A$1-1)*10,10)</f>
        <v>11</v>
      </c>
      <c r="C80" s="178"/>
      <c r="D80" s="314">
        <v>16</v>
      </c>
      <c r="E80" s="315">
        <v>15</v>
      </c>
      <c r="F80" s="316">
        <v>3</v>
      </c>
      <c r="G80" s="316"/>
      <c r="H80" s="316"/>
      <c r="I80" s="316"/>
      <c r="J80" s="316">
        <v>1</v>
      </c>
      <c r="K80" s="316"/>
      <c r="L80" s="317">
        <v>5107.46</v>
      </c>
      <c r="M80" s="315">
        <f t="shared" ref="M80:M85" si="30">SUM(D80-E80)</f>
        <v>1</v>
      </c>
      <c r="N80" s="312">
        <f t="shared" ref="N80:N85" si="31">SUM(E80,M80)</f>
        <v>16</v>
      </c>
      <c r="O80" s="305"/>
      <c r="P80" s="306"/>
      <c r="Q80" s="179"/>
    </row>
    <row r="81" spans="1:20" ht="15.6" thickTop="1" thickBot="1">
      <c r="A81" s="73"/>
      <c r="B81" s="380"/>
      <c r="C81" s="180"/>
      <c r="D81" s="318">
        <v>30</v>
      </c>
      <c r="E81" s="319">
        <v>29</v>
      </c>
      <c r="F81" s="320">
        <v>3</v>
      </c>
      <c r="G81" s="320"/>
      <c r="H81" s="320"/>
      <c r="I81" s="320">
        <v>3</v>
      </c>
      <c r="J81" s="320">
        <v>2</v>
      </c>
      <c r="K81" s="320"/>
      <c r="L81" s="300">
        <v>14173</v>
      </c>
      <c r="M81" s="319">
        <f t="shared" si="30"/>
        <v>1</v>
      </c>
      <c r="N81" s="269">
        <f t="shared" si="31"/>
        <v>30</v>
      </c>
      <c r="O81" s="269"/>
      <c r="P81" s="290"/>
      <c r="Q81" s="181"/>
      <c r="S81" s="176"/>
    </row>
    <row r="82" spans="1:20" ht="15.6" thickTop="1" thickBot="1">
      <c r="A82" s="73"/>
      <c r="B82" s="380"/>
      <c r="C82" s="180"/>
      <c r="D82" s="318">
        <v>27</v>
      </c>
      <c r="E82" s="319">
        <v>27</v>
      </c>
      <c r="F82" s="320"/>
      <c r="G82" s="320"/>
      <c r="H82" s="320"/>
      <c r="I82" s="320"/>
      <c r="J82" s="320">
        <v>1</v>
      </c>
      <c r="K82" s="320"/>
      <c r="L82" s="300">
        <v>1070</v>
      </c>
      <c r="M82" s="319">
        <f t="shared" si="30"/>
        <v>0</v>
      </c>
      <c r="N82" s="269">
        <f t="shared" si="31"/>
        <v>27</v>
      </c>
      <c r="O82" s="269"/>
      <c r="P82" s="290"/>
      <c r="Q82" s="181"/>
      <c r="S82" s="175"/>
    </row>
    <row r="83" spans="1:20" ht="15.6" thickTop="1" thickBot="1">
      <c r="A83" s="73"/>
      <c r="B83" s="380"/>
      <c r="C83" s="182"/>
      <c r="D83" s="266"/>
      <c r="E83" s="267"/>
      <c r="F83" s="268"/>
      <c r="G83" s="268"/>
      <c r="H83" s="268"/>
      <c r="I83" s="268"/>
      <c r="J83" s="268"/>
      <c r="K83" s="268"/>
      <c r="L83" s="289"/>
      <c r="M83" s="267">
        <f t="shared" si="30"/>
        <v>0</v>
      </c>
      <c r="N83" s="269">
        <f t="shared" si="31"/>
        <v>0</v>
      </c>
      <c r="O83" s="269"/>
      <c r="P83" s="290"/>
      <c r="Q83" s="181"/>
    </row>
    <row r="84" spans="1:20" ht="15.6" thickTop="1" thickBot="1">
      <c r="A84" s="73"/>
      <c r="B84" s="380"/>
      <c r="C84" s="182"/>
      <c r="D84" s="266"/>
      <c r="E84" s="267"/>
      <c r="F84" s="268"/>
      <c r="G84" s="268"/>
      <c r="H84" s="268"/>
      <c r="I84" s="268"/>
      <c r="J84" s="268"/>
      <c r="K84" s="268"/>
      <c r="L84" s="289"/>
      <c r="M84" s="267">
        <f t="shared" si="30"/>
        <v>0</v>
      </c>
      <c r="N84" s="269">
        <f t="shared" si="31"/>
        <v>0</v>
      </c>
      <c r="O84" s="269"/>
      <c r="P84" s="290"/>
      <c r="Q84" s="181"/>
    </row>
    <row r="85" spans="1:20" ht="15.6" thickTop="1" thickBot="1">
      <c r="A85" s="73"/>
      <c r="B85" s="380"/>
      <c r="C85" s="182"/>
      <c r="D85" s="266"/>
      <c r="E85" s="267"/>
      <c r="F85" s="268"/>
      <c r="G85" s="268"/>
      <c r="H85" s="268"/>
      <c r="I85" s="268"/>
      <c r="J85" s="268"/>
      <c r="K85" s="268"/>
      <c r="L85" s="291"/>
      <c r="M85" s="267">
        <f t="shared" si="30"/>
        <v>0</v>
      </c>
      <c r="N85" s="279">
        <f t="shared" si="31"/>
        <v>0</v>
      </c>
      <c r="O85" s="279"/>
      <c r="P85" s="294"/>
      <c r="Q85" s="181"/>
    </row>
    <row r="86" spans="1:20" ht="15.6" thickTop="1" thickBot="1">
      <c r="A86" s="73"/>
      <c r="B86" s="380"/>
      <c r="C86" s="183" t="s">
        <v>69</v>
      </c>
      <c r="D86" s="266">
        <f t="shared" ref="D86:N86" si="32">SUM(D80:D85)</f>
        <v>73</v>
      </c>
      <c r="E86" s="267">
        <f t="shared" si="32"/>
        <v>71</v>
      </c>
      <c r="F86" s="268">
        <f t="shared" si="32"/>
        <v>6</v>
      </c>
      <c r="G86" s="268">
        <f t="shared" si="32"/>
        <v>0</v>
      </c>
      <c r="H86" s="268">
        <f t="shared" si="32"/>
        <v>0</v>
      </c>
      <c r="I86" s="268">
        <f t="shared" si="32"/>
        <v>3</v>
      </c>
      <c r="J86" s="268">
        <f t="shared" si="32"/>
        <v>4</v>
      </c>
      <c r="K86" s="270">
        <f t="shared" si="32"/>
        <v>0</v>
      </c>
      <c r="L86" s="273">
        <f t="shared" si="32"/>
        <v>20350.46</v>
      </c>
      <c r="M86" s="271">
        <f t="shared" si="32"/>
        <v>2</v>
      </c>
      <c r="N86" s="269">
        <f t="shared" si="32"/>
        <v>73</v>
      </c>
      <c r="O86" s="170"/>
      <c r="P86" s="171"/>
      <c r="Q86" s="181"/>
    </row>
    <row r="87" spans="1:20" ht="15.6" thickTop="1" thickBot="1">
      <c r="A87" s="73"/>
      <c r="B87" s="380"/>
      <c r="C87" s="167" t="s">
        <v>45</v>
      </c>
      <c r="D87" s="272">
        <f>SUM(D80:D85)</f>
        <v>73</v>
      </c>
      <c r="E87" s="272">
        <f>SUM(E80:E85)</f>
        <v>71</v>
      </c>
      <c r="F87" s="381">
        <f>SUM(F86:K86)</f>
        <v>13</v>
      </c>
      <c r="G87" s="382"/>
      <c r="H87" s="382"/>
      <c r="I87" s="382"/>
      <c r="J87" s="382"/>
      <c r="K87" s="383"/>
      <c r="L87" s="274">
        <f>L86</f>
        <v>20350.46</v>
      </c>
      <c r="M87" s="272">
        <f>SUM(M80:M85)</f>
        <v>2</v>
      </c>
      <c r="N87" s="272">
        <f>SUM(N80:N85)</f>
        <v>73</v>
      </c>
      <c r="O87" s="272">
        <f>SUM(O86)</f>
        <v>0</v>
      </c>
      <c r="P87" s="275">
        <f>SUM(P86)</f>
        <v>0</v>
      </c>
      <c r="Q87" s="168"/>
      <c r="T87" s="184">
        <f>$V$3+L7+L15+L23+L31+L39+L47+L55+L63+L71+L79+L87</f>
        <v>323722.38000000006</v>
      </c>
    </row>
    <row r="88" spans="1:20" ht="15.6" thickTop="1" thickBot="1">
      <c r="A88" s="73" t="str">
        <f ca="1">OFFSET('0'!$B$112,($A$1-1)*10,$B88-1)</f>
        <v>--</v>
      </c>
      <c r="B88" s="380">
        <f ca="1">OFFSET('0'!$B$111,($A$1-1)*10,11)</f>
        <v>12</v>
      </c>
      <c r="C88" s="178"/>
      <c r="D88" s="314"/>
      <c r="E88" s="315"/>
      <c r="F88" s="316"/>
      <c r="G88" s="316"/>
      <c r="H88" s="316"/>
      <c r="I88" s="316"/>
      <c r="J88" s="316"/>
      <c r="K88" s="316"/>
      <c r="L88" s="317">
        <v>6502.5</v>
      </c>
      <c r="M88" s="315">
        <f t="shared" ref="M88:M93" si="33">SUM(D88-E88)</f>
        <v>0</v>
      </c>
      <c r="N88" s="305">
        <f t="shared" ref="N88:N93" si="34">SUM(E88,M88)</f>
        <v>0</v>
      </c>
      <c r="O88" s="305"/>
      <c r="P88" s="306"/>
      <c r="Q88" s="179"/>
    </row>
    <row r="89" spans="1:20" ht="15.6" thickTop="1" thickBot="1">
      <c r="A89" s="73"/>
      <c r="B89" s="380"/>
      <c r="C89" s="180"/>
      <c r="D89" s="318"/>
      <c r="E89" s="319"/>
      <c r="F89" s="320"/>
      <c r="G89" s="320"/>
      <c r="H89" s="320"/>
      <c r="I89" s="320"/>
      <c r="J89" s="320"/>
      <c r="K89" s="320"/>
      <c r="L89" s="300">
        <v>32140</v>
      </c>
      <c r="M89" s="319">
        <f t="shared" si="33"/>
        <v>0</v>
      </c>
      <c r="N89" s="269">
        <f t="shared" si="34"/>
        <v>0</v>
      </c>
      <c r="O89" s="269"/>
      <c r="P89" s="290"/>
      <c r="Q89" s="181"/>
    </row>
    <row r="90" spans="1:20" ht="15.6" thickTop="1" thickBot="1">
      <c r="A90" s="73"/>
      <c r="B90" s="380"/>
      <c r="C90" s="180"/>
      <c r="D90" s="318"/>
      <c r="E90" s="319"/>
      <c r="F90" s="320"/>
      <c r="G90" s="320"/>
      <c r="H90" s="320"/>
      <c r="I90" s="320"/>
      <c r="J90" s="320"/>
      <c r="K90" s="320"/>
      <c r="L90" s="300">
        <v>425.15</v>
      </c>
      <c r="M90" s="319">
        <f t="shared" si="33"/>
        <v>0</v>
      </c>
      <c r="N90" s="269">
        <f t="shared" si="34"/>
        <v>0</v>
      </c>
      <c r="O90" s="269"/>
      <c r="P90" s="290"/>
      <c r="Q90" s="181"/>
    </row>
    <row r="91" spans="1:20" ht="15.6" thickTop="1" thickBot="1">
      <c r="A91" s="73"/>
      <c r="B91" s="380"/>
      <c r="C91" s="182"/>
      <c r="D91" s="266"/>
      <c r="E91" s="267"/>
      <c r="F91" s="268"/>
      <c r="G91" s="268"/>
      <c r="H91" s="268"/>
      <c r="I91" s="268"/>
      <c r="J91" s="268"/>
      <c r="K91" s="268"/>
      <c r="L91" s="289"/>
      <c r="M91" s="267">
        <f t="shared" si="33"/>
        <v>0</v>
      </c>
      <c r="N91" s="269">
        <f t="shared" si="34"/>
        <v>0</v>
      </c>
      <c r="O91" s="269"/>
      <c r="P91" s="290"/>
      <c r="Q91" s="181"/>
    </row>
    <row r="92" spans="1:20" ht="15.6" thickTop="1" thickBot="1">
      <c r="A92" s="73"/>
      <c r="B92" s="380"/>
      <c r="C92" s="182"/>
      <c r="D92" s="266"/>
      <c r="E92" s="267"/>
      <c r="F92" s="268"/>
      <c r="G92" s="268"/>
      <c r="H92" s="268"/>
      <c r="I92" s="268"/>
      <c r="J92" s="268"/>
      <c r="K92" s="268"/>
      <c r="L92" s="289"/>
      <c r="M92" s="267">
        <f t="shared" si="33"/>
        <v>0</v>
      </c>
      <c r="N92" s="269">
        <f t="shared" si="34"/>
        <v>0</v>
      </c>
      <c r="O92" s="269"/>
      <c r="P92" s="290"/>
      <c r="Q92" s="181"/>
    </row>
    <row r="93" spans="1:20" ht="15.6" thickTop="1" thickBot="1">
      <c r="A93" s="73"/>
      <c r="B93" s="380"/>
      <c r="C93" s="182"/>
      <c r="D93" s="266"/>
      <c r="E93" s="267"/>
      <c r="F93" s="268"/>
      <c r="G93" s="268"/>
      <c r="H93" s="268"/>
      <c r="I93" s="268"/>
      <c r="J93" s="268"/>
      <c r="K93" s="268"/>
      <c r="L93" s="291"/>
      <c r="M93" s="267">
        <f t="shared" si="33"/>
        <v>0</v>
      </c>
      <c r="N93" s="279">
        <f t="shared" si="34"/>
        <v>0</v>
      </c>
      <c r="O93" s="279"/>
      <c r="P93" s="294"/>
      <c r="Q93" s="181"/>
    </row>
    <row r="94" spans="1:20" ht="15.6" thickTop="1" thickBot="1">
      <c r="A94" s="73"/>
      <c r="B94" s="380"/>
      <c r="C94" s="183" t="s">
        <v>69</v>
      </c>
      <c r="D94" s="266">
        <f t="shared" ref="D94:N94" si="35">SUM(D88:D93)</f>
        <v>0</v>
      </c>
      <c r="E94" s="267">
        <f t="shared" si="35"/>
        <v>0</v>
      </c>
      <c r="F94" s="268">
        <f t="shared" si="35"/>
        <v>0</v>
      </c>
      <c r="G94" s="268">
        <f t="shared" si="35"/>
        <v>0</v>
      </c>
      <c r="H94" s="268">
        <f t="shared" si="35"/>
        <v>0</v>
      </c>
      <c r="I94" s="268">
        <f t="shared" si="35"/>
        <v>0</v>
      </c>
      <c r="J94" s="268">
        <f t="shared" si="35"/>
        <v>0</v>
      </c>
      <c r="K94" s="270">
        <f t="shared" si="35"/>
        <v>0</v>
      </c>
      <c r="L94" s="273">
        <f t="shared" si="35"/>
        <v>39067.65</v>
      </c>
      <c r="M94" s="271">
        <f t="shared" si="35"/>
        <v>0</v>
      </c>
      <c r="N94" s="269">
        <f t="shared" si="35"/>
        <v>0</v>
      </c>
      <c r="O94" s="170"/>
      <c r="P94" s="171"/>
      <c r="Q94" s="181"/>
    </row>
    <row r="95" spans="1:20" ht="15.6" thickTop="1" thickBot="1">
      <c r="A95" s="73"/>
      <c r="B95" s="380"/>
      <c r="C95" s="167" t="s">
        <v>45</v>
      </c>
      <c r="D95" s="272">
        <f>SUM(D88:D93)</f>
        <v>0</v>
      </c>
      <c r="E95" s="272">
        <f>SUM(E88:E93)</f>
        <v>0</v>
      </c>
      <c r="F95" s="381">
        <f>SUM(F94:K94)</f>
        <v>0</v>
      </c>
      <c r="G95" s="382"/>
      <c r="H95" s="382"/>
      <c r="I95" s="382"/>
      <c r="J95" s="382"/>
      <c r="K95" s="383"/>
      <c r="L95" s="274">
        <f>L94</f>
        <v>39067.65</v>
      </c>
      <c r="M95" s="272">
        <f>SUM(M88:M93)</f>
        <v>0</v>
      </c>
      <c r="N95" s="272">
        <f>SUM(N88:N93)</f>
        <v>0</v>
      </c>
      <c r="O95" s="272">
        <f>SUM(O94)</f>
        <v>0</v>
      </c>
      <c r="P95" s="275">
        <f>SUM(P94)</f>
        <v>0</v>
      </c>
      <c r="Q95" s="168"/>
      <c r="T95" s="184">
        <f>$V$3+L7+L15+L23+L31+L39+L47+L55+L63+L71+L79+L87+L95</f>
        <v>362790.03000000009</v>
      </c>
    </row>
    <row r="96" spans="1:20" ht="15.6" thickTop="1" thickBot="1">
      <c r="A96" s="73" t="str">
        <f ca="1">OFFSET('0'!$B$112,($A$1-1)*10,$B96-1)</f>
        <v>--</v>
      </c>
      <c r="B96" s="380">
        <f ca="1">OFFSET('0'!$B$111,($A$1-1)*10,12)</f>
        <v>13</v>
      </c>
      <c r="C96" s="178"/>
      <c r="D96" s="314"/>
      <c r="E96" s="315"/>
      <c r="F96" s="316"/>
      <c r="G96" s="316"/>
      <c r="H96" s="316"/>
      <c r="I96" s="316"/>
      <c r="J96" s="316"/>
      <c r="K96" s="316"/>
      <c r="L96" s="317">
        <v>10089.49</v>
      </c>
      <c r="M96" s="315">
        <f t="shared" ref="M96:M101" si="36">SUM(D96-E96)</f>
        <v>0</v>
      </c>
      <c r="N96" s="305">
        <f t="shared" ref="N96:N101" si="37">SUM(E96,M96)</f>
        <v>0</v>
      </c>
      <c r="O96" s="305"/>
      <c r="P96" s="306"/>
      <c r="Q96" s="179"/>
    </row>
    <row r="97" spans="1:20" ht="15.6" thickTop="1" thickBot="1">
      <c r="A97" s="73"/>
      <c r="B97" s="380"/>
      <c r="C97" s="180"/>
      <c r="D97" s="318"/>
      <c r="E97" s="319"/>
      <c r="F97" s="320"/>
      <c r="G97" s="320"/>
      <c r="H97" s="320"/>
      <c r="I97" s="320"/>
      <c r="J97" s="320"/>
      <c r="K97" s="320"/>
      <c r="L97" s="300">
        <v>267.02</v>
      </c>
      <c r="M97" s="319">
        <f t="shared" si="36"/>
        <v>0</v>
      </c>
      <c r="N97" s="269">
        <f t="shared" si="37"/>
        <v>0</v>
      </c>
      <c r="O97" s="269"/>
      <c r="P97" s="290"/>
      <c r="Q97" s="181"/>
    </row>
    <row r="98" spans="1:20" ht="15.6" thickTop="1" thickBot="1">
      <c r="A98" s="73"/>
      <c r="B98" s="380"/>
      <c r="C98" s="180"/>
      <c r="D98" s="318"/>
      <c r="E98" s="319"/>
      <c r="F98" s="320"/>
      <c r="G98" s="320"/>
      <c r="H98" s="320"/>
      <c r="I98" s="320"/>
      <c r="J98" s="320"/>
      <c r="K98" s="320"/>
      <c r="L98" s="300">
        <v>18720.990000000002</v>
      </c>
      <c r="M98" s="319">
        <f t="shared" si="36"/>
        <v>0</v>
      </c>
      <c r="N98" s="269">
        <f t="shared" si="37"/>
        <v>0</v>
      </c>
      <c r="O98" s="269"/>
      <c r="P98" s="290"/>
      <c r="Q98" s="181"/>
    </row>
    <row r="99" spans="1:20" ht="15.6" thickTop="1" thickBot="1">
      <c r="A99" s="73"/>
      <c r="B99" s="380"/>
      <c r="C99" s="182"/>
      <c r="D99" s="266"/>
      <c r="E99" s="267"/>
      <c r="F99" s="268"/>
      <c r="G99" s="268"/>
      <c r="H99" s="268"/>
      <c r="I99" s="268"/>
      <c r="J99" s="268"/>
      <c r="K99" s="268"/>
      <c r="L99" s="289"/>
      <c r="M99" s="267">
        <f t="shared" si="36"/>
        <v>0</v>
      </c>
      <c r="N99" s="269">
        <f t="shared" si="37"/>
        <v>0</v>
      </c>
      <c r="O99" s="269"/>
      <c r="P99" s="290"/>
      <c r="Q99" s="181"/>
    </row>
    <row r="100" spans="1:20" ht="15.6" thickTop="1" thickBot="1">
      <c r="A100" s="73"/>
      <c r="B100" s="380"/>
      <c r="C100" s="182"/>
      <c r="D100" s="266"/>
      <c r="E100" s="267"/>
      <c r="F100" s="268"/>
      <c r="G100" s="268"/>
      <c r="H100" s="268"/>
      <c r="I100" s="268"/>
      <c r="J100" s="268"/>
      <c r="K100" s="268"/>
      <c r="L100" s="289"/>
      <c r="M100" s="267">
        <f t="shared" si="36"/>
        <v>0</v>
      </c>
      <c r="N100" s="269">
        <f t="shared" si="37"/>
        <v>0</v>
      </c>
      <c r="O100" s="269"/>
      <c r="P100" s="290"/>
      <c r="Q100" s="181"/>
    </row>
    <row r="101" spans="1:20" ht="15.6" thickTop="1" thickBot="1">
      <c r="A101" s="73"/>
      <c r="B101" s="380"/>
      <c r="C101" s="182"/>
      <c r="D101" s="266"/>
      <c r="E101" s="267"/>
      <c r="F101" s="268"/>
      <c r="G101" s="268"/>
      <c r="H101" s="268"/>
      <c r="I101" s="268"/>
      <c r="J101" s="268"/>
      <c r="K101" s="268"/>
      <c r="L101" s="291"/>
      <c r="M101" s="267">
        <f t="shared" si="36"/>
        <v>0</v>
      </c>
      <c r="N101" s="279">
        <f t="shared" si="37"/>
        <v>0</v>
      </c>
      <c r="O101" s="279"/>
      <c r="P101" s="294"/>
      <c r="Q101" s="181"/>
    </row>
    <row r="102" spans="1:20" ht="15.6" thickTop="1" thickBot="1">
      <c r="A102" s="73"/>
      <c r="B102" s="380"/>
      <c r="C102" s="190" t="s">
        <v>69</v>
      </c>
      <c r="D102" s="266">
        <f t="shared" ref="D102:N102" si="38">SUM(D96:D101)</f>
        <v>0</v>
      </c>
      <c r="E102" s="267">
        <f t="shared" si="38"/>
        <v>0</v>
      </c>
      <c r="F102" s="268">
        <f t="shared" si="38"/>
        <v>0</v>
      </c>
      <c r="G102" s="268">
        <f t="shared" si="38"/>
        <v>0</v>
      </c>
      <c r="H102" s="268">
        <f t="shared" si="38"/>
        <v>0</v>
      </c>
      <c r="I102" s="268">
        <f t="shared" si="38"/>
        <v>0</v>
      </c>
      <c r="J102" s="268">
        <f t="shared" si="38"/>
        <v>0</v>
      </c>
      <c r="K102" s="270">
        <f t="shared" si="38"/>
        <v>0</v>
      </c>
      <c r="L102" s="273">
        <f t="shared" si="38"/>
        <v>29077.5</v>
      </c>
      <c r="M102" s="271">
        <f t="shared" si="38"/>
        <v>0</v>
      </c>
      <c r="N102" s="269">
        <f t="shared" si="38"/>
        <v>0</v>
      </c>
      <c r="O102" s="170"/>
      <c r="P102" s="171"/>
      <c r="Q102" s="181"/>
    </row>
    <row r="103" spans="1:20" ht="15.6" thickTop="1" thickBot="1">
      <c r="A103" s="73"/>
      <c r="B103" s="380"/>
      <c r="C103" s="167" t="s">
        <v>45</v>
      </c>
      <c r="D103" s="272">
        <f>SUM(D96:D101)</f>
        <v>0</v>
      </c>
      <c r="E103" s="272">
        <f>SUM(E96:E101)</f>
        <v>0</v>
      </c>
      <c r="F103" s="381">
        <f>SUM(F102:K102)</f>
        <v>0</v>
      </c>
      <c r="G103" s="382"/>
      <c r="H103" s="382"/>
      <c r="I103" s="382"/>
      <c r="J103" s="382"/>
      <c r="K103" s="383"/>
      <c r="L103" s="274">
        <f>L102</f>
        <v>29077.5</v>
      </c>
      <c r="M103" s="272">
        <f>SUM(M96:M101)</f>
        <v>0</v>
      </c>
      <c r="N103" s="272">
        <f>SUM(N96:N101)</f>
        <v>0</v>
      </c>
      <c r="O103" s="272">
        <f>SUM(O102)</f>
        <v>0</v>
      </c>
      <c r="P103" s="275">
        <f>SUM(P102)</f>
        <v>0</v>
      </c>
      <c r="Q103" s="168"/>
      <c r="T103" s="184">
        <f>$V$3+L7+L15+L23+L31+L39+L47+L55+L63+L71+L79+L87+L95+L103</f>
        <v>391867.53000000009</v>
      </c>
    </row>
    <row r="104" spans="1:20" ht="15.6" thickTop="1" thickBot="1">
      <c r="A104" s="73" t="str">
        <f ca="1">OFFSET('0'!$B$112,($A$1-1)*10,$B104-1)</f>
        <v>--</v>
      </c>
      <c r="B104" s="380">
        <f ca="1">OFFSET('0'!$B$111,($A$1-1)*10,13)</f>
        <v>14</v>
      </c>
      <c r="C104" s="178"/>
      <c r="D104" s="314"/>
      <c r="E104" s="315"/>
      <c r="F104" s="316"/>
      <c r="G104" s="316"/>
      <c r="H104" s="316"/>
      <c r="I104" s="316"/>
      <c r="J104" s="316"/>
      <c r="K104" s="316"/>
      <c r="L104" s="317">
        <v>22072</v>
      </c>
      <c r="M104" s="315">
        <f t="shared" ref="M104:M109" si="39">SUM(D104-E104)</f>
        <v>0</v>
      </c>
      <c r="N104" s="305">
        <f t="shared" ref="N104:N109" si="40">SUM(E104,M104)</f>
        <v>0</v>
      </c>
      <c r="O104" s="305"/>
      <c r="P104" s="306"/>
      <c r="Q104" s="179"/>
    </row>
    <row r="105" spans="1:20" ht="15.6" thickTop="1" thickBot="1">
      <c r="A105" s="73"/>
      <c r="B105" s="380"/>
      <c r="C105" s="180"/>
      <c r="D105" s="318"/>
      <c r="E105" s="319"/>
      <c r="F105" s="320"/>
      <c r="G105" s="320"/>
      <c r="H105" s="320"/>
      <c r="I105" s="320"/>
      <c r="J105" s="320"/>
      <c r="K105" s="320"/>
      <c r="L105" s="300">
        <v>475</v>
      </c>
      <c r="M105" s="319">
        <f t="shared" si="39"/>
        <v>0</v>
      </c>
      <c r="N105" s="269">
        <f t="shared" si="40"/>
        <v>0</v>
      </c>
      <c r="O105" s="269"/>
      <c r="P105" s="290"/>
      <c r="Q105" s="181"/>
    </row>
    <row r="106" spans="1:20" ht="15.6" thickTop="1" thickBot="1">
      <c r="A106" s="73"/>
      <c r="B106" s="380"/>
      <c r="C106" s="180"/>
      <c r="D106" s="318"/>
      <c r="E106" s="319"/>
      <c r="F106" s="320"/>
      <c r="G106" s="320"/>
      <c r="H106" s="320"/>
      <c r="I106" s="320"/>
      <c r="J106" s="320"/>
      <c r="K106" s="320"/>
      <c r="L106" s="300">
        <v>52</v>
      </c>
      <c r="M106" s="319">
        <f t="shared" si="39"/>
        <v>0</v>
      </c>
      <c r="N106" s="269">
        <f t="shared" si="40"/>
        <v>0</v>
      </c>
      <c r="O106" s="269"/>
      <c r="P106" s="290"/>
      <c r="Q106" s="181"/>
    </row>
    <row r="107" spans="1:20" ht="15.6" thickTop="1" thickBot="1">
      <c r="A107" s="73"/>
      <c r="B107" s="380"/>
      <c r="C107" s="182"/>
      <c r="D107" s="318"/>
      <c r="E107" s="319"/>
      <c r="F107" s="320"/>
      <c r="G107" s="320"/>
      <c r="H107" s="320"/>
      <c r="I107" s="320"/>
      <c r="J107" s="320"/>
      <c r="K107" s="320"/>
      <c r="L107" s="300">
        <v>829.32</v>
      </c>
      <c r="M107" s="319">
        <f t="shared" si="39"/>
        <v>0</v>
      </c>
      <c r="N107" s="269">
        <f t="shared" si="40"/>
        <v>0</v>
      </c>
      <c r="O107" s="269"/>
      <c r="P107" s="290"/>
      <c r="Q107" s="181"/>
    </row>
    <row r="108" spans="1:20" ht="15.6" thickTop="1" thickBot="1">
      <c r="A108" s="73"/>
      <c r="B108" s="380"/>
      <c r="C108" s="182"/>
      <c r="D108" s="318"/>
      <c r="E108" s="319"/>
      <c r="F108" s="320"/>
      <c r="G108" s="320"/>
      <c r="H108" s="320"/>
      <c r="I108" s="320"/>
      <c r="J108" s="320"/>
      <c r="K108" s="320"/>
      <c r="L108" s="300">
        <v>103</v>
      </c>
      <c r="M108" s="319">
        <f t="shared" si="39"/>
        <v>0</v>
      </c>
      <c r="N108" s="279">
        <f t="shared" si="40"/>
        <v>0</v>
      </c>
      <c r="O108" s="279"/>
      <c r="P108" s="294"/>
      <c r="Q108" s="181"/>
    </row>
    <row r="109" spans="1:20" ht="15.6" thickTop="1" thickBot="1">
      <c r="A109" s="73"/>
      <c r="B109" s="380"/>
      <c r="C109" s="182"/>
      <c r="D109" s="266"/>
      <c r="E109" s="267"/>
      <c r="F109" s="268"/>
      <c r="G109" s="268"/>
      <c r="H109" s="268"/>
      <c r="I109" s="268"/>
      <c r="J109" s="268"/>
      <c r="K109" s="268"/>
      <c r="L109" s="291"/>
      <c r="M109" s="267">
        <f t="shared" si="39"/>
        <v>0</v>
      </c>
      <c r="N109" s="269">
        <f t="shared" si="40"/>
        <v>0</v>
      </c>
      <c r="O109" s="269"/>
      <c r="P109" s="290"/>
      <c r="Q109" s="181"/>
    </row>
    <row r="110" spans="1:20" ht="15.6" thickTop="1" thickBot="1">
      <c r="A110" s="73"/>
      <c r="B110" s="380"/>
      <c r="C110" s="183" t="s">
        <v>69</v>
      </c>
      <c r="D110" s="266">
        <f t="shared" ref="D110:N110" si="41">SUM(D104:D109)</f>
        <v>0</v>
      </c>
      <c r="E110" s="267">
        <f t="shared" si="41"/>
        <v>0</v>
      </c>
      <c r="F110" s="268">
        <f t="shared" si="41"/>
        <v>0</v>
      </c>
      <c r="G110" s="268">
        <f t="shared" si="41"/>
        <v>0</v>
      </c>
      <c r="H110" s="268">
        <f t="shared" si="41"/>
        <v>0</v>
      </c>
      <c r="I110" s="268">
        <f t="shared" si="41"/>
        <v>0</v>
      </c>
      <c r="J110" s="268">
        <f t="shared" si="41"/>
        <v>0</v>
      </c>
      <c r="K110" s="270">
        <f t="shared" si="41"/>
        <v>0</v>
      </c>
      <c r="L110" s="273">
        <f t="shared" si="41"/>
        <v>23531.32</v>
      </c>
      <c r="M110" s="271">
        <f t="shared" si="41"/>
        <v>0</v>
      </c>
      <c r="N110" s="269">
        <f t="shared" si="41"/>
        <v>0</v>
      </c>
      <c r="O110" s="170"/>
      <c r="P110" s="171"/>
      <c r="Q110" s="181"/>
    </row>
    <row r="111" spans="1:20" ht="15.6" thickTop="1" thickBot="1">
      <c r="A111" s="73"/>
      <c r="B111" s="380"/>
      <c r="C111" s="167" t="s">
        <v>45</v>
      </c>
      <c r="D111" s="272">
        <f>SUM(D104:D109)</f>
        <v>0</v>
      </c>
      <c r="E111" s="272">
        <f>SUM(E104:E109)</f>
        <v>0</v>
      </c>
      <c r="F111" s="381">
        <f>SUM(F110:K110)</f>
        <v>0</v>
      </c>
      <c r="G111" s="382"/>
      <c r="H111" s="382"/>
      <c r="I111" s="382"/>
      <c r="J111" s="382"/>
      <c r="K111" s="383"/>
      <c r="L111" s="274">
        <f>L110</f>
        <v>23531.32</v>
      </c>
      <c r="M111" s="272">
        <f>SUM(M104:M109)</f>
        <v>0</v>
      </c>
      <c r="N111" s="272">
        <f>SUM(N104:N109)</f>
        <v>0</v>
      </c>
      <c r="O111" s="272">
        <f>SUM(O110)</f>
        <v>0</v>
      </c>
      <c r="P111" s="275">
        <f>SUM(P110)</f>
        <v>0</v>
      </c>
      <c r="Q111" s="168"/>
      <c r="S111" s="175" t="s">
        <v>61</v>
      </c>
      <c r="T111" s="184">
        <f>$V$3+L7+L15+L23+L31+L39+L47+L55+L63+L71+L79+L87+L95+L103+L111</f>
        <v>415398.85000000009</v>
      </c>
    </row>
    <row r="112" spans="1:20" ht="15.6" thickTop="1" thickBot="1">
      <c r="A112" s="73" t="str">
        <f ca="1">OFFSET('0'!$B$112,($A$1-1)*10,$B112-1)</f>
        <v>SS</v>
      </c>
      <c r="B112" s="380">
        <f ca="1">OFFSET('0'!$B$111,($A$1-1)*10,14)</f>
        <v>15</v>
      </c>
      <c r="C112" s="182"/>
      <c r="D112" s="314"/>
      <c r="E112" s="315"/>
      <c r="F112" s="316"/>
      <c r="G112" s="316"/>
      <c r="H112" s="316"/>
      <c r="I112" s="316"/>
      <c r="J112" s="316"/>
      <c r="K112" s="316"/>
      <c r="L112" s="317"/>
      <c r="M112" s="315">
        <f t="shared" ref="M112:M117" si="42">SUM(D112-E112)</f>
        <v>0</v>
      </c>
      <c r="N112" s="305">
        <f t="shared" ref="N112:N117" si="43">SUM(E112,M112)</f>
        <v>0</v>
      </c>
      <c r="O112" s="305"/>
      <c r="P112" s="306"/>
      <c r="Q112" s="179"/>
    </row>
    <row r="113" spans="1:22" ht="15.6" thickTop="1" thickBot="1">
      <c r="A113" s="73"/>
      <c r="B113" s="380"/>
      <c r="C113" s="180"/>
      <c r="D113" s="318"/>
      <c r="E113" s="319"/>
      <c r="F113" s="320"/>
      <c r="G113" s="320"/>
      <c r="H113" s="320"/>
      <c r="I113" s="320"/>
      <c r="J113" s="320"/>
      <c r="K113" s="320"/>
      <c r="L113" s="300">
        <v>208.08</v>
      </c>
      <c r="M113" s="319">
        <f t="shared" si="42"/>
        <v>0</v>
      </c>
      <c r="N113" s="269">
        <f t="shared" si="43"/>
        <v>0</v>
      </c>
      <c r="O113" s="269"/>
      <c r="P113" s="290"/>
      <c r="Q113" s="181"/>
    </row>
    <row r="114" spans="1:22" ht="15.6" thickTop="1" thickBot="1">
      <c r="A114" s="73"/>
      <c r="B114" s="380"/>
      <c r="C114" s="180"/>
      <c r="D114" s="318"/>
      <c r="E114" s="319"/>
      <c r="F114" s="320"/>
      <c r="G114" s="320"/>
      <c r="H114" s="320"/>
      <c r="I114" s="320"/>
      <c r="J114" s="320"/>
      <c r="K114" s="320"/>
      <c r="L114" s="300">
        <v>7508.41</v>
      </c>
      <c r="M114" s="319">
        <f t="shared" si="42"/>
        <v>0</v>
      </c>
      <c r="N114" s="269">
        <f t="shared" si="43"/>
        <v>0</v>
      </c>
      <c r="O114" s="269"/>
      <c r="P114" s="290"/>
      <c r="Q114" s="181"/>
      <c r="S114" s="175" t="s">
        <v>62</v>
      </c>
    </row>
    <row r="115" spans="1:22" ht="15.6" thickTop="1" thickBot="1">
      <c r="A115" s="73"/>
      <c r="B115" s="380"/>
      <c r="C115" s="182"/>
      <c r="D115" s="318"/>
      <c r="E115" s="319"/>
      <c r="F115" s="320"/>
      <c r="G115" s="320"/>
      <c r="H115" s="320"/>
      <c r="I115" s="320"/>
      <c r="J115" s="320"/>
      <c r="K115" s="320"/>
      <c r="L115" s="300">
        <v>26000</v>
      </c>
      <c r="M115" s="319">
        <f t="shared" si="42"/>
        <v>0</v>
      </c>
      <c r="N115" s="269">
        <f t="shared" si="43"/>
        <v>0</v>
      </c>
      <c r="O115" s="269"/>
      <c r="P115" s="290"/>
      <c r="Q115" s="181"/>
      <c r="S115" s="175">
        <v>9700</v>
      </c>
    </row>
    <row r="116" spans="1:22" ht="15.6" thickTop="1" thickBot="1">
      <c r="A116" s="73"/>
      <c r="B116" s="380"/>
      <c r="C116" s="182"/>
      <c r="D116" s="318"/>
      <c r="E116" s="319"/>
      <c r="F116" s="320"/>
      <c r="G116" s="320"/>
      <c r="H116" s="320"/>
      <c r="I116" s="320"/>
      <c r="J116" s="320"/>
      <c r="K116" s="320"/>
      <c r="L116" s="300">
        <v>14079.05</v>
      </c>
      <c r="M116" s="319">
        <f t="shared" si="42"/>
        <v>0</v>
      </c>
      <c r="N116" s="269">
        <f t="shared" si="43"/>
        <v>0</v>
      </c>
      <c r="O116" s="269"/>
      <c r="P116" s="290"/>
      <c r="Q116" s="181"/>
      <c r="S116" s="175">
        <v>5000</v>
      </c>
    </row>
    <row r="117" spans="1:22" ht="15.6" thickTop="1" thickBot="1">
      <c r="A117" s="73"/>
      <c r="B117" s="380"/>
      <c r="C117" s="182"/>
      <c r="D117" s="266"/>
      <c r="E117" s="267"/>
      <c r="F117" s="268"/>
      <c r="G117" s="268"/>
      <c r="H117" s="268"/>
      <c r="I117" s="268"/>
      <c r="J117" s="268"/>
      <c r="K117" s="268"/>
      <c r="L117" s="291"/>
      <c r="M117" s="267">
        <f t="shared" si="42"/>
        <v>0</v>
      </c>
      <c r="N117" s="269">
        <f t="shared" si="43"/>
        <v>0</v>
      </c>
      <c r="O117" s="269"/>
      <c r="P117" s="290"/>
      <c r="Q117" s="181"/>
    </row>
    <row r="118" spans="1:22" ht="15.6" thickTop="1" thickBot="1">
      <c r="A118" s="73"/>
      <c r="B118" s="380"/>
      <c r="C118" s="183" t="s">
        <v>69</v>
      </c>
      <c r="D118" s="266">
        <f t="shared" ref="D118:N118" si="44">SUM(D112:D117)</f>
        <v>0</v>
      </c>
      <c r="E118" s="267">
        <f t="shared" si="44"/>
        <v>0</v>
      </c>
      <c r="F118" s="268">
        <f t="shared" si="44"/>
        <v>0</v>
      </c>
      <c r="G118" s="268">
        <f t="shared" si="44"/>
        <v>0</v>
      </c>
      <c r="H118" s="268">
        <f t="shared" si="44"/>
        <v>0</v>
      </c>
      <c r="I118" s="268">
        <f t="shared" si="44"/>
        <v>0</v>
      </c>
      <c r="J118" s="268">
        <f t="shared" si="44"/>
        <v>0</v>
      </c>
      <c r="K118" s="270">
        <f t="shared" si="44"/>
        <v>0</v>
      </c>
      <c r="L118" s="273">
        <f t="shared" si="44"/>
        <v>47795.539999999994</v>
      </c>
      <c r="M118" s="271">
        <f t="shared" si="44"/>
        <v>0</v>
      </c>
      <c r="N118" s="269">
        <f t="shared" si="44"/>
        <v>0</v>
      </c>
      <c r="O118" s="170"/>
      <c r="P118" s="171"/>
      <c r="Q118" s="181"/>
    </row>
    <row r="119" spans="1:22" ht="15.6" thickTop="1" thickBot="1">
      <c r="A119" s="73"/>
      <c r="B119" s="380"/>
      <c r="C119" s="173" t="s">
        <v>45</v>
      </c>
      <c r="D119" s="281">
        <f>SUM(D112:D117)</f>
        <v>0</v>
      </c>
      <c r="E119" s="281">
        <f>SUM(E112:E117)</f>
        <v>0</v>
      </c>
      <c r="F119" s="381">
        <f>SUM(F118:K118)</f>
        <v>0</v>
      </c>
      <c r="G119" s="382"/>
      <c r="H119" s="382"/>
      <c r="I119" s="382"/>
      <c r="J119" s="382"/>
      <c r="K119" s="383"/>
      <c r="L119" s="282">
        <f>L118</f>
        <v>47795.539999999994</v>
      </c>
      <c r="M119" s="272">
        <f>SUM(M112:M117)</f>
        <v>0</v>
      </c>
      <c r="N119" s="272">
        <f>SUM(N112:N117)</f>
        <v>0</v>
      </c>
      <c r="O119" s="272">
        <f>SUM(O118)</f>
        <v>0</v>
      </c>
      <c r="P119" s="310">
        <f>SUM(P118)</f>
        <v>0</v>
      </c>
      <c r="Q119" s="174"/>
      <c r="T119" s="184">
        <f>$V$3+L7+L15+L23+L31+L39+L47+L55+L63+L71+L79+L87+L95+L103+L111+L119</f>
        <v>463194.39000000007</v>
      </c>
      <c r="U119" s="175" t="s">
        <v>63</v>
      </c>
    </row>
    <row r="120" spans="1:22" ht="15.6" thickTop="1" thickBot="1">
      <c r="A120" s="73" t="str">
        <f ca="1">OFFSET('0'!$B$112,($A$1-1)*10,$B120-1)</f>
        <v>SV</v>
      </c>
      <c r="B120" s="380">
        <f ca="1">OFFSET('0'!$B$111,($A$1-1)*10,15)</f>
        <v>16</v>
      </c>
      <c r="C120" s="182"/>
      <c r="D120" s="314"/>
      <c r="E120" s="315"/>
      <c r="F120" s="316"/>
      <c r="G120" s="316"/>
      <c r="H120" s="316"/>
      <c r="I120" s="316"/>
      <c r="J120" s="316"/>
      <c r="K120" s="316"/>
      <c r="L120" s="317">
        <v>39</v>
      </c>
      <c r="M120" s="315">
        <f t="shared" ref="M120:M125" si="45">SUM(D120-E120)</f>
        <v>0</v>
      </c>
      <c r="N120" s="305">
        <f t="shared" ref="N120:N125" si="46">SUM(E120,M120)</f>
        <v>0</v>
      </c>
      <c r="O120" s="305"/>
      <c r="P120" s="306"/>
      <c r="Q120" s="179"/>
      <c r="V120" s="175"/>
    </row>
    <row r="121" spans="1:22" ht="15.6" thickTop="1" thickBot="1">
      <c r="A121" s="73"/>
      <c r="B121" s="380"/>
      <c r="C121" s="180"/>
      <c r="D121" s="318"/>
      <c r="E121" s="319"/>
      <c r="F121" s="320"/>
      <c r="G121" s="320"/>
      <c r="H121" s="320"/>
      <c r="I121" s="320"/>
      <c r="J121" s="320"/>
      <c r="K121" s="320"/>
      <c r="L121" s="300">
        <v>9144</v>
      </c>
      <c r="M121" s="319">
        <f t="shared" si="45"/>
        <v>0</v>
      </c>
      <c r="N121" s="269">
        <f t="shared" si="46"/>
        <v>0</v>
      </c>
      <c r="O121" s="269"/>
      <c r="P121" s="290"/>
      <c r="Q121" s="181"/>
    </row>
    <row r="122" spans="1:22" ht="15.6" thickTop="1" thickBot="1">
      <c r="A122" s="73"/>
      <c r="B122" s="380"/>
      <c r="C122" s="180"/>
      <c r="D122" s="318"/>
      <c r="E122" s="319"/>
      <c r="F122" s="320"/>
      <c r="G122" s="320"/>
      <c r="H122" s="320"/>
      <c r="I122" s="320"/>
      <c r="J122" s="320"/>
      <c r="K122" s="320"/>
      <c r="L122" s="300">
        <v>190</v>
      </c>
      <c r="M122" s="319">
        <f t="shared" si="45"/>
        <v>0</v>
      </c>
      <c r="N122" s="269">
        <f t="shared" si="46"/>
        <v>0</v>
      </c>
      <c r="O122" s="269"/>
      <c r="P122" s="290"/>
      <c r="Q122" s="181"/>
    </row>
    <row r="123" spans="1:22" ht="15.6" thickTop="1" thickBot="1">
      <c r="A123" s="73"/>
      <c r="B123" s="380"/>
      <c r="C123" s="182"/>
      <c r="D123" s="318"/>
      <c r="E123" s="319"/>
      <c r="F123" s="320"/>
      <c r="G123" s="320"/>
      <c r="H123" s="320"/>
      <c r="I123" s="320"/>
      <c r="J123" s="320"/>
      <c r="K123" s="320"/>
      <c r="L123" s="300">
        <v>100</v>
      </c>
      <c r="M123" s="319">
        <f t="shared" si="45"/>
        <v>0</v>
      </c>
      <c r="N123" s="269">
        <f t="shared" si="46"/>
        <v>0</v>
      </c>
      <c r="O123" s="269"/>
      <c r="P123" s="290"/>
      <c r="Q123" s="181"/>
    </row>
    <row r="124" spans="1:22" ht="15.6" thickTop="1" thickBot="1">
      <c r="A124" s="73"/>
      <c r="B124" s="380"/>
      <c r="C124" s="182"/>
      <c r="D124" s="266"/>
      <c r="E124" s="267"/>
      <c r="F124" s="268"/>
      <c r="G124" s="268"/>
      <c r="H124" s="268"/>
      <c r="I124" s="268"/>
      <c r="J124" s="268"/>
      <c r="K124" s="268"/>
      <c r="L124" s="289"/>
      <c r="M124" s="267">
        <f t="shared" si="45"/>
        <v>0</v>
      </c>
      <c r="N124" s="279">
        <f t="shared" si="46"/>
        <v>0</v>
      </c>
      <c r="O124" s="279"/>
      <c r="P124" s="294"/>
      <c r="Q124" s="181"/>
    </row>
    <row r="125" spans="1:22" ht="15.6" thickTop="1" thickBot="1">
      <c r="A125" s="73"/>
      <c r="B125" s="380"/>
      <c r="C125" s="182"/>
      <c r="D125" s="266"/>
      <c r="E125" s="267"/>
      <c r="F125" s="268"/>
      <c r="G125" s="268"/>
      <c r="H125" s="268"/>
      <c r="I125" s="268"/>
      <c r="J125" s="268"/>
      <c r="K125" s="268"/>
      <c r="L125" s="291"/>
      <c r="M125" s="267">
        <f t="shared" si="45"/>
        <v>0</v>
      </c>
      <c r="N125" s="269">
        <f t="shared" si="46"/>
        <v>0</v>
      </c>
      <c r="O125" s="269"/>
      <c r="P125" s="290"/>
      <c r="Q125" s="181"/>
    </row>
    <row r="126" spans="1:22" ht="15.6" thickTop="1" thickBot="1">
      <c r="A126" s="73"/>
      <c r="B126" s="380"/>
      <c r="C126" s="183" t="s">
        <v>69</v>
      </c>
      <c r="D126" s="266">
        <f t="shared" ref="D126:N126" si="47">SUM(D120:D125)</f>
        <v>0</v>
      </c>
      <c r="E126" s="267">
        <f t="shared" si="47"/>
        <v>0</v>
      </c>
      <c r="F126" s="268">
        <f t="shared" si="47"/>
        <v>0</v>
      </c>
      <c r="G126" s="268">
        <f t="shared" si="47"/>
        <v>0</v>
      </c>
      <c r="H126" s="268">
        <f t="shared" si="47"/>
        <v>0</v>
      </c>
      <c r="I126" s="268">
        <f t="shared" si="47"/>
        <v>0</v>
      </c>
      <c r="J126" s="268">
        <f t="shared" si="47"/>
        <v>0</v>
      </c>
      <c r="K126" s="270">
        <f t="shared" si="47"/>
        <v>0</v>
      </c>
      <c r="L126" s="273">
        <f t="shared" si="47"/>
        <v>9473</v>
      </c>
      <c r="M126" s="271">
        <f t="shared" si="47"/>
        <v>0</v>
      </c>
      <c r="N126" s="269">
        <f t="shared" si="47"/>
        <v>0</v>
      </c>
      <c r="O126" s="170"/>
      <c r="P126" s="171"/>
      <c r="Q126" s="181"/>
      <c r="S126" s="176">
        <v>108</v>
      </c>
    </row>
    <row r="127" spans="1:22" ht="15.6" thickTop="1" thickBot="1">
      <c r="A127" s="73"/>
      <c r="B127" s="380"/>
      <c r="C127" s="167" t="s">
        <v>45</v>
      </c>
      <c r="D127" s="272">
        <f>SUM(D120:D125)</f>
        <v>0</v>
      </c>
      <c r="E127" s="272">
        <f>SUM(E120:E125)</f>
        <v>0</v>
      </c>
      <c r="F127" s="381">
        <f>SUM(F126:K126)</f>
        <v>0</v>
      </c>
      <c r="G127" s="382"/>
      <c r="H127" s="382"/>
      <c r="I127" s="382"/>
      <c r="J127" s="382"/>
      <c r="K127" s="383"/>
      <c r="L127" s="274">
        <f>L126</f>
        <v>9473</v>
      </c>
      <c r="M127" s="272">
        <f>SUM(M120:M125)</f>
        <v>0</v>
      </c>
      <c r="N127" s="272">
        <f>SUM(N120:N125)</f>
        <v>0</v>
      </c>
      <c r="O127" s="272">
        <f>SUM(O126)</f>
        <v>0</v>
      </c>
      <c r="P127" s="275">
        <f>SUM(P126)</f>
        <v>0</v>
      </c>
      <c r="Q127" s="168"/>
      <c r="S127" s="175" t="s">
        <v>61</v>
      </c>
      <c r="T127" s="184">
        <f>$V$3+L7+L15+L23+L31+L39+L47+L55+L63+L71+L79+L87+L95+L103+L111+L119+L127</f>
        <v>472667.39000000007</v>
      </c>
    </row>
    <row r="128" spans="1:22" ht="15.6" thickTop="1" thickBot="1">
      <c r="A128" s="73" t="str">
        <f ca="1">OFFSET('0'!$B$112,($A$1-1)*10,$B128-1)</f>
        <v>--</v>
      </c>
      <c r="B128" s="380">
        <f ca="1">OFFSET('0'!$B$111,($A$1-1)*10,16)</f>
        <v>17</v>
      </c>
      <c r="C128" s="182"/>
      <c r="D128" s="314"/>
      <c r="E128" s="315"/>
      <c r="F128" s="316"/>
      <c r="G128" s="316"/>
      <c r="H128" s="316"/>
      <c r="I128" s="316"/>
      <c r="J128" s="316"/>
      <c r="K128" s="316"/>
      <c r="L128" s="317"/>
      <c r="M128" s="315">
        <f t="shared" ref="M128:M133" si="48">SUM(D128-E128)</f>
        <v>0</v>
      </c>
      <c r="N128" s="305">
        <f t="shared" ref="N128:N133" si="49">SUM(E128,M128)</f>
        <v>0</v>
      </c>
      <c r="O128" s="305"/>
      <c r="P128" s="306"/>
      <c r="Q128" s="179"/>
    </row>
    <row r="129" spans="1:20" ht="15.6" thickTop="1" thickBot="1">
      <c r="A129" s="73"/>
      <c r="B129" s="380"/>
      <c r="C129" s="180"/>
      <c r="D129" s="323"/>
      <c r="E129" s="324"/>
      <c r="F129" s="325"/>
      <c r="G129" s="325"/>
      <c r="H129" s="325"/>
      <c r="I129" s="325"/>
      <c r="J129" s="325"/>
      <c r="K129" s="325"/>
      <c r="L129" s="326">
        <v>2383</v>
      </c>
      <c r="M129" s="324">
        <f t="shared" si="48"/>
        <v>0</v>
      </c>
      <c r="N129" s="269">
        <f t="shared" si="49"/>
        <v>0</v>
      </c>
      <c r="O129" s="269"/>
      <c r="P129" s="294"/>
      <c r="Q129" s="186"/>
    </row>
    <row r="130" spans="1:20" ht="15.6" thickTop="1" thickBot="1">
      <c r="A130" s="73"/>
      <c r="B130" s="380"/>
      <c r="C130" s="180"/>
      <c r="D130" s="318"/>
      <c r="E130" s="319"/>
      <c r="F130" s="320"/>
      <c r="G130" s="320"/>
      <c r="H130" s="320"/>
      <c r="I130" s="320"/>
      <c r="J130" s="320"/>
      <c r="K130" s="320"/>
      <c r="L130" s="300">
        <v>613</v>
      </c>
      <c r="M130" s="319">
        <f t="shared" si="48"/>
        <v>0</v>
      </c>
      <c r="N130" s="269">
        <f t="shared" si="49"/>
        <v>0</v>
      </c>
      <c r="O130" s="269"/>
      <c r="P130" s="290"/>
      <c r="Q130" s="181"/>
    </row>
    <row r="131" spans="1:20" ht="15.6" thickTop="1" thickBot="1">
      <c r="A131" s="73"/>
      <c r="B131" s="380"/>
      <c r="C131" s="182"/>
      <c r="D131" s="318"/>
      <c r="E131" s="319"/>
      <c r="F131" s="320"/>
      <c r="G131" s="320"/>
      <c r="H131" s="320"/>
      <c r="I131" s="320"/>
      <c r="J131" s="320"/>
      <c r="K131" s="320"/>
      <c r="L131" s="300">
        <v>92</v>
      </c>
      <c r="M131" s="319">
        <f t="shared" si="48"/>
        <v>0</v>
      </c>
      <c r="N131" s="269">
        <f t="shared" si="49"/>
        <v>0</v>
      </c>
      <c r="O131" s="269"/>
      <c r="P131" s="290"/>
      <c r="Q131" s="181"/>
    </row>
    <row r="132" spans="1:20" ht="15.6" thickTop="1" thickBot="1">
      <c r="A132" s="73"/>
      <c r="B132" s="380"/>
      <c r="C132" s="182"/>
      <c r="D132" s="266"/>
      <c r="E132" s="267"/>
      <c r="F132" s="268"/>
      <c r="G132" s="268"/>
      <c r="H132" s="268"/>
      <c r="I132" s="268"/>
      <c r="J132" s="268"/>
      <c r="K132" s="268"/>
      <c r="L132" s="289"/>
      <c r="M132" s="267">
        <f t="shared" si="48"/>
        <v>0</v>
      </c>
      <c r="N132" s="269">
        <f t="shared" si="49"/>
        <v>0</v>
      </c>
      <c r="O132" s="269"/>
      <c r="P132" s="290"/>
      <c r="Q132" s="181"/>
    </row>
    <row r="133" spans="1:20" ht="15.6" thickTop="1" thickBot="1">
      <c r="A133" s="73"/>
      <c r="B133" s="380"/>
      <c r="C133" s="182"/>
      <c r="D133" s="276"/>
      <c r="E133" s="277"/>
      <c r="F133" s="278"/>
      <c r="G133" s="278"/>
      <c r="H133" s="278"/>
      <c r="I133" s="278"/>
      <c r="J133" s="278"/>
      <c r="K133" s="278"/>
      <c r="L133" s="291"/>
      <c r="M133" s="277">
        <f t="shared" si="48"/>
        <v>0</v>
      </c>
      <c r="N133" s="280">
        <f t="shared" si="49"/>
        <v>0</v>
      </c>
      <c r="O133" s="280"/>
      <c r="P133" s="293"/>
      <c r="Q133" s="187"/>
    </row>
    <row r="134" spans="1:20" ht="15.6" thickTop="1" thickBot="1">
      <c r="A134" s="73"/>
      <c r="B134" s="380"/>
      <c r="C134" s="183" t="s">
        <v>69</v>
      </c>
      <c r="D134" s="276">
        <f t="shared" ref="D134:N134" si="50">SUM(D128:D133)</f>
        <v>0</v>
      </c>
      <c r="E134" s="277">
        <f t="shared" si="50"/>
        <v>0</v>
      </c>
      <c r="F134" s="278">
        <f t="shared" si="50"/>
        <v>0</v>
      </c>
      <c r="G134" s="278">
        <f t="shared" si="50"/>
        <v>0</v>
      </c>
      <c r="H134" s="278">
        <f t="shared" si="50"/>
        <v>0</v>
      </c>
      <c r="I134" s="278">
        <f t="shared" si="50"/>
        <v>0</v>
      </c>
      <c r="J134" s="278">
        <f t="shared" si="50"/>
        <v>0</v>
      </c>
      <c r="K134" s="308">
        <f t="shared" si="50"/>
        <v>0</v>
      </c>
      <c r="L134" s="273">
        <f t="shared" si="50"/>
        <v>3088</v>
      </c>
      <c r="M134" s="309">
        <f t="shared" si="50"/>
        <v>0</v>
      </c>
      <c r="N134" s="280">
        <f t="shared" si="50"/>
        <v>0</v>
      </c>
      <c r="O134" s="188"/>
      <c r="P134" s="189"/>
      <c r="Q134" s="187"/>
    </row>
    <row r="135" spans="1:20" ht="15.6" thickTop="1" thickBot="1">
      <c r="A135" s="73"/>
      <c r="B135" s="380"/>
      <c r="C135" s="167" t="s">
        <v>45</v>
      </c>
      <c r="D135" s="272">
        <f>SUM(D128:D133)</f>
        <v>0</v>
      </c>
      <c r="E135" s="272">
        <f>SUM(E128:E133)</f>
        <v>0</v>
      </c>
      <c r="F135" s="381">
        <f>SUM(F134:K134)</f>
        <v>0</v>
      </c>
      <c r="G135" s="382"/>
      <c r="H135" s="382"/>
      <c r="I135" s="382"/>
      <c r="J135" s="382"/>
      <c r="K135" s="383"/>
      <c r="L135" s="274">
        <f>L134</f>
        <v>3088</v>
      </c>
      <c r="M135" s="272">
        <f>SUM(M128:M133)</f>
        <v>0</v>
      </c>
      <c r="N135" s="272">
        <f>SUM(N128:N133)</f>
        <v>0</v>
      </c>
      <c r="O135" s="272">
        <f>SUM(O134)</f>
        <v>0</v>
      </c>
      <c r="P135" s="275">
        <f>SUM(P134)</f>
        <v>0</v>
      </c>
      <c r="Q135" s="168"/>
      <c r="T135" s="184">
        <f>$V$3+L7+L15+L23+L31+L39+L47+L55+L63+L71+L79+L87+L95+L103+L111+L119+L127+L135</f>
        <v>475755.39000000007</v>
      </c>
    </row>
    <row r="136" spans="1:20" ht="15.6" thickTop="1" thickBot="1">
      <c r="A136" s="73" t="str">
        <f ca="1">OFFSET('0'!$B$112,($A$1-1)*10,$B136-1)</f>
        <v>--</v>
      </c>
      <c r="B136" s="380">
        <f ca="1">OFFSET('0'!$B$111,($A$1-1)*10,17)</f>
        <v>18</v>
      </c>
      <c r="C136" s="182"/>
      <c r="D136" s="314"/>
      <c r="E136" s="315"/>
      <c r="F136" s="316"/>
      <c r="G136" s="316"/>
      <c r="H136" s="316"/>
      <c r="I136" s="316"/>
      <c r="J136" s="316"/>
      <c r="K136" s="316"/>
      <c r="L136" s="317"/>
      <c r="M136" s="315">
        <f t="shared" ref="M136:M141" si="51">SUM(D136-E136)</f>
        <v>0</v>
      </c>
      <c r="N136" s="305">
        <f t="shared" ref="N136:N141" si="52">SUM(E136,M136)</f>
        <v>0</v>
      </c>
      <c r="O136" s="305"/>
      <c r="P136" s="306"/>
      <c r="Q136" s="179"/>
    </row>
    <row r="137" spans="1:20" ht="15.6" thickTop="1" thickBot="1">
      <c r="A137" s="73"/>
      <c r="B137" s="380"/>
      <c r="C137" s="180"/>
      <c r="D137" s="323"/>
      <c r="E137" s="324"/>
      <c r="F137" s="325"/>
      <c r="G137" s="325"/>
      <c r="H137" s="325"/>
      <c r="I137" s="325"/>
      <c r="J137" s="325"/>
      <c r="K137" s="325"/>
      <c r="L137" s="326">
        <v>240</v>
      </c>
      <c r="M137" s="324">
        <f t="shared" si="51"/>
        <v>0</v>
      </c>
      <c r="N137" s="269">
        <f t="shared" si="52"/>
        <v>0</v>
      </c>
      <c r="O137" s="269"/>
      <c r="P137" s="294"/>
      <c r="Q137" s="186"/>
    </row>
    <row r="138" spans="1:20" ht="15.6" thickTop="1" thickBot="1">
      <c r="A138" s="73"/>
      <c r="B138" s="380"/>
      <c r="C138" s="180"/>
      <c r="D138" s="323"/>
      <c r="E138" s="324"/>
      <c r="F138" s="325"/>
      <c r="G138" s="325"/>
      <c r="H138" s="325"/>
      <c r="I138" s="325"/>
      <c r="J138" s="325"/>
      <c r="K138" s="325"/>
      <c r="L138" s="326">
        <v>15724</v>
      </c>
      <c r="M138" s="324">
        <f t="shared" si="51"/>
        <v>0</v>
      </c>
      <c r="N138" s="269">
        <f t="shared" si="52"/>
        <v>0</v>
      </c>
      <c r="O138" s="269"/>
      <c r="P138" s="294"/>
      <c r="Q138" s="186"/>
    </row>
    <row r="139" spans="1:20" ht="15.6" thickTop="1" thickBot="1">
      <c r="A139" s="73"/>
      <c r="B139" s="380"/>
      <c r="C139" s="182"/>
      <c r="D139" s="318"/>
      <c r="E139" s="319"/>
      <c r="F139" s="320"/>
      <c r="G139" s="320"/>
      <c r="H139" s="320"/>
      <c r="I139" s="320"/>
      <c r="J139" s="320"/>
      <c r="K139" s="320"/>
      <c r="L139" s="300">
        <v>3486.09</v>
      </c>
      <c r="M139" s="319">
        <f t="shared" si="51"/>
        <v>0</v>
      </c>
      <c r="N139" s="269">
        <f t="shared" si="52"/>
        <v>0</v>
      </c>
      <c r="O139" s="269"/>
      <c r="P139" s="290"/>
      <c r="Q139" s="181"/>
    </row>
    <row r="140" spans="1:20" s="162" customFormat="1" ht="15.6" thickTop="1" thickBot="1">
      <c r="A140" s="74"/>
      <c r="B140" s="380"/>
      <c r="C140" s="182"/>
      <c r="D140" s="318"/>
      <c r="E140" s="319"/>
      <c r="F140" s="320"/>
      <c r="G140" s="320"/>
      <c r="H140" s="320"/>
      <c r="I140" s="320"/>
      <c r="J140" s="320"/>
      <c r="K140" s="320"/>
      <c r="L140" s="300">
        <v>505</v>
      </c>
      <c r="M140" s="319">
        <f t="shared" si="51"/>
        <v>0</v>
      </c>
      <c r="N140" s="269">
        <f t="shared" si="52"/>
        <v>0</v>
      </c>
      <c r="O140" s="269"/>
      <c r="P140" s="290"/>
      <c r="Q140" s="181"/>
    </row>
    <row r="141" spans="1:20" s="162" customFormat="1" ht="15.6" thickTop="1" thickBot="1">
      <c r="A141" s="74"/>
      <c r="B141" s="380"/>
      <c r="C141" s="182"/>
      <c r="D141" s="266"/>
      <c r="E141" s="267"/>
      <c r="F141" s="268"/>
      <c r="G141" s="268"/>
      <c r="H141" s="268"/>
      <c r="I141" s="268"/>
      <c r="J141" s="268"/>
      <c r="K141" s="268"/>
      <c r="L141" s="291"/>
      <c r="M141" s="267">
        <f t="shared" si="51"/>
        <v>0</v>
      </c>
      <c r="N141" s="269">
        <f t="shared" si="52"/>
        <v>0</v>
      </c>
      <c r="O141" s="269"/>
      <c r="P141" s="290"/>
      <c r="Q141" s="181"/>
    </row>
    <row r="142" spans="1:20" ht="15.6" thickTop="1" thickBot="1">
      <c r="A142" s="73"/>
      <c r="B142" s="380"/>
      <c r="C142" s="183" t="s">
        <v>69</v>
      </c>
      <c r="D142" s="266">
        <f t="shared" ref="D142:N142" si="53">SUM(D136:D141)</f>
        <v>0</v>
      </c>
      <c r="E142" s="267">
        <f t="shared" si="53"/>
        <v>0</v>
      </c>
      <c r="F142" s="268">
        <f t="shared" si="53"/>
        <v>0</v>
      </c>
      <c r="G142" s="268">
        <f t="shared" si="53"/>
        <v>0</v>
      </c>
      <c r="H142" s="268">
        <f t="shared" si="53"/>
        <v>0</v>
      </c>
      <c r="I142" s="268">
        <f t="shared" si="53"/>
        <v>0</v>
      </c>
      <c r="J142" s="268">
        <f t="shared" si="53"/>
        <v>0</v>
      </c>
      <c r="K142" s="270">
        <f t="shared" si="53"/>
        <v>0</v>
      </c>
      <c r="L142" s="273">
        <f t="shared" si="53"/>
        <v>19955.09</v>
      </c>
      <c r="M142" s="271">
        <f t="shared" si="53"/>
        <v>0</v>
      </c>
      <c r="N142" s="269">
        <f t="shared" si="53"/>
        <v>0</v>
      </c>
      <c r="O142" s="170"/>
      <c r="P142" s="171"/>
      <c r="Q142" s="181"/>
    </row>
    <row r="143" spans="1:20" ht="15.6" thickTop="1" thickBot="1">
      <c r="A143" s="73"/>
      <c r="B143" s="380"/>
      <c r="C143" s="167" t="s">
        <v>45</v>
      </c>
      <c r="D143" s="272">
        <f>SUM(D136:D141)</f>
        <v>0</v>
      </c>
      <c r="E143" s="272">
        <f>SUM(E136:E141)</f>
        <v>0</v>
      </c>
      <c r="F143" s="381">
        <f>SUM(F142:K142)</f>
        <v>0</v>
      </c>
      <c r="G143" s="382"/>
      <c r="H143" s="382"/>
      <c r="I143" s="382"/>
      <c r="J143" s="382"/>
      <c r="K143" s="383"/>
      <c r="L143" s="274">
        <f>L142</f>
        <v>19955.09</v>
      </c>
      <c r="M143" s="272">
        <f>SUM(M136:M141)</f>
        <v>0</v>
      </c>
      <c r="N143" s="272">
        <f>SUM(N136:N141)</f>
        <v>0</v>
      </c>
      <c r="O143" s="272">
        <f>SUM(O142)</f>
        <v>0</v>
      </c>
      <c r="P143" s="275">
        <f>SUM(P142)</f>
        <v>0</v>
      </c>
      <c r="Q143" s="168"/>
      <c r="T143" s="184">
        <f>$V$3+L7+L15+L23+L31+L39+L47+L55+L63+L71+L79+L87+L95+L103+L111+L119+L127+L135+L143</f>
        <v>495710.4800000001</v>
      </c>
    </row>
    <row r="144" spans="1:20" ht="15.6" thickTop="1" thickBot="1">
      <c r="A144" s="73" t="str">
        <f ca="1">OFFSET('0'!$B$112,($A$1-1)*10,$B144-1)</f>
        <v>--</v>
      </c>
      <c r="B144" s="380">
        <f ca="1">OFFSET('0'!$B$111,($A$1-1)*10,18)</f>
        <v>19</v>
      </c>
      <c r="C144" s="182"/>
      <c r="D144" s="314"/>
      <c r="E144" s="315"/>
      <c r="F144" s="316"/>
      <c r="G144" s="316"/>
      <c r="H144" s="316"/>
      <c r="I144" s="316"/>
      <c r="J144" s="316"/>
      <c r="K144" s="316"/>
      <c r="L144" s="317">
        <v>2938.4</v>
      </c>
      <c r="M144" s="315">
        <f t="shared" ref="M144:M149" si="54">SUM(D144-E144)</f>
        <v>0</v>
      </c>
      <c r="N144" s="305">
        <f t="shared" ref="N144:N149" si="55">SUM(E144,M144)</f>
        <v>0</v>
      </c>
      <c r="O144" s="305"/>
      <c r="P144" s="296"/>
      <c r="Q144" s="179"/>
    </row>
    <row r="145" spans="1:20" s="162" customFormat="1" ht="15.6" thickTop="1" thickBot="1">
      <c r="A145" s="74"/>
      <c r="B145" s="380"/>
      <c r="C145" s="180"/>
      <c r="D145" s="323"/>
      <c r="E145" s="324"/>
      <c r="F145" s="325"/>
      <c r="G145" s="325"/>
      <c r="H145" s="325"/>
      <c r="I145" s="325"/>
      <c r="J145" s="325"/>
      <c r="K145" s="325"/>
      <c r="L145" s="326">
        <v>66260.89</v>
      </c>
      <c r="M145" s="324">
        <f t="shared" si="54"/>
        <v>0</v>
      </c>
      <c r="N145" s="269">
        <f t="shared" si="55"/>
        <v>0</v>
      </c>
      <c r="O145" s="269"/>
      <c r="P145" s="296"/>
      <c r="Q145" s="186"/>
    </row>
    <row r="146" spans="1:20" ht="15.6" thickTop="1" thickBot="1">
      <c r="A146" s="73"/>
      <c r="B146" s="380"/>
      <c r="C146" s="180"/>
      <c r="D146" s="323"/>
      <c r="E146" s="324"/>
      <c r="F146" s="325"/>
      <c r="G146" s="325"/>
      <c r="H146" s="325"/>
      <c r="I146" s="325"/>
      <c r="J146" s="325"/>
      <c r="K146" s="325"/>
      <c r="L146" s="326">
        <v>23476</v>
      </c>
      <c r="M146" s="324">
        <f t="shared" si="54"/>
        <v>0</v>
      </c>
      <c r="N146" s="269">
        <f t="shared" si="55"/>
        <v>0</v>
      </c>
      <c r="O146" s="269"/>
      <c r="P146" s="294"/>
      <c r="Q146" s="186"/>
    </row>
    <row r="147" spans="1:20" ht="15.6" thickTop="1" thickBot="1">
      <c r="A147" s="73"/>
      <c r="B147" s="380"/>
      <c r="C147" s="182"/>
      <c r="D147" s="318"/>
      <c r="E147" s="319"/>
      <c r="F147" s="320"/>
      <c r="G147" s="320"/>
      <c r="H147" s="320"/>
      <c r="I147" s="320"/>
      <c r="J147" s="320"/>
      <c r="K147" s="320"/>
      <c r="L147" s="300">
        <v>1414</v>
      </c>
      <c r="M147" s="319">
        <f t="shared" si="54"/>
        <v>0</v>
      </c>
      <c r="N147" s="269">
        <f t="shared" si="55"/>
        <v>0</v>
      </c>
      <c r="O147" s="269"/>
      <c r="P147" s="290"/>
      <c r="Q147" s="181"/>
    </row>
    <row r="148" spans="1:20" ht="15.6" thickTop="1" thickBot="1">
      <c r="A148" s="73"/>
      <c r="B148" s="380"/>
      <c r="C148" s="182"/>
      <c r="D148" s="266"/>
      <c r="E148" s="267"/>
      <c r="F148" s="268"/>
      <c r="G148" s="268"/>
      <c r="H148" s="268"/>
      <c r="I148" s="268"/>
      <c r="J148" s="268"/>
      <c r="K148" s="268"/>
      <c r="L148" s="289"/>
      <c r="M148" s="267">
        <f t="shared" si="54"/>
        <v>0</v>
      </c>
      <c r="N148" s="269">
        <f t="shared" si="55"/>
        <v>0</v>
      </c>
      <c r="O148" s="269"/>
      <c r="P148" s="290"/>
      <c r="Q148" s="79" t="s">
        <v>70</v>
      </c>
    </row>
    <row r="149" spans="1:20" ht="15.6" thickTop="1" thickBot="1">
      <c r="A149" s="73"/>
      <c r="B149" s="380"/>
      <c r="C149" s="182"/>
      <c r="D149" s="266"/>
      <c r="E149" s="267"/>
      <c r="F149" s="268"/>
      <c r="G149" s="268"/>
      <c r="H149" s="268"/>
      <c r="I149" s="268"/>
      <c r="J149" s="268"/>
      <c r="K149" s="268"/>
      <c r="L149" s="291"/>
      <c r="M149" s="267">
        <f t="shared" si="54"/>
        <v>0</v>
      </c>
      <c r="N149" s="269">
        <f t="shared" si="55"/>
        <v>0</v>
      </c>
      <c r="O149" s="269"/>
      <c r="P149" s="290"/>
      <c r="Q149" s="181"/>
    </row>
    <row r="150" spans="1:20" ht="15.6" thickTop="1" thickBot="1">
      <c r="A150" s="73"/>
      <c r="B150" s="380"/>
      <c r="C150" s="183" t="s">
        <v>69</v>
      </c>
      <c r="D150" s="266">
        <f t="shared" ref="D150:N150" si="56">SUM(D144:D149)</f>
        <v>0</v>
      </c>
      <c r="E150" s="267">
        <f t="shared" si="56"/>
        <v>0</v>
      </c>
      <c r="F150" s="268">
        <f t="shared" si="56"/>
        <v>0</v>
      </c>
      <c r="G150" s="268">
        <f t="shared" si="56"/>
        <v>0</v>
      </c>
      <c r="H150" s="268">
        <f t="shared" si="56"/>
        <v>0</v>
      </c>
      <c r="I150" s="268">
        <f t="shared" si="56"/>
        <v>0</v>
      </c>
      <c r="J150" s="268">
        <f t="shared" si="56"/>
        <v>0</v>
      </c>
      <c r="K150" s="270">
        <f t="shared" si="56"/>
        <v>0</v>
      </c>
      <c r="L150" s="273">
        <f t="shared" si="56"/>
        <v>94089.29</v>
      </c>
      <c r="M150" s="271">
        <f t="shared" si="56"/>
        <v>0</v>
      </c>
      <c r="N150" s="269">
        <f t="shared" si="56"/>
        <v>0</v>
      </c>
      <c r="O150" s="170"/>
      <c r="P150" s="171"/>
      <c r="Q150" s="181"/>
    </row>
    <row r="151" spans="1:20" ht="15.6" thickTop="1" thickBot="1">
      <c r="A151" s="73"/>
      <c r="B151" s="380"/>
      <c r="C151" s="167" t="s">
        <v>45</v>
      </c>
      <c r="D151" s="272">
        <f>SUM(D144:D149)</f>
        <v>0</v>
      </c>
      <c r="E151" s="272">
        <f>SUM(E144:E149)</f>
        <v>0</v>
      </c>
      <c r="F151" s="381">
        <f>SUM(F150:K150)</f>
        <v>0</v>
      </c>
      <c r="G151" s="382"/>
      <c r="H151" s="382"/>
      <c r="I151" s="382"/>
      <c r="J151" s="382"/>
      <c r="K151" s="383"/>
      <c r="L151" s="274">
        <f>L150</f>
        <v>94089.29</v>
      </c>
      <c r="M151" s="272">
        <f>SUM(M144:M149)</f>
        <v>0</v>
      </c>
      <c r="N151" s="272">
        <f>SUM(N144:N149)</f>
        <v>0</v>
      </c>
      <c r="O151" s="272">
        <f>SUM(O150)</f>
        <v>0</v>
      </c>
      <c r="P151" s="275">
        <f>SUM(P150)</f>
        <v>0</v>
      </c>
      <c r="Q151" s="168"/>
      <c r="T151" s="184">
        <f>$V$3+L7+L15+L23+L31+L39+L47+L55+L63+L71+L79+L87+L95+L103+L111+L119+L127+L135+L143+L151</f>
        <v>589799.77000000014</v>
      </c>
    </row>
    <row r="152" spans="1:20" ht="15.6" thickTop="1" thickBot="1">
      <c r="A152" s="73" t="str">
        <f ca="1">OFFSET('0'!$B$112,($A$1-1)*10,$B152-1)</f>
        <v>--</v>
      </c>
      <c r="B152" s="380">
        <f ca="1">OFFSET('0'!$B$111,($A$1-1)*10,19)</f>
        <v>20</v>
      </c>
      <c r="C152" s="182"/>
      <c r="D152" s="314"/>
      <c r="E152" s="315"/>
      <c r="F152" s="316"/>
      <c r="G152" s="316"/>
      <c r="H152" s="316"/>
      <c r="I152" s="316"/>
      <c r="J152" s="316"/>
      <c r="K152" s="316"/>
      <c r="L152" s="317">
        <v>255</v>
      </c>
      <c r="M152" s="315">
        <f t="shared" ref="M152:M157" si="57">SUM(D152-E152)</f>
        <v>0</v>
      </c>
      <c r="N152" s="305">
        <f t="shared" ref="N152:N157" si="58">SUM(E152,M152)</f>
        <v>0</v>
      </c>
      <c r="O152" s="305"/>
      <c r="P152" s="296"/>
      <c r="Q152" s="179"/>
    </row>
    <row r="153" spans="1:20" ht="15.6" thickTop="1" thickBot="1">
      <c r="A153" s="73"/>
      <c r="B153" s="380"/>
      <c r="C153" s="49" t="s">
        <v>55</v>
      </c>
      <c r="D153" s="323">
        <v>3</v>
      </c>
      <c r="E153" s="324">
        <v>2</v>
      </c>
      <c r="F153" s="325">
        <v>1</v>
      </c>
      <c r="G153" s="325"/>
      <c r="H153" s="325"/>
      <c r="I153" s="325">
        <v>1</v>
      </c>
      <c r="J153" s="325"/>
      <c r="K153" s="325"/>
      <c r="L153" s="326">
        <v>255</v>
      </c>
      <c r="M153" s="324">
        <f t="shared" si="57"/>
        <v>1</v>
      </c>
      <c r="N153" s="269">
        <f t="shared" si="58"/>
        <v>3</v>
      </c>
      <c r="O153" s="269"/>
      <c r="P153" s="296"/>
      <c r="Q153" s="186"/>
    </row>
    <row r="154" spans="1:20" s="162" customFormat="1" ht="15.6" thickTop="1" thickBot="1">
      <c r="A154" s="74"/>
      <c r="B154" s="380"/>
      <c r="C154" s="49" t="s">
        <v>48</v>
      </c>
      <c r="D154" s="323">
        <v>25</v>
      </c>
      <c r="E154" s="324">
        <v>25</v>
      </c>
      <c r="F154" s="325">
        <v>3</v>
      </c>
      <c r="G154" s="325"/>
      <c r="H154" s="325"/>
      <c r="I154" s="325"/>
      <c r="J154" s="325">
        <v>1</v>
      </c>
      <c r="K154" s="325"/>
      <c r="L154" s="326">
        <v>4608</v>
      </c>
      <c r="M154" s="324">
        <f t="shared" si="57"/>
        <v>0</v>
      </c>
      <c r="N154" s="269">
        <f t="shared" si="58"/>
        <v>25</v>
      </c>
      <c r="O154" s="269"/>
      <c r="P154" s="296"/>
      <c r="Q154" s="186"/>
    </row>
    <row r="155" spans="1:20" ht="15.6" thickTop="1" thickBot="1">
      <c r="A155" s="73"/>
      <c r="B155" s="380"/>
      <c r="C155" s="49" t="s">
        <v>49</v>
      </c>
      <c r="D155" s="318">
        <v>25</v>
      </c>
      <c r="E155" s="319">
        <v>24</v>
      </c>
      <c r="F155" s="320">
        <v>2</v>
      </c>
      <c r="G155" s="320"/>
      <c r="H155" s="320"/>
      <c r="I155" s="320">
        <v>1</v>
      </c>
      <c r="J155" s="320">
        <v>1</v>
      </c>
      <c r="K155" s="320"/>
      <c r="L155" s="300">
        <v>6464.78</v>
      </c>
      <c r="M155" s="319">
        <f t="shared" si="57"/>
        <v>1</v>
      </c>
      <c r="N155" s="269">
        <f t="shared" si="58"/>
        <v>25</v>
      </c>
      <c r="O155" s="269"/>
      <c r="P155" s="296"/>
      <c r="Q155" s="181"/>
    </row>
    <row r="156" spans="1:20" ht="15.6" thickTop="1" thickBot="1">
      <c r="A156" s="73"/>
      <c r="B156" s="380"/>
      <c r="C156" s="182"/>
      <c r="D156" s="318"/>
      <c r="E156" s="319"/>
      <c r="F156" s="320"/>
      <c r="G156" s="320"/>
      <c r="H156" s="320"/>
      <c r="I156" s="320"/>
      <c r="J156" s="320"/>
      <c r="K156" s="320"/>
      <c r="L156" s="300">
        <v>30000</v>
      </c>
      <c r="M156" s="319">
        <f t="shared" si="57"/>
        <v>0</v>
      </c>
      <c r="N156" s="269">
        <f t="shared" si="58"/>
        <v>0</v>
      </c>
      <c r="O156" s="269"/>
      <c r="P156" s="290"/>
      <c r="Q156" s="181"/>
    </row>
    <row r="157" spans="1:20" ht="15.6" thickTop="1" thickBot="1">
      <c r="A157" s="73"/>
      <c r="B157" s="380"/>
      <c r="C157" s="182"/>
      <c r="D157" s="318"/>
      <c r="E157" s="319"/>
      <c r="F157" s="320"/>
      <c r="G157" s="320"/>
      <c r="H157" s="320"/>
      <c r="I157" s="320"/>
      <c r="J157" s="320"/>
      <c r="K157" s="320"/>
      <c r="L157" s="300">
        <v>135905</v>
      </c>
      <c r="M157" s="319">
        <f t="shared" si="57"/>
        <v>0</v>
      </c>
      <c r="N157" s="269">
        <f t="shared" si="58"/>
        <v>0</v>
      </c>
      <c r="O157" s="269"/>
      <c r="P157" s="290"/>
      <c r="Q157" s="181"/>
    </row>
    <row r="158" spans="1:20" ht="15.6" thickTop="1" thickBot="1">
      <c r="A158" s="73"/>
      <c r="B158" s="380"/>
      <c r="C158" s="183" t="s">
        <v>69</v>
      </c>
      <c r="D158" s="266">
        <f t="shared" ref="D158:N158" si="59">SUM(D152:D157)</f>
        <v>53</v>
      </c>
      <c r="E158" s="267">
        <f t="shared" si="59"/>
        <v>51</v>
      </c>
      <c r="F158" s="268">
        <f t="shared" si="59"/>
        <v>6</v>
      </c>
      <c r="G158" s="268">
        <f t="shared" si="59"/>
        <v>0</v>
      </c>
      <c r="H158" s="268">
        <f t="shared" si="59"/>
        <v>0</v>
      </c>
      <c r="I158" s="268">
        <f t="shared" si="59"/>
        <v>2</v>
      </c>
      <c r="J158" s="268">
        <f t="shared" si="59"/>
        <v>2</v>
      </c>
      <c r="K158" s="270">
        <f t="shared" si="59"/>
        <v>0</v>
      </c>
      <c r="L158" s="273">
        <f t="shared" si="59"/>
        <v>177487.78</v>
      </c>
      <c r="M158" s="271">
        <f t="shared" si="59"/>
        <v>2</v>
      </c>
      <c r="N158" s="269">
        <f t="shared" si="59"/>
        <v>53</v>
      </c>
      <c r="O158" s="170"/>
      <c r="P158" s="171"/>
      <c r="Q158" s="181"/>
    </row>
    <row r="159" spans="1:20" ht="15.6" thickTop="1" thickBot="1">
      <c r="A159" s="73"/>
      <c r="B159" s="380"/>
      <c r="C159" s="167" t="s">
        <v>45</v>
      </c>
      <c r="D159" s="272">
        <f>SUM(D152:D157)</f>
        <v>53</v>
      </c>
      <c r="E159" s="272">
        <f>SUM(E152:E157)</f>
        <v>51</v>
      </c>
      <c r="F159" s="381">
        <f>SUM(F158:K158)</f>
        <v>10</v>
      </c>
      <c r="G159" s="382"/>
      <c r="H159" s="382"/>
      <c r="I159" s="382"/>
      <c r="J159" s="382"/>
      <c r="K159" s="383"/>
      <c r="L159" s="274">
        <f>L158</f>
        <v>177487.78</v>
      </c>
      <c r="M159" s="272">
        <f>SUM(M152:M157)</f>
        <v>2</v>
      </c>
      <c r="N159" s="272">
        <f>SUM(N152:N157)</f>
        <v>53</v>
      </c>
      <c r="O159" s="272">
        <f>SUM(O158)</f>
        <v>0</v>
      </c>
      <c r="P159" s="275">
        <f>SUM(P158)</f>
        <v>0</v>
      </c>
      <c r="Q159" s="168"/>
      <c r="T159" s="184">
        <f>$V$3+L7+L15+L23+L31+L39+L47+L55+L63+L71+L79+L87+L95+L103+L111+L119+L127+L135+L143+L151+L159</f>
        <v>767287.55000000016</v>
      </c>
    </row>
    <row r="160" spans="1:20" ht="15.6" thickTop="1" thickBot="1">
      <c r="A160" s="73" t="str">
        <f ca="1">OFFSET('0'!$B$112,($A$1-1)*10,$B160-1)</f>
        <v>--</v>
      </c>
      <c r="B160" s="380">
        <f ca="1">OFFSET('0'!$B$111,($A$1-1)*10,20)</f>
        <v>21</v>
      </c>
      <c r="C160" s="182" t="s">
        <v>47</v>
      </c>
      <c r="D160" s="314">
        <v>5</v>
      </c>
      <c r="E160" s="315">
        <v>5</v>
      </c>
      <c r="F160" s="316">
        <v>2</v>
      </c>
      <c r="G160" s="316"/>
      <c r="H160" s="316"/>
      <c r="I160" s="316"/>
      <c r="J160" s="316">
        <v>1</v>
      </c>
      <c r="K160" s="316"/>
      <c r="L160" s="317">
        <v>150</v>
      </c>
      <c r="M160" s="315">
        <f t="shared" ref="M160:M166" si="60">SUM(D160-E160)</f>
        <v>0</v>
      </c>
      <c r="N160" s="305">
        <f t="shared" ref="N160:N166" si="61">SUM(E160,M160)</f>
        <v>5</v>
      </c>
      <c r="O160" s="305"/>
      <c r="P160" s="296"/>
      <c r="Q160" s="179"/>
    </row>
    <row r="161" spans="1:22" ht="15.6" thickTop="1" thickBot="1">
      <c r="A161" s="73"/>
      <c r="B161" s="380"/>
      <c r="C161" s="180" t="s">
        <v>50</v>
      </c>
      <c r="D161" s="323">
        <v>24</v>
      </c>
      <c r="E161" s="324">
        <v>23</v>
      </c>
      <c r="F161" s="325">
        <v>4</v>
      </c>
      <c r="G161" s="325"/>
      <c r="H161" s="325"/>
      <c r="I161" s="325"/>
      <c r="J161" s="325">
        <v>4</v>
      </c>
      <c r="K161" s="325"/>
      <c r="L161" s="326">
        <v>2072</v>
      </c>
      <c r="M161" s="324">
        <f t="shared" si="60"/>
        <v>1</v>
      </c>
      <c r="N161" s="269">
        <f t="shared" si="61"/>
        <v>24</v>
      </c>
      <c r="O161" s="269"/>
      <c r="P161" s="296"/>
      <c r="Q161" s="186"/>
    </row>
    <row r="162" spans="1:22" s="162" customFormat="1" ht="15.6" thickTop="1" thickBot="1">
      <c r="A162" s="74"/>
      <c r="B162" s="380"/>
      <c r="C162" s="180" t="s">
        <v>46</v>
      </c>
      <c r="D162" s="323">
        <v>43</v>
      </c>
      <c r="E162" s="324">
        <v>42</v>
      </c>
      <c r="F162" s="325">
        <v>4</v>
      </c>
      <c r="G162" s="325"/>
      <c r="H162" s="325"/>
      <c r="I162" s="325"/>
      <c r="J162" s="325">
        <v>3</v>
      </c>
      <c r="K162" s="325"/>
      <c r="L162" s="326">
        <v>18689.98</v>
      </c>
      <c r="M162" s="324">
        <f t="shared" si="60"/>
        <v>1</v>
      </c>
      <c r="N162" s="269">
        <f t="shared" si="61"/>
        <v>43</v>
      </c>
      <c r="O162" s="269"/>
      <c r="P162" s="294"/>
      <c r="Q162" s="186"/>
    </row>
    <row r="163" spans="1:22" ht="15.6" thickTop="1" thickBot="1">
      <c r="A163" s="73"/>
      <c r="B163" s="380"/>
      <c r="C163" s="182" t="s">
        <v>60</v>
      </c>
      <c r="D163" s="318">
        <v>17</v>
      </c>
      <c r="E163" s="319">
        <v>16</v>
      </c>
      <c r="F163" s="320">
        <v>3</v>
      </c>
      <c r="G163" s="320"/>
      <c r="H163" s="320"/>
      <c r="I163" s="320">
        <v>1</v>
      </c>
      <c r="J163" s="320">
        <v>1</v>
      </c>
      <c r="K163" s="320"/>
      <c r="L163" s="300">
        <v>3388</v>
      </c>
      <c r="M163" s="319">
        <f t="shared" si="60"/>
        <v>1</v>
      </c>
      <c r="N163" s="269">
        <f t="shared" si="61"/>
        <v>17</v>
      </c>
      <c r="O163" s="269"/>
      <c r="P163" s="290"/>
      <c r="Q163" s="181"/>
    </row>
    <row r="164" spans="1:22" ht="15.6" thickTop="1" thickBot="1">
      <c r="A164" s="73"/>
      <c r="B164" s="380"/>
      <c r="C164" s="182" t="s">
        <v>65</v>
      </c>
      <c r="D164" s="318">
        <v>1</v>
      </c>
      <c r="E164" s="319">
        <v>1</v>
      </c>
      <c r="F164" s="320"/>
      <c r="G164" s="320"/>
      <c r="H164" s="320"/>
      <c r="I164" s="320"/>
      <c r="J164" s="320"/>
      <c r="K164" s="320"/>
      <c r="L164" s="300">
        <v>160386</v>
      </c>
      <c r="M164" s="319">
        <f t="shared" si="60"/>
        <v>0</v>
      </c>
      <c r="N164" s="269">
        <f t="shared" si="61"/>
        <v>1</v>
      </c>
      <c r="O164" s="269"/>
      <c r="P164" s="290"/>
      <c r="Q164" s="181"/>
    </row>
    <row r="165" spans="1:22" ht="15.6" thickTop="1" thickBot="1">
      <c r="A165" s="73"/>
      <c r="B165" s="380"/>
      <c r="C165" s="182" t="s">
        <v>67</v>
      </c>
      <c r="D165" s="318">
        <v>1</v>
      </c>
      <c r="E165" s="319">
        <v>1</v>
      </c>
      <c r="F165" s="320"/>
      <c r="G165" s="320"/>
      <c r="H165" s="320"/>
      <c r="I165" s="320"/>
      <c r="J165" s="320"/>
      <c r="K165" s="320"/>
      <c r="L165" s="300">
        <v>9080</v>
      </c>
      <c r="M165" s="319">
        <f t="shared" si="60"/>
        <v>0</v>
      </c>
      <c r="N165" s="269">
        <f t="shared" si="61"/>
        <v>1</v>
      </c>
      <c r="O165" s="269"/>
      <c r="P165" s="290"/>
      <c r="Q165" s="181"/>
    </row>
    <row r="166" spans="1:22" ht="15.6" thickTop="1" thickBot="1">
      <c r="A166" s="73"/>
      <c r="B166" s="380"/>
      <c r="C166" s="182" t="s">
        <v>68</v>
      </c>
      <c r="D166" s="318">
        <v>1</v>
      </c>
      <c r="E166" s="319">
        <v>1</v>
      </c>
      <c r="F166" s="320"/>
      <c r="G166" s="320"/>
      <c r="H166" s="320"/>
      <c r="I166" s="320"/>
      <c r="J166" s="320"/>
      <c r="K166" s="320"/>
      <c r="L166" s="300">
        <v>989</v>
      </c>
      <c r="M166" s="319">
        <f t="shared" si="60"/>
        <v>0</v>
      </c>
      <c r="N166" s="269">
        <f t="shared" si="61"/>
        <v>1</v>
      </c>
      <c r="O166" s="269"/>
      <c r="P166" s="290"/>
      <c r="Q166" s="181"/>
    </row>
    <row r="167" spans="1:22" ht="15.6" thickTop="1" thickBot="1">
      <c r="A167" s="73"/>
      <c r="B167" s="380"/>
      <c r="C167" s="183" t="s">
        <v>69</v>
      </c>
      <c r="D167" s="266">
        <f t="shared" ref="D167:N167" si="62">SUM(D160:D166)</f>
        <v>92</v>
      </c>
      <c r="E167" s="267">
        <f t="shared" si="62"/>
        <v>89</v>
      </c>
      <c r="F167" s="268">
        <f t="shared" si="62"/>
        <v>13</v>
      </c>
      <c r="G167" s="268">
        <f t="shared" si="62"/>
        <v>0</v>
      </c>
      <c r="H167" s="268">
        <f t="shared" si="62"/>
        <v>0</v>
      </c>
      <c r="I167" s="268">
        <f t="shared" si="62"/>
        <v>1</v>
      </c>
      <c r="J167" s="268">
        <f t="shared" si="62"/>
        <v>9</v>
      </c>
      <c r="K167" s="270">
        <f t="shared" si="62"/>
        <v>0</v>
      </c>
      <c r="L167" s="273">
        <f t="shared" si="62"/>
        <v>194754.98</v>
      </c>
      <c r="M167" s="271">
        <f t="shared" si="62"/>
        <v>3</v>
      </c>
      <c r="N167" s="269">
        <f t="shared" si="62"/>
        <v>92</v>
      </c>
      <c r="O167" s="170"/>
      <c r="P167" s="171"/>
      <c r="Q167" s="181"/>
    </row>
    <row r="168" spans="1:22" ht="15.6" thickTop="1" thickBot="1">
      <c r="A168" s="73"/>
      <c r="B168" s="380"/>
      <c r="C168" s="167" t="s">
        <v>45</v>
      </c>
      <c r="D168" s="272">
        <f>SUM(D160:D166)</f>
        <v>92</v>
      </c>
      <c r="E168" s="272">
        <f>SUM(E160:E166)</f>
        <v>89</v>
      </c>
      <c r="F168" s="381">
        <f>SUM(F167:K167)</f>
        <v>23</v>
      </c>
      <c r="G168" s="382"/>
      <c r="H168" s="382"/>
      <c r="I168" s="382"/>
      <c r="J168" s="382"/>
      <c r="K168" s="383"/>
      <c r="L168" s="274">
        <f>L167</f>
        <v>194754.98</v>
      </c>
      <c r="M168" s="272">
        <f>SUM(M160:M166)</f>
        <v>3</v>
      </c>
      <c r="N168" s="272">
        <f>SUM(N160:N166)</f>
        <v>92</v>
      </c>
      <c r="O168" s="272">
        <f>SUM(O167)</f>
        <v>0</v>
      </c>
      <c r="P168" s="275">
        <f>SUM(P167)</f>
        <v>0</v>
      </c>
      <c r="Q168" s="168"/>
      <c r="T168" s="184">
        <f>$V$3+L7+L15+L23+L31+L39+L47+L55+L63+L71+L79+L87+L95+L103+L111+L119+L127+L135+L143+L151+L159+L168</f>
        <v>962042.53000000014</v>
      </c>
    </row>
    <row r="169" spans="1:22" ht="15.6" thickTop="1" thickBot="1">
      <c r="A169" s="73" t="str">
        <f ca="1">OFFSET('0'!$B$112,($A$1-1)*10,$B169-1)</f>
        <v>SS</v>
      </c>
      <c r="B169" s="380">
        <f ca="1">OFFSET('0'!$B$111,($A$1-1)*10,21)</f>
        <v>22</v>
      </c>
      <c r="C169" s="182" t="s">
        <v>60</v>
      </c>
      <c r="D169" s="314">
        <v>0</v>
      </c>
      <c r="E169" s="315">
        <v>0</v>
      </c>
      <c r="F169" s="316"/>
      <c r="G169" s="316"/>
      <c r="H169" s="316"/>
      <c r="I169" s="316"/>
      <c r="J169" s="316"/>
      <c r="K169" s="316"/>
      <c r="L169" s="317">
        <v>0</v>
      </c>
      <c r="M169" s="315">
        <f t="shared" ref="M169:M174" si="63">SUM(D169-E169)</f>
        <v>0</v>
      </c>
      <c r="N169" s="305">
        <f t="shared" ref="N169:N174" si="64">SUM(E169,M169)</f>
        <v>0</v>
      </c>
      <c r="O169" s="305"/>
      <c r="P169" s="306"/>
      <c r="Q169" s="179"/>
    </row>
    <row r="170" spans="1:22" ht="15.6" thickTop="1" thickBot="1">
      <c r="A170" s="73"/>
      <c r="B170" s="380"/>
      <c r="C170" s="180" t="s">
        <v>50</v>
      </c>
      <c r="D170" s="318">
        <v>6</v>
      </c>
      <c r="E170" s="319">
        <v>6</v>
      </c>
      <c r="F170" s="320">
        <v>1</v>
      </c>
      <c r="G170" s="320"/>
      <c r="H170" s="320"/>
      <c r="I170" s="320"/>
      <c r="J170" s="320">
        <v>2</v>
      </c>
      <c r="K170" s="320"/>
      <c r="L170" s="300"/>
      <c r="M170" s="319">
        <f t="shared" si="63"/>
        <v>0</v>
      </c>
      <c r="N170" s="269">
        <f t="shared" si="64"/>
        <v>6</v>
      </c>
      <c r="O170" s="269"/>
      <c r="P170" s="290"/>
      <c r="Q170" s="181"/>
      <c r="S170" s="162"/>
      <c r="U170" s="162"/>
      <c r="V170" s="162"/>
    </row>
    <row r="171" spans="1:22" s="162" customFormat="1" ht="15.6" thickTop="1" thickBot="1">
      <c r="A171" s="74"/>
      <c r="B171" s="380"/>
      <c r="C171" s="180" t="s">
        <v>56</v>
      </c>
      <c r="D171" s="318">
        <v>7</v>
      </c>
      <c r="E171" s="319">
        <v>7</v>
      </c>
      <c r="F171" s="320">
        <v>2</v>
      </c>
      <c r="G171" s="320"/>
      <c r="H171" s="320"/>
      <c r="I171" s="320"/>
      <c r="J171" s="320">
        <v>1</v>
      </c>
      <c r="K171" s="320"/>
      <c r="L171" s="300"/>
      <c r="M171" s="319">
        <f t="shared" si="63"/>
        <v>0</v>
      </c>
      <c r="N171" s="269">
        <f t="shared" si="64"/>
        <v>7</v>
      </c>
      <c r="O171" s="269"/>
      <c r="P171" s="290"/>
      <c r="Q171" s="181"/>
      <c r="S171" s="161"/>
      <c r="U171" s="161"/>
      <c r="V171" s="161"/>
    </row>
    <row r="172" spans="1:22" ht="15.6" thickTop="1" thickBot="1">
      <c r="A172" s="73"/>
      <c r="B172" s="380"/>
      <c r="C172" s="182" t="s">
        <v>54</v>
      </c>
      <c r="D172" s="318">
        <v>4</v>
      </c>
      <c r="E172" s="319">
        <v>3</v>
      </c>
      <c r="F172" s="320">
        <v>1</v>
      </c>
      <c r="G172" s="320"/>
      <c r="H172" s="320"/>
      <c r="I172" s="320"/>
      <c r="J172" s="320"/>
      <c r="K172" s="320"/>
      <c r="L172" s="300"/>
      <c r="M172" s="319">
        <f t="shared" si="63"/>
        <v>1</v>
      </c>
      <c r="N172" s="269">
        <f t="shared" si="64"/>
        <v>4</v>
      </c>
      <c r="O172" s="269"/>
      <c r="P172" s="290"/>
      <c r="Q172" s="181"/>
    </row>
    <row r="173" spans="1:22" ht="15.6" thickTop="1" thickBot="1">
      <c r="A173" s="73"/>
      <c r="B173" s="380"/>
      <c r="C173" s="182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 t="shared" si="63"/>
        <v>0</v>
      </c>
      <c r="N173" s="269">
        <f t="shared" si="64"/>
        <v>0</v>
      </c>
      <c r="O173" s="269"/>
      <c r="P173" s="290"/>
      <c r="Q173" s="181"/>
    </row>
    <row r="174" spans="1:22" ht="15.6" thickTop="1" thickBot="1">
      <c r="A174" s="73"/>
      <c r="B174" s="380"/>
      <c r="C174" s="182"/>
      <c r="D174" s="266"/>
      <c r="E174" s="267"/>
      <c r="F174" s="268"/>
      <c r="G174" s="268"/>
      <c r="H174" s="268"/>
      <c r="I174" s="268"/>
      <c r="J174" s="268"/>
      <c r="K174" s="268"/>
      <c r="L174" s="291"/>
      <c r="M174" s="267">
        <f t="shared" si="63"/>
        <v>0</v>
      </c>
      <c r="N174" s="269">
        <f t="shared" si="64"/>
        <v>0</v>
      </c>
      <c r="O174" s="269"/>
      <c r="P174" s="290"/>
      <c r="Q174" s="181"/>
    </row>
    <row r="175" spans="1:22" ht="15.6" thickTop="1" thickBot="1">
      <c r="A175" s="73"/>
      <c r="B175" s="380"/>
      <c r="C175" s="183" t="s">
        <v>69</v>
      </c>
      <c r="D175" s="266">
        <f t="shared" ref="D175:N175" si="65">SUM(D169:D174)</f>
        <v>17</v>
      </c>
      <c r="E175" s="267">
        <f t="shared" si="65"/>
        <v>16</v>
      </c>
      <c r="F175" s="268">
        <f t="shared" si="65"/>
        <v>4</v>
      </c>
      <c r="G175" s="268">
        <f t="shared" si="65"/>
        <v>0</v>
      </c>
      <c r="H175" s="268">
        <f t="shared" si="65"/>
        <v>0</v>
      </c>
      <c r="I175" s="268">
        <f t="shared" si="65"/>
        <v>0</v>
      </c>
      <c r="J175" s="268">
        <f t="shared" si="65"/>
        <v>3</v>
      </c>
      <c r="K175" s="270">
        <f t="shared" si="65"/>
        <v>0</v>
      </c>
      <c r="L175" s="273">
        <f t="shared" si="65"/>
        <v>0</v>
      </c>
      <c r="M175" s="271">
        <f t="shared" si="65"/>
        <v>1</v>
      </c>
      <c r="N175" s="269">
        <f t="shared" si="65"/>
        <v>17</v>
      </c>
      <c r="O175" s="170"/>
      <c r="P175" s="171"/>
      <c r="Q175" s="181"/>
    </row>
    <row r="176" spans="1:22" ht="15.6" thickTop="1" thickBot="1">
      <c r="A176" s="73"/>
      <c r="B176" s="380"/>
      <c r="C176" s="167" t="s">
        <v>45</v>
      </c>
      <c r="D176" s="272">
        <f>SUM(D169:D174)</f>
        <v>17</v>
      </c>
      <c r="E176" s="272">
        <f>SUM(E169:E174)</f>
        <v>16</v>
      </c>
      <c r="F176" s="381">
        <f>SUM(F175:K175)</f>
        <v>7</v>
      </c>
      <c r="G176" s="382"/>
      <c r="H176" s="382"/>
      <c r="I176" s="382"/>
      <c r="J176" s="382"/>
      <c r="K176" s="383"/>
      <c r="L176" s="274">
        <f>L175</f>
        <v>0</v>
      </c>
      <c r="M176" s="272">
        <f>SUM(M169:M174)</f>
        <v>1</v>
      </c>
      <c r="N176" s="272">
        <f>SUM(N169:N174)</f>
        <v>17</v>
      </c>
      <c r="O176" s="272">
        <f>SUM(O175)</f>
        <v>0</v>
      </c>
      <c r="P176" s="275">
        <f>SUM(P175)</f>
        <v>0</v>
      </c>
      <c r="Q176" s="168"/>
      <c r="T176" s="184">
        <f>$V$3+L7+L15+L23+L31+L39+L47+L55+L63+L71+L79+L87+L95+L103+L111+L119+L127+L135+L143+L151+L159+L168+L176</f>
        <v>962042.53000000014</v>
      </c>
    </row>
    <row r="177" spans="1:22" ht="15.6" thickTop="1" thickBot="1">
      <c r="A177" s="73" t="str">
        <f ca="1">OFFSET('0'!$B$112,($A$1-1)*10,$B177-1)</f>
        <v>SK</v>
      </c>
      <c r="B177" s="380">
        <f ca="1">OFFSET('0'!$B$111,($A$1-1)*10,22)</f>
        <v>23</v>
      </c>
      <c r="C177" s="182"/>
      <c r="D177" s="314"/>
      <c r="E177" s="315"/>
      <c r="F177" s="316"/>
      <c r="G177" s="316"/>
      <c r="H177" s="316"/>
      <c r="I177" s="316"/>
      <c r="J177" s="316"/>
      <c r="K177" s="316"/>
      <c r="L177" s="327"/>
      <c r="M177" s="315">
        <f t="shared" ref="M177:M182" si="66">SUM(D177-E177)</f>
        <v>0</v>
      </c>
      <c r="N177" s="305">
        <f t="shared" ref="N177:N182" si="67">SUM(E177,M177)</f>
        <v>0</v>
      </c>
      <c r="O177" s="305"/>
      <c r="P177" s="296"/>
      <c r="Q177" s="179"/>
      <c r="S177" s="162"/>
      <c r="U177" s="162"/>
      <c r="V177" s="162"/>
    </row>
    <row r="178" spans="1:22" s="162" customFormat="1" ht="15.6" thickTop="1" thickBot="1">
      <c r="A178" s="74"/>
      <c r="B178" s="380"/>
      <c r="C178" s="180"/>
      <c r="D178" s="323"/>
      <c r="E178" s="324"/>
      <c r="F178" s="325"/>
      <c r="G178" s="325"/>
      <c r="H178" s="325"/>
      <c r="I178" s="325"/>
      <c r="J178" s="325"/>
      <c r="K178" s="325"/>
      <c r="L178" s="326"/>
      <c r="M178" s="324">
        <f t="shared" si="66"/>
        <v>0</v>
      </c>
      <c r="N178" s="269">
        <f t="shared" si="67"/>
        <v>0</v>
      </c>
      <c r="O178" s="269"/>
      <c r="P178" s="296"/>
      <c r="Q178" s="186"/>
      <c r="S178" s="161"/>
      <c r="U178" s="161"/>
      <c r="V178" s="161"/>
    </row>
    <row r="179" spans="1:22" ht="15.6" thickTop="1" thickBot="1">
      <c r="A179" s="73"/>
      <c r="B179" s="380"/>
      <c r="C179" s="180"/>
      <c r="D179" s="318"/>
      <c r="E179" s="319"/>
      <c r="F179" s="320"/>
      <c r="G179" s="320"/>
      <c r="H179" s="320"/>
      <c r="I179" s="320"/>
      <c r="J179" s="320"/>
      <c r="K179" s="320"/>
      <c r="L179" s="300"/>
      <c r="M179" s="319">
        <f t="shared" si="66"/>
        <v>0</v>
      </c>
      <c r="N179" s="269">
        <f t="shared" si="67"/>
        <v>0</v>
      </c>
      <c r="O179" s="269"/>
      <c r="P179" s="296"/>
      <c r="Q179" s="181"/>
    </row>
    <row r="180" spans="1:22" ht="15.6" thickTop="1" thickBot="1">
      <c r="A180" s="73"/>
      <c r="B180" s="380"/>
      <c r="C180" s="182"/>
      <c r="D180" s="318"/>
      <c r="E180" s="319"/>
      <c r="F180" s="320"/>
      <c r="G180" s="320"/>
      <c r="H180" s="320"/>
      <c r="I180" s="320"/>
      <c r="J180" s="320"/>
      <c r="K180" s="320"/>
      <c r="L180" s="300"/>
      <c r="M180" s="319">
        <f t="shared" si="66"/>
        <v>0</v>
      </c>
      <c r="N180" s="269">
        <f t="shared" si="67"/>
        <v>0</v>
      </c>
      <c r="O180" s="269"/>
      <c r="P180" s="290"/>
      <c r="Q180" s="181"/>
    </row>
    <row r="181" spans="1:22" ht="15.6" thickTop="1" thickBot="1">
      <c r="A181" s="73"/>
      <c r="B181" s="380"/>
      <c r="C181" s="182"/>
      <c r="D181" s="266"/>
      <c r="E181" s="267"/>
      <c r="F181" s="268"/>
      <c r="G181" s="268"/>
      <c r="H181" s="268"/>
      <c r="I181" s="268"/>
      <c r="J181" s="268"/>
      <c r="K181" s="268"/>
      <c r="L181" s="289"/>
      <c r="M181" s="267">
        <f t="shared" si="66"/>
        <v>0</v>
      </c>
      <c r="N181" s="269">
        <f t="shared" si="67"/>
        <v>0</v>
      </c>
      <c r="O181" s="269"/>
      <c r="P181" s="290"/>
      <c r="Q181" s="181"/>
    </row>
    <row r="182" spans="1:22" ht="15.6" thickTop="1" thickBot="1">
      <c r="A182" s="73"/>
      <c r="B182" s="380"/>
      <c r="C182" s="182"/>
      <c r="D182" s="266"/>
      <c r="E182" s="267"/>
      <c r="F182" s="268"/>
      <c r="G182" s="268"/>
      <c r="H182" s="268"/>
      <c r="I182" s="268"/>
      <c r="J182" s="268"/>
      <c r="K182" s="268"/>
      <c r="L182" s="291"/>
      <c r="M182" s="267">
        <f t="shared" si="66"/>
        <v>0</v>
      </c>
      <c r="N182" s="269">
        <f t="shared" si="67"/>
        <v>0</v>
      </c>
      <c r="O182" s="269"/>
      <c r="P182" s="290"/>
      <c r="Q182" s="181"/>
    </row>
    <row r="183" spans="1:22" ht="15.6" thickTop="1" thickBot="1">
      <c r="A183" s="73"/>
      <c r="B183" s="380"/>
      <c r="C183" s="183" t="s">
        <v>69</v>
      </c>
      <c r="D183" s="266">
        <f t="shared" ref="D183:N183" si="68">SUM(D177:D182)</f>
        <v>0</v>
      </c>
      <c r="E183" s="267">
        <f t="shared" si="68"/>
        <v>0</v>
      </c>
      <c r="F183" s="268">
        <f t="shared" si="68"/>
        <v>0</v>
      </c>
      <c r="G183" s="268">
        <f t="shared" si="68"/>
        <v>0</v>
      </c>
      <c r="H183" s="268">
        <f t="shared" si="68"/>
        <v>0</v>
      </c>
      <c r="I183" s="268">
        <f t="shared" si="68"/>
        <v>0</v>
      </c>
      <c r="J183" s="268">
        <f t="shared" si="68"/>
        <v>0</v>
      </c>
      <c r="K183" s="270">
        <f t="shared" si="68"/>
        <v>0</v>
      </c>
      <c r="L183" s="273">
        <f t="shared" si="68"/>
        <v>0</v>
      </c>
      <c r="M183" s="271">
        <f t="shared" si="68"/>
        <v>0</v>
      </c>
      <c r="N183" s="269">
        <f t="shared" si="68"/>
        <v>0</v>
      </c>
      <c r="O183" s="170"/>
      <c r="P183" s="171"/>
      <c r="Q183" s="181"/>
    </row>
    <row r="184" spans="1:22" ht="15.6" thickTop="1" thickBot="1">
      <c r="A184" s="73"/>
      <c r="B184" s="380"/>
      <c r="C184" s="167" t="s">
        <v>45</v>
      </c>
      <c r="D184" s="272">
        <f>SUM(D177:D182)</f>
        <v>0</v>
      </c>
      <c r="E184" s="272">
        <f>SUM(E177:E182)</f>
        <v>0</v>
      </c>
      <c r="F184" s="381">
        <f>SUM(F183:K183)</f>
        <v>0</v>
      </c>
      <c r="G184" s="382"/>
      <c r="H184" s="382"/>
      <c r="I184" s="382"/>
      <c r="J184" s="382"/>
      <c r="K184" s="383"/>
      <c r="L184" s="274">
        <f>L183</f>
        <v>0</v>
      </c>
      <c r="M184" s="272">
        <f>SUM(M177:M182)</f>
        <v>0</v>
      </c>
      <c r="N184" s="272">
        <f>SUM(N177:N182)</f>
        <v>0</v>
      </c>
      <c r="O184" s="272">
        <f>SUM(O183)</f>
        <v>0</v>
      </c>
      <c r="P184" s="275">
        <f>SUM(P183)</f>
        <v>0</v>
      </c>
      <c r="Q184" s="168"/>
      <c r="T184" s="184">
        <f>$V$3+L7+L15+L23+L31+L39+L47+L55+L63+L71+L79+L87+L95+L103+L111+L119+L127+L135+L143+L151+L159+L168+L176+L184</f>
        <v>962042.53000000014</v>
      </c>
    </row>
    <row r="185" spans="1:22" ht="15.6" thickTop="1" thickBot="1">
      <c r="A185" s="73" t="str">
        <f ca="1">OFFSET('0'!$B$112,($A$1-1)*10,$B185-1)</f>
        <v>--</v>
      </c>
      <c r="B185" s="380">
        <f ca="1">OFFSET('0'!$B$111,($A$1-1)*10,23)</f>
        <v>24</v>
      </c>
      <c r="C185" s="75"/>
      <c r="D185" s="314"/>
      <c r="E185" s="315"/>
      <c r="F185" s="316"/>
      <c r="G185" s="316"/>
      <c r="H185" s="316"/>
      <c r="I185" s="316"/>
      <c r="J185" s="316"/>
      <c r="K185" s="316"/>
      <c r="L185" s="317"/>
      <c r="M185" s="315">
        <f t="shared" ref="M185:M190" si="69">SUM(D185-E185)</f>
        <v>0</v>
      </c>
      <c r="N185" s="305">
        <f t="shared" ref="N185:N190" si="70">SUM(E185,M185)</f>
        <v>0</v>
      </c>
      <c r="O185" s="305"/>
      <c r="P185" s="306"/>
      <c r="Q185" s="179"/>
    </row>
    <row r="186" spans="1:22" ht="15.6" thickTop="1" thickBot="1">
      <c r="A186" s="73"/>
      <c r="B186" s="380"/>
      <c r="C186" s="78"/>
      <c r="D186" s="318"/>
      <c r="E186" s="319"/>
      <c r="F186" s="320"/>
      <c r="G186" s="320"/>
      <c r="H186" s="320"/>
      <c r="I186" s="320"/>
      <c r="J186" s="320"/>
      <c r="K186" s="320"/>
      <c r="L186" s="300"/>
      <c r="M186" s="319">
        <f t="shared" si="69"/>
        <v>0</v>
      </c>
      <c r="N186" s="269">
        <f t="shared" si="70"/>
        <v>0</v>
      </c>
      <c r="O186" s="269"/>
      <c r="P186" s="290"/>
      <c r="Q186" s="181"/>
      <c r="S186" s="162"/>
      <c r="U186" s="162"/>
      <c r="V186" s="162"/>
    </row>
    <row r="187" spans="1:22" s="162" customFormat="1" ht="15.6" thickTop="1" thickBot="1">
      <c r="A187" s="74"/>
      <c r="B187" s="380"/>
      <c r="C187" s="78"/>
      <c r="D187" s="318"/>
      <c r="E187" s="319"/>
      <c r="F187" s="320"/>
      <c r="G187" s="320"/>
      <c r="H187" s="320"/>
      <c r="I187" s="320"/>
      <c r="J187" s="320"/>
      <c r="K187" s="320"/>
      <c r="L187" s="300"/>
      <c r="M187" s="319">
        <f t="shared" si="69"/>
        <v>0</v>
      </c>
      <c r="N187" s="269">
        <f t="shared" si="70"/>
        <v>0</v>
      </c>
      <c r="O187" s="269"/>
      <c r="P187" s="290"/>
      <c r="Q187" s="181"/>
      <c r="S187" s="161"/>
      <c r="U187" s="161"/>
      <c r="V187" s="161"/>
    </row>
    <row r="188" spans="1:22" ht="15.6" thickTop="1" thickBot="1">
      <c r="A188" s="73"/>
      <c r="B188" s="380"/>
      <c r="C188" s="182"/>
      <c r="D188" s="318"/>
      <c r="E188" s="319"/>
      <c r="F188" s="320"/>
      <c r="G188" s="320"/>
      <c r="H188" s="320"/>
      <c r="I188" s="320"/>
      <c r="J188" s="320"/>
      <c r="K188" s="320"/>
      <c r="L188" s="300"/>
      <c r="M188" s="319">
        <f t="shared" si="69"/>
        <v>0</v>
      </c>
      <c r="N188" s="269">
        <f t="shared" si="70"/>
        <v>0</v>
      </c>
      <c r="O188" s="269"/>
      <c r="P188" s="290"/>
      <c r="Q188" s="181"/>
    </row>
    <row r="189" spans="1:22" ht="15.6" thickTop="1" thickBot="1">
      <c r="A189" s="73"/>
      <c r="B189" s="380"/>
      <c r="C189" s="182"/>
      <c r="D189" s="318"/>
      <c r="E189" s="319"/>
      <c r="F189" s="320"/>
      <c r="G189" s="320"/>
      <c r="H189" s="320"/>
      <c r="I189" s="320"/>
      <c r="J189" s="320"/>
      <c r="K189" s="320"/>
      <c r="L189" s="300"/>
      <c r="M189" s="319">
        <f t="shared" si="69"/>
        <v>0</v>
      </c>
      <c r="N189" s="269">
        <f t="shared" si="70"/>
        <v>0</v>
      </c>
      <c r="O189" s="269"/>
      <c r="P189" s="290"/>
      <c r="Q189" s="181"/>
    </row>
    <row r="190" spans="1:22" ht="15.6" thickTop="1" thickBot="1">
      <c r="A190" s="73"/>
      <c r="B190" s="380"/>
      <c r="C190" s="182"/>
      <c r="D190" s="266"/>
      <c r="E190" s="267"/>
      <c r="F190" s="268"/>
      <c r="G190" s="268"/>
      <c r="H190" s="268"/>
      <c r="I190" s="268"/>
      <c r="J190" s="268"/>
      <c r="K190" s="268"/>
      <c r="L190" s="291"/>
      <c r="M190" s="267">
        <f t="shared" si="69"/>
        <v>0</v>
      </c>
      <c r="N190" s="269">
        <f t="shared" si="70"/>
        <v>0</v>
      </c>
      <c r="O190" s="269"/>
      <c r="P190" s="290"/>
      <c r="Q190" s="181"/>
    </row>
    <row r="191" spans="1:22" ht="15.6" thickTop="1" thickBot="1">
      <c r="A191" s="73"/>
      <c r="B191" s="380"/>
      <c r="C191" s="183" t="s">
        <v>69</v>
      </c>
      <c r="D191" s="266">
        <f t="shared" ref="D191:K191" si="71">SUM(D185:D190)</f>
        <v>0</v>
      </c>
      <c r="E191" s="267">
        <f t="shared" si="71"/>
        <v>0</v>
      </c>
      <c r="F191" s="268">
        <f t="shared" si="71"/>
        <v>0</v>
      </c>
      <c r="G191" s="268">
        <f t="shared" si="71"/>
        <v>0</v>
      </c>
      <c r="H191" s="268">
        <f t="shared" si="71"/>
        <v>0</v>
      </c>
      <c r="I191" s="268">
        <f t="shared" si="71"/>
        <v>0</v>
      </c>
      <c r="J191" s="268">
        <f t="shared" si="71"/>
        <v>0</v>
      </c>
      <c r="K191" s="270">
        <f t="shared" si="71"/>
        <v>0</v>
      </c>
      <c r="L191" s="328">
        <v>77672.990000000005</v>
      </c>
      <c r="M191" s="271">
        <f>SUM(M185:M190)</f>
        <v>0</v>
      </c>
      <c r="N191" s="269">
        <f>SUM(N185:N190)</f>
        <v>0</v>
      </c>
      <c r="O191" s="170"/>
      <c r="P191" s="171"/>
      <c r="Q191" s="181"/>
    </row>
    <row r="192" spans="1:22" ht="15.6" thickTop="1" thickBot="1">
      <c r="A192" s="73"/>
      <c r="B192" s="380"/>
      <c r="C192" s="167" t="s">
        <v>45</v>
      </c>
      <c r="D192" s="272">
        <f>SUM(D185:D190)</f>
        <v>0</v>
      </c>
      <c r="E192" s="272">
        <f>SUM(E185:E190)</f>
        <v>0</v>
      </c>
      <c r="F192" s="381">
        <f>SUM(F191:K191)</f>
        <v>0</v>
      </c>
      <c r="G192" s="382"/>
      <c r="H192" s="382"/>
      <c r="I192" s="382"/>
      <c r="J192" s="382"/>
      <c r="K192" s="383"/>
      <c r="L192" s="274">
        <f>L191</f>
        <v>77672.990000000005</v>
      </c>
      <c r="M192" s="272">
        <f>SUM(M185:M190)</f>
        <v>0</v>
      </c>
      <c r="N192" s="272">
        <f>SUM(N185:N190)</f>
        <v>0</v>
      </c>
      <c r="O192" s="272">
        <f>SUM(O191)</f>
        <v>0</v>
      </c>
      <c r="P192" s="275">
        <f>SUM(P191)</f>
        <v>0</v>
      </c>
      <c r="Q192" s="168"/>
      <c r="T192" s="184">
        <f>$V$3+L7+L15+L23+L31+L39+L47+L55+L63+L71+L79+L87+L95+L103+L111+L119+L127+L135+L143+L151+L159+L168+L176+L184+L192</f>
        <v>1039715.5200000001</v>
      </c>
    </row>
    <row r="193" spans="1:22" ht="15.6" thickTop="1" thickBot="1">
      <c r="A193" s="73" t="str">
        <f ca="1">OFFSET('0'!$B$112,($A$1-1)*10,$B193-1)</f>
        <v>--</v>
      </c>
      <c r="B193" s="380">
        <f ca="1">OFFSET('0'!$B$111,($A$1-1)*10,24)</f>
        <v>25</v>
      </c>
      <c r="C193" s="182"/>
      <c r="D193" s="314"/>
      <c r="E193" s="315"/>
      <c r="F193" s="316"/>
      <c r="G193" s="316"/>
      <c r="H193" s="316"/>
      <c r="I193" s="316"/>
      <c r="J193" s="316"/>
      <c r="K193" s="316"/>
      <c r="L193" s="317"/>
      <c r="M193" s="315">
        <f t="shared" ref="M193:M198" si="72">SUM(D193-E193)</f>
        <v>0</v>
      </c>
      <c r="N193" s="305">
        <f t="shared" ref="N193:N198" si="73">SUM(E193,M193)</f>
        <v>0</v>
      </c>
      <c r="O193" s="305"/>
      <c r="P193" s="306"/>
      <c r="Q193" s="179"/>
    </row>
    <row r="194" spans="1:22" ht="15.6" thickTop="1" thickBot="1">
      <c r="A194" s="73"/>
      <c r="B194" s="380"/>
      <c r="C194" s="49" t="s">
        <v>218</v>
      </c>
      <c r="D194" s="318"/>
      <c r="E194" s="319"/>
      <c r="F194" s="320"/>
      <c r="G194" s="320"/>
      <c r="H194" s="320"/>
      <c r="I194" s="320"/>
      <c r="J194" s="320"/>
      <c r="K194" s="320"/>
      <c r="L194" s="300"/>
      <c r="M194" s="319"/>
      <c r="N194" s="269">
        <f t="shared" si="73"/>
        <v>0</v>
      </c>
      <c r="O194" s="269"/>
      <c r="P194" s="290"/>
      <c r="Q194" s="181"/>
    </row>
    <row r="195" spans="1:22" ht="15.6" thickTop="1" thickBot="1">
      <c r="A195" s="73"/>
      <c r="B195" s="380"/>
      <c r="C195" s="49"/>
      <c r="D195" s="318"/>
      <c r="E195" s="319"/>
      <c r="F195" s="320"/>
      <c r="G195" s="320"/>
      <c r="H195" s="320"/>
      <c r="I195" s="320"/>
      <c r="J195" s="320"/>
      <c r="K195" s="320"/>
      <c r="L195" s="300"/>
      <c r="M195" s="319"/>
      <c r="N195" s="269">
        <f t="shared" si="73"/>
        <v>0</v>
      </c>
      <c r="O195" s="269"/>
      <c r="P195" s="290"/>
      <c r="Q195" s="181"/>
    </row>
    <row r="196" spans="1:22" ht="15.6" thickTop="1" thickBot="1">
      <c r="A196" s="73"/>
      <c r="B196" s="380"/>
      <c r="C196" s="182"/>
      <c r="D196" s="318"/>
      <c r="E196" s="319"/>
      <c r="F196" s="320"/>
      <c r="G196" s="320"/>
      <c r="H196" s="320"/>
      <c r="I196" s="320"/>
      <c r="J196" s="320"/>
      <c r="K196" s="320"/>
      <c r="L196" s="300"/>
      <c r="M196" s="319">
        <f t="shared" si="72"/>
        <v>0</v>
      </c>
      <c r="N196" s="269">
        <f t="shared" si="73"/>
        <v>0</v>
      </c>
      <c r="O196" s="269"/>
      <c r="P196" s="290"/>
      <c r="Q196" s="181"/>
    </row>
    <row r="197" spans="1:22" ht="15.6" thickTop="1" thickBot="1">
      <c r="A197" s="73"/>
      <c r="B197" s="380"/>
      <c r="C197" s="182"/>
      <c r="D197" s="318"/>
      <c r="E197" s="319"/>
      <c r="F197" s="320"/>
      <c r="G197" s="320"/>
      <c r="H197" s="320"/>
      <c r="I197" s="320"/>
      <c r="J197" s="320"/>
      <c r="K197" s="320"/>
      <c r="L197" s="300"/>
      <c r="M197" s="319">
        <f t="shared" si="72"/>
        <v>0</v>
      </c>
      <c r="N197" s="269">
        <f t="shared" si="73"/>
        <v>0</v>
      </c>
      <c r="O197" s="269"/>
      <c r="P197" s="290"/>
      <c r="Q197" s="181"/>
    </row>
    <row r="198" spans="1:22" ht="15.6" thickTop="1" thickBot="1">
      <c r="A198" s="73"/>
      <c r="B198" s="380"/>
      <c r="C198" s="182"/>
      <c r="D198" s="266"/>
      <c r="E198" s="267"/>
      <c r="F198" s="268"/>
      <c r="G198" s="268"/>
      <c r="H198" s="268"/>
      <c r="I198" s="268"/>
      <c r="J198" s="268"/>
      <c r="K198" s="270"/>
      <c r="L198" s="291"/>
      <c r="M198" s="271">
        <f t="shared" si="72"/>
        <v>0</v>
      </c>
      <c r="N198" s="279">
        <f t="shared" si="73"/>
        <v>0</v>
      </c>
      <c r="O198" s="279"/>
      <c r="P198" s="294"/>
      <c r="Q198" s="181"/>
    </row>
    <row r="199" spans="1:22" ht="15.6" thickTop="1" thickBot="1">
      <c r="A199" s="73"/>
      <c r="B199" s="380"/>
      <c r="C199" s="177" t="s">
        <v>69</v>
      </c>
      <c r="D199" s="266">
        <f t="shared" ref="D199:K199" si="74">SUM(D193:D198)</f>
        <v>0</v>
      </c>
      <c r="E199" s="267">
        <f t="shared" si="74"/>
        <v>0</v>
      </c>
      <c r="F199" s="268">
        <f t="shared" si="74"/>
        <v>0</v>
      </c>
      <c r="G199" s="268">
        <f t="shared" si="74"/>
        <v>0</v>
      </c>
      <c r="H199" s="268">
        <f t="shared" si="74"/>
        <v>0</v>
      </c>
      <c r="I199" s="268">
        <f t="shared" si="74"/>
        <v>0</v>
      </c>
      <c r="J199" s="268">
        <f t="shared" si="74"/>
        <v>0</v>
      </c>
      <c r="K199" s="270">
        <f t="shared" si="74"/>
        <v>0</v>
      </c>
      <c r="L199" s="329"/>
      <c r="M199" s="271">
        <f>SUM(M193:M198)</f>
        <v>0</v>
      </c>
      <c r="N199" s="269">
        <f>SUM(N193:N198)</f>
        <v>0</v>
      </c>
      <c r="O199" s="170"/>
      <c r="P199" s="171"/>
      <c r="Q199" s="181"/>
    </row>
    <row r="200" spans="1:22" ht="15.6" thickTop="1" thickBot="1">
      <c r="A200" s="73"/>
      <c r="B200" s="380"/>
      <c r="C200" s="167" t="s">
        <v>45</v>
      </c>
      <c r="D200" s="272">
        <f>SUM(D193:D198)</f>
        <v>0</v>
      </c>
      <c r="E200" s="272">
        <f>SUM(E193:E198)</f>
        <v>0</v>
      </c>
      <c r="F200" s="381">
        <f>SUM(F199:K199)</f>
        <v>0</v>
      </c>
      <c r="G200" s="382"/>
      <c r="H200" s="382"/>
      <c r="I200" s="382"/>
      <c r="J200" s="382"/>
      <c r="K200" s="383"/>
      <c r="L200" s="274">
        <f>L199</f>
        <v>0</v>
      </c>
      <c r="M200" s="272">
        <f>SUM(M193:M198)</f>
        <v>0</v>
      </c>
      <c r="N200" s="272">
        <f>SUM(N193:N198)</f>
        <v>0</v>
      </c>
      <c r="O200" s="272">
        <f>SUM(O199)</f>
        <v>0</v>
      </c>
      <c r="P200" s="275">
        <f>SUM(P199)</f>
        <v>0</v>
      </c>
      <c r="Q200" s="168"/>
      <c r="T200" s="184">
        <f>$V$3+L7+L15+L23+L31+L39+L47+L55+L63+L71+L79+L87+L95+L103+L111+L119+L127+L135+L143+L151+L159+L168+L176+L184+L192+L200</f>
        <v>1039715.5200000001</v>
      </c>
    </row>
    <row r="201" spans="1:22" ht="15.6" thickTop="1" thickBot="1">
      <c r="A201" s="73" t="str">
        <f ca="1">OFFSET('0'!$B$112,($A$1-1)*10,$B201-1)</f>
        <v>--</v>
      </c>
      <c r="B201" s="380">
        <f ca="1">OFFSET('0'!$B$111,($A$1-1)*10,25)</f>
        <v>26</v>
      </c>
      <c r="C201" s="49" t="s">
        <v>218</v>
      </c>
      <c r="D201" s="314"/>
      <c r="E201" s="315"/>
      <c r="F201" s="316"/>
      <c r="G201" s="316"/>
      <c r="H201" s="316"/>
      <c r="I201" s="316"/>
      <c r="J201" s="316"/>
      <c r="K201" s="316"/>
      <c r="L201" s="317"/>
      <c r="M201" s="315">
        <f t="shared" ref="M201:M206" si="75">SUM(D201-E201)</f>
        <v>0</v>
      </c>
      <c r="N201" s="312">
        <f t="shared" ref="N201:N206" si="76">SUM(E201,M201)</f>
        <v>0</v>
      </c>
      <c r="O201" s="312"/>
      <c r="P201" s="313"/>
      <c r="Q201" s="179"/>
      <c r="S201" s="162"/>
      <c r="U201" s="162"/>
      <c r="V201" s="162"/>
    </row>
    <row r="202" spans="1:22" s="162" customFormat="1" ht="15.6" thickTop="1" thickBot="1">
      <c r="A202" s="74"/>
      <c r="B202" s="380"/>
      <c r="C202" s="49" t="s">
        <v>218</v>
      </c>
      <c r="D202" s="323"/>
      <c r="E202" s="324"/>
      <c r="F202" s="325"/>
      <c r="G202" s="325"/>
      <c r="H202" s="325"/>
      <c r="I202" s="325"/>
      <c r="J202" s="325"/>
      <c r="K202" s="325"/>
      <c r="L202" s="326"/>
      <c r="M202" s="324"/>
      <c r="N202" s="279">
        <f t="shared" si="76"/>
        <v>0</v>
      </c>
      <c r="O202" s="279"/>
      <c r="P202" s="294"/>
      <c r="Q202" s="186"/>
      <c r="S202" s="161"/>
      <c r="U202" s="161"/>
      <c r="V202" s="161"/>
    </row>
    <row r="203" spans="1:22" ht="15.6" thickTop="1" thickBot="1">
      <c r="A203" s="73"/>
      <c r="B203" s="380"/>
      <c r="C203" s="180"/>
      <c r="D203" s="318"/>
      <c r="E203" s="319"/>
      <c r="F203" s="320"/>
      <c r="G203" s="320"/>
      <c r="H203" s="320"/>
      <c r="I203" s="320"/>
      <c r="J203" s="320"/>
      <c r="K203" s="320"/>
      <c r="L203" s="300"/>
      <c r="M203" s="319">
        <f t="shared" si="75"/>
        <v>0</v>
      </c>
      <c r="N203" s="269">
        <f t="shared" si="76"/>
        <v>0</v>
      </c>
      <c r="O203" s="269"/>
      <c r="P203" s="290"/>
      <c r="Q203" s="181"/>
    </row>
    <row r="204" spans="1:22" ht="15.6" thickTop="1" thickBot="1">
      <c r="A204" s="73"/>
      <c r="B204" s="380"/>
      <c r="C204" s="182"/>
      <c r="D204" s="318"/>
      <c r="E204" s="319"/>
      <c r="F204" s="320"/>
      <c r="G204" s="320"/>
      <c r="H204" s="320"/>
      <c r="I204" s="320"/>
      <c r="J204" s="320"/>
      <c r="K204" s="320"/>
      <c r="L204" s="300"/>
      <c r="M204" s="319">
        <f t="shared" si="75"/>
        <v>0</v>
      </c>
      <c r="N204" s="269">
        <f t="shared" si="76"/>
        <v>0</v>
      </c>
      <c r="O204" s="269"/>
      <c r="P204" s="290"/>
      <c r="Q204" s="181"/>
    </row>
    <row r="205" spans="1:22" ht="15.6" thickTop="1" thickBot="1">
      <c r="A205" s="73"/>
      <c r="B205" s="380"/>
      <c r="C205" s="182"/>
      <c r="D205" s="318"/>
      <c r="E205" s="319"/>
      <c r="F205" s="320"/>
      <c r="G205" s="320"/>
      <c r="H205" s="320"/>
      <c r="I205" s="320"/>
      <c r="J205" s="320"/>
      <c r="K205" s="320"/>
      <c r="L205" s="300"/>
      <c r="M205" s="319">
        <f t="shared" si="75"/>
        <v>0</v>
      </c>
      <c r="N205" s="269">
        <f t="shared" si="76"/>
        <v>0</v>
      </c>
      <c r="O205" s="269"/>
      <c r="P205" s="290"/>
      <c r="Q205" s="181"/>
    </row>
    <row r="206" spans="1:22" ht="15.6" thickTop="1" thickBot="1">
      <c r="A206" s="73"/>
      <c r="B206" s="380"/>
      <c r="C206" s="182"/>
      <c r="D206" s="266"/>
      <c r="E206" s="267"/>
      <c r="F206" s="268"/>
      <c r="G206" s="268"/>
      <c r="H206" s="268"/>
      <c r="I206" s="268"/>
      <c r="J206" s="268"/>
      <c r="K206" s="270"/>
      <c r="L206" s="297"/>
      <c r="M206" s="271">
        <f t="shared" si="75"/>
        <v>0</v>
      </c>
      <c r="N206" s="269">
        <f t="shared" si="76"/>
        <v>0</v>
      </c>
      <c r="O206" s="269"/>
      <c r="P206" s="290"/>
      <c r="Q206" s="181"/>
    </row>
    <row r="207" spans="1:22" ht="15.6" thickTop="1" thickBot="1">
      <c r="A207" s="73"/>
      <c r="B207" s="380"/>
      <c r="C207" s="177" t="s">
        <v>69</v>
      </c>
      <c r="D207" s="266">
        <f t="shared" ref="D207:K207" si="77">SUM(D201:D206)</f>
        <v>0</v>
      </c>
      <c r="E207" s="267">
        <f t="shared" si="77"/>
        <v>0</v>
      </c>
      <c r="F207" s="268">
        <f t="shared" si="77"/>
        <v>0</v>
      </c>
      <c r="G207" s="268">
        <f t="shared" si="77"/>
        <v>0</v>
      </c>
      <c r="H207" s="268">
        <f t="shared" si="77"/>
        <v>0</v>
      </c>
      <c r="I207" s="268">
        <f t="shared" si="77"/>
        <v>0</v>
      </c>
      <c r="J207" s="268">
        <f t="shared" si="77"/>
        <v>0</v>
      </c>
      <c r="K207" s="270">
        <f t="shared" si="77"/>
        <v>0</v>
      </c>
      <c r="L207" s="329"/>
      <c r="M207" s="271">
        <f>SUM(M201:M206)</f>
        <v>0</v>
      </c>
      <c r="N207" s="269">
        <f>SUM(N201:N206)</f>
        <v>0</v>
      </c>
      <c r="O207" s="170"/>
      <c r="P207" s="171"/>
      <c r="Q207" s="181"/>
    </row>
    <row r="208" spans="1:22" ht="15.6" thickTop="1" thickBot="1">
      <c r="A208" s="73"/>
      <c r="B208" s="380"/>
      <c r="C208" s="167" t="s">
        <v>45</v>
      </c>
      <c r="D208" s="272">
        <f>SUM(D201:D206)</f>
        <v>0</v>
      </c>
      <c r="E208" s="272">
        <f>SUM(E201:E206)</f>
        <v>0</v>
      </c>
      <c r="F208" s="381">
        <f>SUM(F207:K207)</f>
        <v>0</v>
      </c>
      <c r="G208" s="382"/>
      <c r="H208" s="382"/>
      <c r="I208" s="382"/>
      <c r="J208" s="382"/>
      <c r="K208" s="383"/>
      <c r="L208" s="274">
        <f>L207</f>
        <v>0</v>
      </c>
      <c r="M208" s="272">
        <f>SUM(M201:M206)</f>
        <v>0</v>
      </c>
      <c r="N208" s="272">
        <f>SUM(N201:N206)</f>
        <v>0</v>
      </c>
      <c r="O208" s="272">
        <f>SUM(O207)</f>
        <v>0</v>
      </c>
      <c r="P208" s="275">
        <f>SUM(P207)</f>
        <v>0</v>
      </c>
      <c r="Q208" s="168"/>
      <c r="T208" s="184">
        <f>$V$3+L7+L15+L23+L31+L39+L47+L55+L63+L71+L79+L87+L95+L103+L111+L119+L127+L135+L143+L151+L159+L168+L176+L184+L192+L200+L208</f>
        <v>1039715.5200000001</v>
      </c>
    </row>
    <row r="209" spans="1:22" ht="15.6" thickTop="1" thickBot="1">
      <c r="A209" s="73" t="str">
        <f ca="1">OFFSET('0'!$B$112,($A$1-1)*10,$B209-1)</f>
        <v>--</v>
      </c>
      <c r="B209" s="380">
        <f ca="1">OFFSET('0'!$B$111,($A$1-1)*10,26)</f>
        <v>27</v>
      </c>
      <c r="C209" s="49" t="s">
        <v>218</v>
      </c>
      <c r="D209" s="314"/>
      <c r="E209" s="315"/>
      <c r="F209" s="316"/>
      <c r="G209" s="316"/>
      <c r="H209" s="316"/>
      <c r="I209" s="316"/>
      <c r="J209" s="316"/>
      <c r="K209" s="316"/>
      <c r="L209" s="317"/>
      <c r="M209" s="302">
        <f t="shared" ref="M209:M214" si="78">SUM(D209-E209)</f>
        <v>0</v>
      </c>
      <c r="N209" s="312">
        <f t="shared" ref="N209:N214" si="79">SUM(E209,M209)</f>
        <v>0</v>
      </c>
      <c r="O209" s="312"/>
      <c r="P209" s="313"/>
      <c r="Q209" s="179"/>
    </row>
    <row r="210" spans="1:22" ht="15.6" thickTop="1" thickBot="1">
      <c r="A210" s="73"/>
      <c r="B210" s="380"/>
      <c r="C210" s="49" t="s">
        <v>163</v>
      </c>
      <c r="D210" s="318"/>
      <c r="E210" s="319"/>
      <c r="F210" s="320"/>
      <c r="G210" s="320"/>
      <c r="H210" s="320"/>
      <c r="I210" s="320"/>
      <c r="J210" s="320"/>
      <c r="K210" s="320"/>
      <c r="L210" s="300"/>
      <c r="M210" s="267"/>
      <c r="N210" s="269">
        <f t="shared" si="79"/>
        <v>0</v>
      </c>
      <c r="O210" s="269"/>
      <c r="P210" s="290"/>
      <c r="Q210" s="181"/>
      <c r="S210" s="162"/>
      <c r="U210" s="162"/>
      <c r="V210" s="162"/>
    </row>
    <row r="211" spans="1:22" s="162" customFormat="1" ht="15.6" thickTop="1" thickBot="1">
      <c r="A211" s="74"/>
      <c r="B211" s="380"/>
      <c r="C211" s="180"/>
      <c r="D211" s="318"/>
      <c r="E211" s="319"/>
      <c r="F211" s="320"/>
      <c r="G211" s="320"/>
      <c r="H211" s="320"/>
      <c r="I211" s="320"/>
      <c r="J211" s="320"/>
      <c r="K211" s="320"/>
      <c r="L211" s="300"/>
      <c r="M211" s="319">
        <f t="shared" si="78"/>
        <v>0</v>
      </c>
      <c r="N211" s="269">
        <f t="shared" si="79"/>
        <v>0</v>
      </c>
      <c r="O211" s="269"/>
      <c r="P211" s="290"/>
      <c r="Q211" s="181"/>
    </row>
    <row r="212" spans="1:22" s="162" customFormat="1" ht="15.6" thickTop="1" thickBot="1">
      <c r="A212" s="74"/>
      <c r="B212" s="380"/>
      <c r="C212" s="182"/>
      <c r="D212" s="318"/>
      <c r="E212" s="319"/>
      <c r="F212" s="320"/>
      <c r="G212" s="320"/>
      <c r="H212" s="320"/>
      <c r="I212" s="320"/>
      <c r="J212" s="320"/>
      <c r="K212" s="320"/>
      <c r="L212" s="300"/>
      <c r="M212" s="319">
        <f t="shared" si="78"/>
        <v>0</v>
      </c>
      <c r="N212" s="269">
        <f t="shared" si="79"/>
        <v>0</v>
      </c>
      <c r="O212" s="269"/>
      <c r="P212" s="290"/>
      <c r="Q212" s="181"/>
      <c r="S212" s="161"/>
      <c r="U212" s="161"/>
      <c r="V212" s="161"/>
    </row>
    <row r="213" spans="1:22" ht="15.6" thickTop="1" thickBot="1">
      <c r="A213" s="73"/>
      <c r="B213" s="380"/>
      <c r="C213" s="182"/>
      <c r="D213" s="318"/>
      <c r="E213" s="319"/>
      <c r="F213" s="320"/>
      <c r="G213" s="320"/>
      <c r="H213" s="320"/>
      <c r="I213" s="320"/>
      <c r="J213" s="320"/>
      <c r="K213" s="320"/>
      <c r="L213" s="300"/>
      <c r="M213" s="319">
        <f t="shared" si="78"/>
        <v>0</v>
      </c>
      <c r="N213" s="269">
        <f t="shared" si="79"/>
        <v>0</v>
      </c>
      <c r="O213" s="269"/>
      <c r="P213" s="290"/>
      <c r="Q213" s="181"/>
    </row>
    <row r="214" spans="1:22" ht="15.6" thickTop="1" thickBot="1">
      <c r="A214" s="73"/>
      <c r="B214" s="380"/>
      <c r="C214" s="182"/>
      <c r="D214" s="318"/>
      <c r="E214" s="319"/>
      <c r="F214" s="320"/>
      <c r="G214" s="320"/>
      <c r="H214" s="320"/>
      <c r="I214" s="320"/>
      <c r="J214" s="320"/>
      <c r="K214" s="320"/>
      <c r="L214" s="330"/>
      <c r="M214" s="267">
        <f t="shared" si="78"/>
        <v>0</v>
      </c>
      <c r="N214" s="269">
        <f t="shared" si="79"/>
        <v>0</v>
      </c>
      <c r="O214" s="269"/>
      <c r="P214" s="290"/>
      <c r="Q214" s="181"/>
    </row>
    <row r="215" spans="1:22" ht="15.6" thickTop="1" thickBot="1">
      <c r="A215" s="73"/>
      <c r="B215" s="380"/>
      <c r="C215" s="177" t="s">
        <v>69</v>
      </c>
      <c r="D215" s="318">
        <f t="shared" ref="D215:K215" si="80">SUM(D209:D214)</f>
        <v>0</v>
      </c>
      <c r="E215" s="319">
        <f t="shared" si="80"/>
        <v>0</v>
      </c>
      <c r="F215" s="320">
        <f t="shared" si="80"/>
        <v>0</v>
      </c>
      <c r="G215" s="320">
        <f t="shared" si="80"/>
        <v>0</v>
      </c>
      <c r="H215" s="320">
        <f t="shared" si="80"/>
        <v>0</v>
      </c>
      <c r="I215" s="320">
        <f t="shared" si="80"/>
        <v>0</v>
      </c>
      <c r="J215" s="320">
        <f t="shared" si="80"/>
        <v>0</v>
      </c>
      <c r="K215" s="331">
        <f t="shared" si="80"/>
        <v>0</v>
      </c>
      <c r="L215" s="329"/>
      <c r="M215" s="271">
        <f>SUM(M209:M214)</f>
        <v>0</v>
      </c>
      <c r="N215" s="269">
        <f>SUM(N209:N214)</f>
        <v>0</v>
      </c>
      <c r="O215" s="170"/>
      <c r="P215" s="171"/>
      <c r="Q215" s="181"/>
    </row>
    <row r="216" spans="1:22" ht="15.6" thickTop="1" thickBot="1">
      <c r="A216" s="73"/>
      <c r="B216" s="380"/>
      <c r="C216" s="167" t="s">
        <v>45</v>
      </c>
      <c r="D216" s="272">
        <f>SUM(D209:D214)</f>
        <v>0</v>
      </c>
      <c r="E216" s="272">
        <f>SUM(E209:E214)</f>
        <v>0</v>
      </c>
      <c r="F216" s="381">
        <f>SUM(F215:K215)</f>
        <v>0</v>
      </c>
      <c r="G216" s="382"/>
      <c r="H216" s="382"/>
      <c r="I216" s="382"/>
      <c r="J216" s="382"/>
      <c r="K216" s="383"/>
      <c r="L216" s="274">
        <f>L215</f>
        <v>0</v>
      </c>
      <c r="M216" s="272">
        <f>SUM(M209:M214)</f>
        <v>0</v>
      </c>
      <c r="N216" s="272">
        <f>SUM(N209:N214)</f>
        <v>0</v>
      </c>
      <c r="O216" s="272">
        <f>SUM(O215)</f>
        <v>0</v>
      </c>
      <c r="P216" s="275">
        <f>SUM(P215)</f>
        <v>0</v>
      </c>
      <c r="Q216" s="168"/>
      <c r="T216" s="184">
        <f>$V$3+L7+L15+L23+L31+L39+L47+L55+L63+L71+L79+L87+L95+L103+L111+L119+L127+L135+L143+L151+L159+L168+L176+L184+L192+L200+L208+L216</f>
        <v>1039715.5200000001</v>
      </c>
    </row>
    <row r="217" spans="1:22" ht="15.6" thickTop="1" thickBot="1">
      <c r="A217" s="73" t="str">
        <f ca="1">OFFSET('0'!$B$112,($A$1-1)*10,OFFSET($B$4,($B217-1)*'0'!$E$19,0)-1)</f>
        <v>Vasaris</v>
      </c>
      <c r="B217" s="380">
        <f ca="1">OFFSET('0'!$B$111,($A$1-1)*10,27)</f>
        <v>28</v>
      </c>
      <c r="C217" s="49" t="s">
        <v>163</v>
      </c>
      <c r="D217" s="314">
        <v>1</v>
      </c>
      <c r="E217" s="315">
        <v>1</v>
      </c>
      <c r="F217" s="316">
        <v>2</v>
      </c>
      <c r="G217" s="316"/>
      <c r="H217" s="316"/>
      <c r="I217" s="316">
        <v>1</v>
      </c>
      <c r="J217" s="316">
        <v>1</v>
      </c>
      <c r="K217" s="316"/>
      <c r="L217" s="317"/>
      <c r="M217" s="302">
        <f t="shared" ref="M217:M222" si="81">SUM(D217-E217)</f>
        <v>0</v>
      </c>
      <c r="N217" s="305">
        <f t="shared" ref="N217:N222" si="82">SUM(E217,M217)</f>
        <v>1</v>
      </c>
      <c r="O217" s="305"/>
      <c r="P217" s="296"/>
      <c r="Q217" s="179"/>
      <c r="S217" s="162"/>
      <c r="U217" s="162"/>
      <c r="V217" s="162"/>
    </row>
    <row r="218" spans="1:22" s="162" customFormat="1" ht="15.6" thickTop="1" thickBot="1">
      <c r="A218" s="74"/>
      <c r="B218" s="380"/>
      <c r="C218" s="49" t="s">
        <v>218</v>
      </c>
      <c r="D218" s="323"/>
      <c r="E218" s="324"/>
      <c r="F218" s="325"/>
      <c r="G218" s="325"/>
      <c r="H218" s="325"/>
      <c r="I218" s="325"/>
      <c r="J218" s="325"/>
      <c r="K218" s="325"/>
      <c r="L218" s="326">
        <v>9342.56</v>
      </c>
      <c r="M218" s="324"/>
      <c r="N218" s="269">
        <f t="shared" si="82"/>
        <v>0</v>
      </c>
      <c r="O218" s="269"/>
      <c r="P218" s="296"/>
      <c r="Q218" s="186"/>
      <c r="S218" s="161"/>
      <c r="U218" s="161"/>
      <c r="V218" s="161"/>
    </row>
    <row r="219" spans="1:22" ht="15.6" thickTop="1" thickBot="1">
      <c r="A219" s="73"/>
      <c r="B219" s="380"/>
      <c r="C219" s="180"/>
      <c r="D219" s="318"/>
      <c r="E219" s="319"/>
      <c r="F219" s="320"/>
      <c r="G219" s="320"/>
      <c r="H219" s="320"/>
      <c r="I219" s="320"/>
      <c r="J219" s="320"/>
      <c r="K219" s="320"/>
      <c r="L219" s="300">
        <v>2119</v>
      </c>
      <c r="M219" s="319">
        <f t="shared" si="81"/>
        <v>0</v>
      </c>
      <c r="N219" s="269">
        <f t="shared" si="82"/>
        <v>0</v>
      </c>
      <c r="O219" s="269"/>
      <c r="P219" s="290"/>
      <c r="Q219" s="181"/>
      <c r="S219" s="162"/>
      <c r="U219" s="162"/>
      <c r="V219" s="162"/>
    </row>
    <row r="220" spans="1:22" s="162" customFormat="1" ht="15.6" thickTop="1" thickBot="1">
      <c r="A220" s="74"/>
      <c r="B220" s="380"/>
      <c r="C220" s="182"/>
      <c r="D220" s="318"/>
      <c r="E220" s="319"/>
      <c r="F220" s="320"/>
      <c r="G220" s="320"/>
      <c r="H220" s="320"/>
      <c r="I220" s="320"/>
      <c r="J220" s="320"/>
      <c r="K220" s="320"/>
      <c r="L220" s="300"/>
      <c r="M220" s="267">
        <f t="shared" si="81"/>
        <v>0</v>
      </c>
      <c r="N220" s="269">
        <f t="shared" si="82"/>
        <v>0</v>
      </c>
      <c r="O220" s="269"/>
      <c r="P220" s="290"/>
      <c r="Q220" s="181"/>
      <c r="S220" s="161"/>
      <c r="U220" s="161"/>
      <c r="V220" s="161"/>
    </row>
    <row r="221" spans="1:22" ht="15.6" thickTop="1" thickBot="1">
      <c r="A221" s="73"/>
      <c r="B221" s="380"/>
      <c r="C221" s="182" t="s">
        <v>218</v>
      </c>
      <c r="D221" s="318"/>
      <c r="E221" s="319"/>
      <c r="F221" s="320"/>
      <c r="G221" s="320"/>
      <c r="H221" s="320"/>
      <c r="I221" s="320"/>
      <c r="J221" s="320"/>
      <c r="K221" s="320"/>
      <c r="L221" s="300">
        <v>3165.95</v>
      </c>
      <c r="M221" s="267"/>
      <c r="N221" s="269">
        <f t="shared" si="82"/>
        <v>0</v>
      </c>
      <c r="O221" s="269"/>
      <c r="P221" s="290"/>
      <c r="Q221" s="181"/>
    </row>
    <row r="222" spans="1:22" ht="15.6" thickTop="1" thickBot="1">
      <c r="A222" s="73"/>
      <c r="B222" s="380"/>
      <c r="C222" s="182"/>
      <c r="D222" s="318"/>
      <c r="E222" s="319"/>
      <c r="F222" s="320"/>
      <c r="G222" s="320"/>
      <c r="H222" s="320"/>
      <c r="I222" s="320"/>
      <c r="J222" s="320"/>
      <c r="K222" s="320"/>
      <c r="L222" s="330"/>
      <c r="M222" s="267">
        <f t="shared" si="81"/>
        <v>0</v>
      </c>
      <c r="N222" s="279">
        <f t="shared" si="82"/>
        <v>0</v>
      </c>
      <c r="O222" s="279"/>
      <c r="P222" s="294"/>
      <c r="Q222" s="181"/>
    </row>
    <row r="223" spans="1:22" ht="15.6" thickTop="1" thickBot="1">
      <c r="A223" s="73"/>
      <c r="B223" s="380"/>
      <c r="C223" s="177" t="s">
        <v>69</v>
      </c>
      <c r="D223" s="318">
        <f t="shared" ref="D223:K223" si="83">SUM(D217:D222)</f>
        <v>1</v>
      </c>
      <c r="E223" s="319">
        <f t="shared" si="83"/>
        <v>1</v>
      </c>
      <c r="F223" s="320">
        <f t="shared" si="83"/>
        <v>2</v>
      </c>
      <c r="G223" s="320">
        <f t="shared" si="83"/>
        <v>0</v>
      </c>
      <c r="H223" s="320">
        <f t="shared" si="83"/>
        <v>0</v>
      </c>
      <c r="I223" s="320">
        <f t="shared" si="83"/>
        <v>1</v>
      </c>
      <c r="J223" s="320">
        <f t="shared" si="83"/>
        <v>1</v>
      </c>
      <c r="K223" s="331">
        <f t="shared" si="83"/>
        <v>0</v>
      </c>
      <c r="L223" s="329"/>
      <c r="M223" s="271">
        <f>SUM(M217:M222)</f>
        <v>0</v>
      </c>
      <c r="N223" s="269">
        <f>SUM(N217:N222)</f>
        <v>1</v>
      </c>
      <c r="O223" s="170"/>
      <c r="P223" s="171"/>
      <c r="Q223" s="181"/>
    </row>
    <row r="224" spans="1:22" ht="15.6" thickTop="1" thickBot="1">
      <c r="A224" s="73"/>
      <c r="B224" s="380"/>
      <c r="C224" s="167" t="s">
        <v>45</v>
      </c>
      <c r="D224" s="272">
        <f>SUM(D217:D222)</f>
        <v>1</v>
      </c>
      <c r="E224" s="272">
        <f>SUM(E217:E222)</f>
        <v>1</v>
      </c>
      <c r="F224" s="381">
        <f>SUM(F223:K223)</f>
        <v>4</v>
      </c>
      <c r="G224" s="382"/>
      <c r="H224" s="382"/>
      <c r="I224" s="382"/>
      <c r="J224" s="382"/>
      <c r="K224" s="383"/>
      <c r="L224" s="274">
        <f>L223</f>
        <v>0</v>
      </c>
      <c r="M224" s="272">
        <f>SUM(M217:M222)</f>
        <v>0</v>
      </c>
      <c r="N224" s="272">
        <f>SUM(N217:N222)</f>
        <v>1</v>
      </c>
      <c r="O224" s="272">
        <f>SUM(O223)</f>
        <v>0</v>
      </c>
      <c r="P224" s="275">
        <f>SUM(P223)</f>
        <v>0</v>
      </c>
      <c r="Q224" s="168"/>
      <c r="T224" s="184">
        <f>$V$3+L7+L15+L23+L31+L39+L47+L55+L63+L71+L79+L87+L95+L103+L111+L119+L127+L135+L143+L151+L159+L168+L176+L184+L192+L200+L208+L216+L224</f>
        <v>1039715.5200000001</v>
      </c>
    </row>
    <row r="225" spans="1:22" ht="15.6" thickTop="1" thickBot="1">
      <c r="A225" s="73" t="e">
        <f ca="1">OFFSET('0'!$B$112,($A$1-1)*10,$B225-1)</f>
        <v>#REF!</v>
      </c>
      <c r="B225" s="380">
        <f ca="1">OFFSET('0'!$B$111,($A$1-1)*10,28)</f>
        <v>-27</v>
      </c>
      <c r="C225" s="178"/>
      <c r="D225" s="301"/>
      <c r="E225" s="302"/>
      <c r="F225" s="303"/>
      <c r="G225" s="303"/>
      <c r="H225" s="303"/>
      <c r="I225" s="303"/>
      <c r="J225" s="303"/>
      <c r="K225" s="303"/>
      <c r="L225" s="304"/>
      <c r="M225" s="302">
        <f t="shared" ref="M225:M230" si="84">SUM(D225-E225)</f>
        <v>0</v>
      </c>
      <c r="N225" s="305">
        <f t="shared" ref="N225:N230" si="85">SUM(E225,M225)</f>
        <v>0</v>
      </c>
      <c r="O225" s="305"/>
      <c r="P225" s="296"/>
      <c r="Q225" s="179"/>
    </row>
    <row r="226" spans="1:22" ht="15.6" thickTop="1" thickBot="1">
      <c r="A226" s="73"/>
      <c r="B226" s="380"/>
      <c r="C226" s="180"/>
      <c r="D226" s="284"/>
      <c r="E226" s="285"/>
      <c r="F226" s="286"/>
      <c r="G226" s="286"/>
      <c r="H226" s="286"/>
      <c r="I226" s="286"/>
      <c r="J226" s="286"/>
      <c r="K226" s="286"/>
      <c r="L226" s="295"/>
      <c r="M226" s="285">
        <f t="shared" si="84"/>
        <v>0</v>
      </c>
      <c r="N226" s="269">
        <f t="shared" si="85"/>
        <v>0</v>
      </c>
      <c r="O226" s="269"/>
      <c r="P226" s="296"/>
      <c r="Q226" s="186"/>
    </row>
    <row r="227" spans="1:22" ht="15.6" thickTop="1" thickBot="1">
      <c r="A227" s="73"/>
      <c r="B227" s="380"/>
      <c r="C227" s="180"/>
      <c r="D227" s="266"/>
      <c r="E227" s="267"/>
      <c r="F227" s="268"/>
      <c r="G227" s="268"/>
      <c r="H227" s="268"/>
      <c r="I227" s="268"/>
      <c r="J227" s="268"/>
      <c r="K227" s="268"/>
      <c r="L227" s="289"/>
      <c r="M227" s="267">
        <f t="shared" si="84"/>
        <v>0</v>
      </c>
      <c r="N227" s="269">
        <f t="shared" si="85"/>
        <v>0</v>
      </c>
      <c r="O227" s="269"/>
      <c r="P227" s="290"/>
      <c r="Q227" s="181"/>
      <c r="S227" s="162"/>
      <c r="U227" s="162"/>
      <c r="V227" s="162"/>
    </row>
    <row r="228" spans="1:22" s="162" customFormat="1" ht="15.6" thickTop="1" thickBot="1">
      <c r="A228" s="74"/>
      <c r="B228" s="380"/>
      <c r="C228" s="182"/>
      <c r="D228" s="266"/>
      <c r="E228" s="267"/>
      <c r="F228" s="268"/>
      <c r="G228" s="268"/>
      <c r="H228" s="268"/>
      <c r="I228" s="268"/>
      <c r="J228" s="268"/>
      <c r="K228" s="268"/>
      <c r="L228" s="289"/>
      <c r="M228" s="267">
        <f t="shared" si="84"/>
        <v>0</v>
      </c>
      <c r="N228" s="269">
        <f t="shared" si="85"/>
        <v>0</v>
      </c>
      <c r="O228" s="269"/>
      <c r="P228" s="290"/>
      <c r="Q228" s="181"/>
    </row>
    <row r="229" spans="1:22" s="162" customFormat="1" ht="15.6" thickTop="1" thickBot="1">
      <c r="A229" s="74"/>
      <c r="B229" s="380"/>
      <c r="C229" s="182"/>
      <c r="D229" s="266"/>
      <c r="E229" s="267"/>
      <c r="F229" s="268"/>
      <c r="G229" s="268"/>
      <c r="H229" s="268"/>
      <c r="I229" s="268"/>
      <c r="J229" s="268"/>
      <c r="K229" s="268"/>
      <c r="L229" s="289"/>
      <c r="M229" s="267">
        <f t="shared" si="84"/>
        <v>0</v>
      </c>
      <c r="N229" s="269">
        <f t="shared" si="85"/>
        <v>0</v>
      </c>
      <c r="O229" s="269"/>
      <c r="P229" s="290"/>
      <c r="Q229" s="181"/>
      <c r="S229" s="161"/>
      <c r="U229" s="161"/>
      <c r="V229" s="161"/>
    </row>
    <row r="230" spans="1:22" ht="15.6" thickTop="1" thickBot="1">
      <c r="A230" s="73"/>
      <c r="B230" s="380"/>
      <c r="C230" s="182"/>
      <c r="D230" s="266"/>
      <c r="E230" s="267"/>
      <c r="F230" s="268"/>
      <c r="G230" s="268"/>
      <c r="H230" s="268"/>
      <c r="I230" s="268"/>
      <c r="J230" s="268"/>
      <c r="K230" s="268"/>
      <c r="L230" s="291"/>
      <c r="M230" s="267">
        <f t="shared" si="84"/>
        <v>0</v>
      </c>
      <c r="N230" s="269">
        <f t="shared" si="85"/>
        <v>0</v>
      </c>
      <c r="O230" s="269"/>
      <c r="P230" s="290"/>
      <c r="Q230" s="181"/>
    </row>
    <row r="231" spans="1:22" ht="15.6" thickTop="1" thickBot="1">
      <c r="A231" s="73"/>
      <c r="B231" s="380"/>
      <c r="C231" s="177" t="s">
        <v>69</v>
      </c>
      <c r="D231" s="266">
        <f t="shared" ref="D231:K231" si="86">SUM(D225:D230)</f>
        <v>0</v>
      </c>
      <c r="E231" s="267">
        <f t="shared" si="86"/>
        <v>0</v>
      </c>
      <c r="F231" s="268">
        <f t="shared" si="86"/>
        <v>0</v>
      </c>
      <c r="G231" s="268">
        <f t="shared" si="86"/>
        <v>0</v>
      </c>
      <c r="H231" s="268">
        <f t="shared" si="86"/>
        <v>0</v>
      </c>
      <c r="I231" s="268">
        <f t="shared" si="86"/>
        <v>0</v>
      </c>
      <c r="J231" s="268">
        <f t="shared" si="86"/>
        <v>0</v>
      </c>
      <c r="K231" s="270">
        <f t="shared" si="86"/>
        <v>0</v>
      </c>
      <c r="L231" s="273"/>
      <c r="M231" s="271">
        <f>SUM(M225:M230)</f>
        <v>0</v>
      </c>
      <c r="N231" s="269">
        <f>SUM(N225:N230)</f>
        <v>0</v>
      </c>
      <c r="O231" s="170"/>
      <c r="P231" s="171"/>
      <c r="Q231" s="181"/>
    </row>
    <row r="232" spans="1:22" ht="15.6" thickTop="1" thickBot="1">
      <c r="A232" s="73"/>
      <c r="B232" s="380"/>
      <c r="C232" s="167" t="s">
        <v>45</v>
      </c>
      <c r="D232" s="272">
        <f>SUM(D225:D230)</f>
        <v>0</v>
      </c>
      <c r="E232" s="272">
        <f>SUM(E225:E230)</f>
        <v>0</v>
      </c>
      <c r="F232" s="381">
        <f>SUM(F231:K231)</f>
        <v>0</v>
      </c>
      <c r="G232" s="382"/>
      <c r="H232" s="382"/>
      <c r="I232" s="382"/>
      <c r="J232" s="382"/>
      <c r="K232" s="383"/>
      <c r="L232" s="274">
        <f>L231</f>
        <v>0</v>
      </c>
      <c r="M232" s="272">
        <f>SUM(M225:M230)</f>
        <v>0</v>
      </c>
      <c r="N232" s="272">
        <f>SUM(N225:N230)</f>
        <v>0</v>
      </c>
      <c r="O232" s="272">
        <f>SUM(O231)</f>
        <v>0</v>
      </c>
      <c r="P232" s="275">
        <f>SUM(P231)</f>
        <v>0</v>
      </c>
      <c r="Q232" s="168"/>
      <c r="T232" s="184">
        <f>$V$3+L7+L15+L23+L31+L39+L47+L55+L63+L71+L79+L87+L95+L103+L111+L119+L127+L135+L143+L151+L159+L168+L176+L184+L192+L200+L208+L216+L224+L232</f>
        <v>1039715.5200000001</v>
      </c>
    </row>
    <row r="233" spans="1:22" ht="15.6" thickTop="1" thickBot="1">
      <c r="A233" s="73" t="e">
        <f ca="1">OFFSET('0'!$B$112,($A$1-1)*10,$B233-1)</f>
        <v>#REF!</v>
      </c>
      <c r="B233" s="380">
        <f ca="1">OFFSET('0'!$B$111,($A$1-1)*10,29)</f>
        <v>-26</v>
      </c>
      <c r="C233" s="178"/>
      <c r="D233" s="301"/>
      <c r="E233" s="302"/>
      <c r="F233" s="303"/>
      <c r="G233" s="303"/>
      <c r="H233" s="303"/>
      <c r="I233" s="303"/>
      <c r="J233" s="303"/>
      <c r="K233" s="303"/>
      <c r="L233" s="304"/>
      <c r="M233" s="302">
        <f t="shared" ref="M233:M238" si="87">SUM(D233-E233)</f>
        <v>0</v>
      </c>
      <c r="N233" s="305">
        <f t="shared" ref="N233:N238" si="88">SUM(E233,M233)</f>
        <v>0</v>
      </c>
      <c r="O233" s="305"/>
      <c r="P233" s="296"/>
      <c r="Q233" s="179"/>
    </row>
    <row r="234" spans="1:22" ht="15.6" thickTop="1" thickBot="1">
      <c r="A234" s="73"/>
      <c r="B234" s="380"/>
      <c r="C234" s="180"/>
      <c r="D234" s="284"/>
      <c r="E234" s="285"/>
      <c r="F234" s="286"/>
      <c r="G234" s="286"/>
      <c r="H234" s="286"/>
      <c r="I234" s="286"/>
      <c r="J234" s="286"/>
      <c r="K234" s="286"/>
      <c r="L234" s="295"/>
      <c r="M234" s="285">
        <f t="shared" si="87"/>
        <v>0</v>
      </c>
      <c r="N234" s="269">
        <f t="shared" si="88"/>
        <v>0</v>
      </c>
      <c r="O234" s="269"/>
      <c r="P234" s="296"/>
      <c r="Q234" s="186"/>
      <c r="S234" s="162"/>
      <c r="U234" s="162"/>
      <c r="V234" s="162"/>
    </row>
    <row r="235" spans="1:22" s="162" customFormat="1" ht="15.6" thickTop="1" thickBot="1">
      <c r="A235" s="74"/>
      <c r="B235" s="380"/>
      <c r="C235" s="180"/>
      <c r="D235" s="284"/>
      <c r="E235" s="285"/>
      <c r="F235" s="286"/>
      <c r="G235" s="286"/>
      <c r="H235" s="286"/>
      <c r="I235" s="286"/>
      <c r="J235" s="286"/>
      <c r="K235" s="286"/>
      <c r="L235" s="295"/>
      <c r="M235" s="285">
        <f t="shared" si="87"/>
        <v>0</v>
      </c>
      <c r="N235" s="269">
        <f t="shared" si="88"/>
        <v>0</v>
      </c>
      <c r="O235" s="269"/>
      <c r="P235" s="294"/>
      <c r="Q235" s="186"/>
    </row>
    <row r="236" spans="1:22" s="162" customFormat="1" ht="15.6" thickTop="1" thickBot="1">
      <c r="A236" s="74"/>
      <c r="B236" s="380"/>
      <c r="C236" s="182"/>
      <c r="D236" s="284"/>
      <c r="E236" s="285"/>
      <c r="F236" s="286"/>
      <c r="G236" s="286"/>
      <c r="H236" s="286"/>
      <c r="I236" s="286"/>
      <c r="J236" s="286"/>
      <c r="K236" s="286"/>
      <c r="L236" s="295"/>
      <c r="M236" s="285">
        <f t="shared" si="87"/>
        <v>0</v>
      </c>
      <c r="N236" s="269">
        <f t="shared" si="88"/>
        <v>0</v>
      </c>
      <c r="O236" s="269"/>
      <c r="P236" s="294"/>
      <c r="Q236" s="186"/>
      <c r="S236" s="161"/>
      <c r="U236" s="161"/>
      <c r="V236" s="161"/>
    </row>
    <row r="237" spans="1:22" ht="15.6" thickTop="1" thickBot="1">
      <c r="A237" s="73"/>
      <c r="B237" s="380"/>
      <c r="C237" s="182"/>
      <c r="D237" s="266"/>
      <c r="E237" s="267"/>
      <c r="F237" s="268"/>
      <c r="G237" s="268"/>
      <c r="H237" s="268"/>
      <c r="I237" s="268"/>
      <c r="J237" s="268"/>
      <c r="K237" s="268"/>
      <c r="L237" s="289"/>
      <c r="M237" s="267">
        <f t="shared" si="87"/>
        <v>0</v>
      </c>
      <c r="N237" s="269">
        <f t="shared" si="88"/>
        <v>0</v>
      </c>
      <c r="O237" s="269"/>
      <c r="P237" s="290"/>
      <c r="Q237" s="181"/>
    </row>
    <row r="238" spans="1:22" ht="15.6" thickTop="1" thickBot="1">
      <c r="A238" s="73"/>
      <c r="B238" s="380"/>
      <c r="C238" s="182"/>
      <c r="D238" s="266"/>
      <c r="E238" s="267"/>
      <c r="F238" s="268"/>
      <c r="G238" s="268"/>
      <c r="H238" s="268"/>
      <c r="I238" s="268"/>
      <c r="J238" s="268"/>
      <c r="K238" s="268"/>
      <c r="L238" s="291"/>
      <c r="M238" s="267">
        <f t="shared" si="87"/>
        <v>0</v>
      </c>
      <c r="N238" s="269">
        <f t="shared" si="88"/>
        <v>0</v>
      </c>
      <c r="O238" s="269"/>
      <c r="P238" s="290"/>
      <c r="Q238" s="181"/>
    </row>
    <row r="239" spans="1:22" ht="15.6" thickTop="1" thickBot="1">
      <c r="A239" s="73"/>
      <c r="B239" s="380"/>
      <c r="C239" s="177" t="s">
        <v>69</v>
      </c>
      <c r="D239" s="266">
        <f t="shared" ref="D239:K239" si="89">SUM(D233:D238)</f>
        <v>0</v>
      </c>
      <c r="E239" s="267">
        <f t="shared" si="89"/>
        <v>0</v>
      </c>
      <c r="F239" s="268">
        <f t="shared" si="89"/>
        <v>0</v>
      </c>
      <c r="G239" s="268">
        <f t="shared" si="89"/>
        <v>0</v>
      </c>
      <c r="H239" s="268">
        <f t="shared" si="89"/>
        <v>0</v>
      </c>
      <c r="I239" s="268">
        <f t="shared" si="89"/>
        <v>0</v>
      </c>
      <c r="J239" s="268">
        <f t="shared" si="89"/>
        <v>0</v>
      </c>
      <c r="K239" s="270">
        <f t="shared" si="89"/>
        <v>0</v>
      </c>
      <c r="L239" s="273"/>
      <c r="M239" s="271">
        <f>SUM(M233:M238)</f>
        <v>0</v>
      </c>
      <c r="N239" s="269">
        <f>SUM(N233:N238)</f>
        <v>0</v>
      </c>
      <c r="O239" s="170"/>
      <c r="P239" s="171"/>
      <c r="Q239" s="181"/>
    </row>
    <row r="240" spans="1:22" ht="15.6" thickTop="1" thickBot="1">
      <c r="A240" s="73"/>
      <c r="B240" s="380"/>
      <c r="C240" s="167" t="s">
        <v>45</v>
      </c>
      <c r="D240" s="272">
        <f>SUM(D233:D238)</f>
        <v>0</v>
      </c>
      <c r="E240" s="272">
        <f>SUM(E233:E238)</f>
        <v>0</v>
      </c>
      <c r="F240" s="381">
        <f>SUM(F239:K239)</f>
        <v>0</v>
      </c>
      <c r="G240" s="382"/>
      <c r="H240" s="382"/>
      <c r="I240" s="382"/>
      <c r="J240" s="382"/>
      <c r="K240" s="383"/>
      <c r="L240" s="274">
        <f>L239</f>
        <v>0</v>
      </c>
      <c r="M240" s="272">
        <f>SUM(M233:M238)</f>
        <v>0</v>
      </c>
      <c r="N240" s="272">
        <f>SUM(N233:N238)</f>
        <v>0</v>
      </c>
      <c r="O240" s="272">
        <f>SUM(O239)</f>
        <v>0</v>
      </c>
      <c r="P240" s="275">
        <f>SUM(P239)</f>
        <v>0</v>
      </c>
      <c r="Q240" s="168"/>
      <c r="T240" s="184">
        <f>$V$3+L7+L15+L23+L31+L39+L47+L55+L63+L71+L79+L87+L95+L103+L111+L119+L127+L135+L143+L151+L159+L168+L176+L184+L192+L200+L208+L216+L224+L232+L240</f>
        <v>1039715.5200000001</v>
      </c>
    </row>
    <row r="241" spans="1:22" ht="15.6" thickTop="1" thickBot="1">
      <c r="A241" s="73" t="e">
        <f ca="1">OFFSET('0'!$B$112,($A$1-1)*10,$B241-1)</f>
        <v>#REF!</v>
      </c>
      <c r="B241" s="380">
        <f ca="1">OFFSET('0'!$B$111,($A$1-1)*10,30)</f>
        <v>-25</v>
      </c>
      <c r="C241" s="178"/>
      <c r="D241" s="301"/>
      <c r="E241" s="302"/>
      <c r="F241" s="303"/>
      <c r="G241" s="303"/>
      <c r="H241" s="303"/>
      <c r="I241" s="303"/>
      <c r="J241" s="303"/>
      <c r="K241" s="303"/>
      <c r="L241" s="304"/>
      <c r="M241" s="302">
        <f t="shared" ref="M241:M246" si="90">SUM(D241-E241)</f>
        <v>0</v>
      </c>
      <c r="N241" s="305">
        <f t="shared" ref="N241:N246" si="91">SUM(E241,M241)</f>
        <v>0</v>
      </c>
      <c r="O241" s="305"/>
      <c r="P241" s="296"/>
      <c r="Q241" s="179"/>
      <c r="S241" s="162"/>
      <c r="U241" s="162"/>
      <c r="V241" s="162"/>
    </row>
    <row r="242" spans="1:22" s="162" customFormat="1" ht="15.6" thickTop="1" thickBot="1">
      <c r="A242" s="74"/>
      <c r="B242" s="380"/>
      <c r="C242" s="180"/>
      <c r="D242" s="284"/>
      <c r="E242" s="285"/>
      <c r="F242" s="286"/>
      <c r="G242" s="286"/>
      <c r="H242" s="286"/>
      <c r="I242" s="286"/>
      <c r="J242" s="286"/>
      <c r="K242" s="286"/>
      <c r="L242" s="295"/>
      <c r="M242" s="285">
        <f t="shared" si="90"/>
        <v>0</v>
      </c>
      <c r="N242" s="269">
        <f t="shared" si="91"/>
        <v>0</v>
      </c>
      <c r="O242" s="269"/>
      <c r="P242" s="296"/>
      <c r="Q242" s="186"/>
    </row>
    <row r="243" spans="1:22" s="162" customFormat="1" ht="15.6" thickTop="1" thickBot="1">
      <c r="A243" s="74"/>
      <c r="B243" s="380"/>
      <c r="C243" s="180"/>
      <c r="D243" s="284"/>
      <c r="E243" s="285"/>
      <c r="F243" s="286"/>
      <c r="G243" s="286"/>
      <c r="H243" s="286"/>
      <c r="I243" s="286"/>
      <c r="J243" s="286"/>
      <c r="K243" s="286"/>
      <c r="L243" s="295"/>
      <c r="M243" s="285">
        <f t="shared" si="90"/>
        <v>0</v>
      </c>
      <c r="N243" s="269">
        <f t="shared" si="91"/>
        <v>0</v>
      </c>
      <c r="O243" s="269"/>
      <c r="P243" s="294"/>
      <c r="Q243" s="186"/>
    </row>
    <row r="244" spans="1:22" s="162" customFormat="1" ht="15.6" thickTop="1" thickBot="1">
      <c r="A244" s="74"/>
      <c r="B244" s="380"/>
      <c r="C244" s="182"/>
      <c r="D244" s="284"/>
      <c r="E244" s="285"/>
      <c r="F244" s="286"/>
      <c r="G244" s="286"/>
      <c r="H244" s="286"/>
      <c r="I244" s="286"/>
      <c r="J244" s="286"/>
      <c r="K244" s="286"/>
      <c r="L244" s="295"/>
      <c r="M244" s="285">
        <f t="shared" si="90"/>
        <v>0</v>
      </c>
      <c r="N244" s="269">
        <f t="shared" si="91"/>
        <v>0</v>
      </c>
      <c r="O244" s="269"/>
      <c r="P244" s="294"/>
      <c r="Q244" s="186"/>
      <c r="S244" s="161"/>
      <c r="U244" s="161"/>
      <c r="V244" s="161"/>
    </row>
    <row r="245" spans="1:22" ht="15.6" thickTop="1" thickBot="1">
      <c r="A245" s="73"/>
      <c r="B245" s="380"/>
      <c r="C245" s="182"/>
      <c r="D245" s="266"/>
      <c r="E245" s="267"/>
      <c r="F245" s="268"/>
      <c r="G245" s="268"/>
      <c r="H245" s="268"/>
      <c r="I245" s="268"/>
      <c r="J245" s="268"/>
      <c r="K245" s="268"/>
      <c r="L245" s="289"/>
      <c r="M245" s="267">
        <f t="shared" si="90"/>
        <v>0</v>
      </c>
      <c r="N245" s="269">
        <f t="shared" si="91"/>
        <v>0</v>
      </c>
      <c r="O245" s="269"/>
      <c r="P245" s="290"/>
      <c r="Q245" s="181"/>
    </row>
    <row r="246" spans="1:22" ht="15.6" thickTop="1" thickBot="1">
      <c r="A246" s="73"/>
      <c r="B246" s="380"/>
      <c r="C246" s="182"/>
      <c r="D246" s="266"/>
      <c r="E246" s="267"/>
      <c r="F246" s="268"/>
      <c r="G246" s="268"/>
      <c r="H246" s="268"/>
      <c r="I246" s="268"/>
      <c r="J246" s="268"/>
      <c r="K246" s="268"/>
      <c r="L246" s="291"/>
      <c r="M246" s="267">
        <f t="shared" si="90"/>
        <v>0</v>
      </c>
      <c r="N246" s="269">
        <f t="shared" si="91"/>
        <v>0</v>
      </c>
      <c r="O246" s="269"/>
      <c r="P246" s="290"/>
      <c r="Q246" s="181"/>
    </row>
    <row r="247" spans="1:22" ht="15.6" thickTop="1" thickBot="1">
      <c r="A247" s="73"/>
      <c r="B247" s="380"/>
      <c r="C247" s="177" t="s">
        <v>69</v>
      </c>
      <c r="D247" s="266">
        <f t="shared" ref="D247:K247" si="92">SUM(D241:D246)</f>
        <v>0</v>
      </c>
      <c r="E247" s="267">
        <f t="shared" si="92"/>
        <v>0</v>
      </c>
      <c r="F247" s="268">
        <f t="shared" si="92"/>
        <v>0</v>
      </c>
      <c r="G247" s="268">
        <f t="shared" si="92"/>
        <v>0</v>
      </c>
      <c r="H247" s="268">
        <f t="shared" si="92"/>
        <v>0</v>
      </c>
      <c r="I247" s="268">
        <f t="shared" si="92"/>
        <v>0</v>
      </c>
      <c r="J247" s="268">
        <f t="shared" si="92"/>
        <v>0</v>
      </c>
      <c r="K247" s="270">
        <f t="shared" si="92"/>
        <v>0</v>
      </c>
      <c r="L247" s="273"/>
      <c r="M247" s="271">
        <f>SUM(M241:M246)</f>
        <v>0</v>
      </c>
      <c r="N247" s="269">
        <f>SUM(N241:N246)</f>
        <v>0</v>
      </c>
      <c r="O247" s="115">
        <v>94</v>
      </c>
      <c r="P247" s="116">
        <v>155</v>
      </c>
      <c r="Q247" s="181"/>
    </row>
    <row r="248" spans="1:22" ht="15.6" thickTop="1" thickBot="1">
      <c r="A248" s="73"/>
      <c r="B248" s="380"/>
      <c r="C248" s="167" t="s">
        <v>45</v>
      </c>
      <c r="D248" s="272">
        <f>SUM(D241:D246)</f>
        <v>0</v>
      </c>
      <c r="E248" s="272">
        <f>SUM(E241:E246)</f>
        <v>0</v>
      </c>
      <c r="F248" s="381">
        <f>SUM(F247:K247)</f>
        <v>0</v>
      </c>
      <c r="G248" s="382"/>
      <c r="H248" s="382"/>
      <c r="I248" s="382"/>
      <c r="J248" s="382"/>
      <c r="K248" s="383"/>
      <c r="L248" s="274">
        <f>L247</f>
        <v>0</v>
      </c>
      <c r="M248" s="272">
        <f>SUM(M241:M246)</f>
        <v>0</v>
      </c>
      <c r="N248" s="272">
        <f>SUM(N241:N246)</f>
        <v>0</v>
      </c>
      <c r="O248" s="272">
        <f>SUM(O247)</f>
        <v>94</v>
      </c>
      <c r="P248" s="371">
        <f>SUM(P247)</f>
        <v>155</v>
      </c>
      <c r="Q248" s="168"/>
      <c r="T248" s="118">
        <f>$V$3+L7+L15+L23+L31+L39+L47+L55+L63+L71+L79+L87+L95+L103+L111+L119+L127+L135+L143+L151+L159+L168+L176+L184+L192+L200+L208+L216+L224+L232+L240+L248</f>
        <v>1039715.5200000001</v>
      </c>
    </row>
    <row r="249" spans="1:22" ht="15" thickTop="1"/>
    <row r="250" spans="1:22">
      <c r="C250" s="169" t="s">
        <v>31</v>
      </c>
      <c r="D250" s="117">
        <f t="shared" ref="D250:P250" si="93">SUM(D247,D239,D231,D223,D215,D207,D199,D191,D183,D175,D167,D158,D150,D142,D134,D126,D118,D110,D102,D94,D86,D78,D70,D62,D54,D46,D38,D30,D22,D14,D6)</f>
        <v>843</v>
      </c>
      <c r="E250" s="298">
        <f t="shared" si="93"/>
        <v>815</v>
      </c>
      <c r="F250" s="299">
        <f t="shared" si="93"/>
        <v>88</v>
      </c>
      <c r="G250" s="299">
        <f t="shared" si="93"/>
        <v>0</v>
      </c>
      <c r="H250" s="299">
        <f t="shared" si="93"/>
        <v>0</v>
      </c>
      <c r="I250" s="299">
        <f t="shared" si="93"/>
        <v>31</v>
      </c>
      <c r="J250" s="299">
        <f t="shared" si="93"/>
        <v>55</v>
      </c>
      <c r="K250" s="299">
        <f t="shared" si="93"/>
        <v>10</v>
      </c>
      <c r="L250" s="300">
        <f t="shared" si="93"/>
        <v>993065.32000000007</v>
      </c>
      <c r="M250" s="298">
        <f t="shared" si="93"/>
        <v>28</v>
      </c>
      <c r="N250" s="117">
        <f t="shared" si="93"/>
        <v>843</v>
      </c>
      <c r="O250" s="117">
        <f t="shared" si="93"/>
        <v>94</v>
      </c>
      <c r="P250" s="321">
        <f t="shared" si="93"/>
        <v>210</v>
      </c>
    </row>
    <row r="251" spans="1:22">
      <c r="C251" s="169" t="s">
        <v>57</v>
      </c>
      <c r="D251" s="287">
        <f>D250</f>
        <v>843</v>
      </c>
      <c r="E251" s="287">
        <f>E250</f>
        <v>815</v>
      </c>
      <c r="F251" s="377">
        <f>SUM(F248,F240,F232,F224,F216,F208,F200,F192,F184,F176,F168,F159,F151,F143,F135,F127,F119,F111,F103,F95,F87,F79,F71,F63,F55,F47,F39,F31,F23,F15,F7)</f>
        <v>184</v>
      </c>
      <c r="G251" s="378"/>
      <c r="H251" s="378"/>
      <c r="I251" s="378"/>
      <c r="J251" s="378"/>
      <c r="K251" s="379"/>
      <c r="L251" s="288">
        <f>L250</f>
        <v>993065.32000000007</v>
      </c>
    </row>
    <row r="394" spans="3:3">
      <c r="C394" s="162" t="s">
        <v>218</v>
      </c>
    </row>
    <row r="410" spans="3:3">
      <c r="C410" s="162" t="s">
        <v>218</v>
      </c>
    </row>
    <row r="426" spans="3:3">
      <c r="C426" s="162" t="s">
        <v>163</v>
      </c>
    </row>
  </sheetData>
  <mergeCells count="75">
    <mergeCell ref="F251:K251"/>
    <mergeCell ref="B217:B224"/>
    <mergeCell ref="F224:K224"/>
    <mergeCell ref="B225:B232"/>
    <mergeCell ref="F232:K232"/>
    <mergeCell ref="B233:B240"/>
    <mergeCell ref="F240:K240"/>
    <mergeCell ref="B201:B208"/>
    <mergeCell ref="F208:K208"/>
    <mergeCell ref="B209:B216"/>
    <mergeCell ref="F216:K216"/>
    <mergeCell ref="B241:B248"/>
    <mergeCell ref="F248:K248"/>
    <mergeCell ref="B177:B184"/>
    <mergeCell ref="F184:K184"/>
    <mergeCell ref="B185:B192"/>
    <mergeCell ref="F192:K192"/>
    <mergeCell ref="B193:B200"/>
    <mergeCell ref="F200:K200"/>
    <mergeCell ref="B152:B159"/>
    <mergeCell ref="F159:K159"/>
    <mergeCell ref="B160:B168"/>
    <mergeCell ref="F168:K168"/>
    <mergeCell ref="B169:B176"/>
    <mergeCell ref="F176:K176"/>
    <mergeCell ref="B128:B135"/>
    <mergeCell ref="F135:K135"/>
    <mergeCell ref="B136:B143"/>
    <mergeCell ref="F143:K143"/>
    <mergeCell ref="B144:B151"/>
    <mergeCell ref="F151:K151"/>
    <mergeCell ref="B104:B111"/>
    <mergeCell ref="F111:K111"/>
    <mergeCell ref="B112:B119"/>
    <mergeCell ref="F119:K119"/>
    <mergeCell ref="B120:B127"/>
    <mergeCell ref="F127:K127"/>
    <mergeCell ref="B80:B87"/>
    <mergeCell ref="F87:K87"/>
    <mergeCell ref="B88:B95"/>
    <mergeCell ref="F95:K95"/>
    <mergeCell ref="B96:B103"/>
    <mergeCell ref="F103:K103"/>
    <mergeCell ref="B56:B63"/>
    <mergeCell ref="F63:K63"/>
    <mergeCell ref="B64:B71"/>
    <mergeCell ref="F71:K71"/>
    <mergeCell ref="B72:B79"/>
    <mergeCell ref="F79:K79"/>
    <mergeCell ref="B32:B39"/>
    <mergeCell ref="F39:K39"/>
    <mergeCell ref="B40:B47"/>
    <mergeCell ref="F47:K47"/>
    <mergeCell ref="B48:B55"/>
    <mergeCell ref="F55:K55"/>
    <mergeCell ref="B8:B15"/>
    <mergeCell ref="F15:K15"/>
    <mergeCell ref="B16:B23"/>
    <mergeCell ref="F23:K23"/>
    <mergeCell ref="B24:B31"/>
    <mergeCell ref="F31:K31"/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7"/>
    <mergeCell ref="F7:K7"/>
  </mergeCells>
  <conditionalFormatting sqref="B4:B15">
    <cfRule type="expression" dxfId="383" priority="32">
      <formula>$A4&lt;&gt;"--"</formula>
    </cfRule>
  </conditionalFormatting>
  <conditionalFormatting sqref="B16:B23">
    <cfRule type="expression" dxfId="382" priority="31">
      <formula>$A16&lt;&gt;"--"</formula>
    </cfRule>
  </conditionalFormatting>
  <conditionalFormatting sqref="B24:B31">
    <cfRule type="expression" dxfId="381" priority="30">
      <formula>$A24&lt;&gt;"--"</formula>
    </cfRule>
  </conditionalFormatting>
  <conditionalFormatting sqref="B32:B39">
    <cfRule type="expression" dxfId="380" priority="29">
      <formula>$A32&lt;&gt;"--"</formula>
    </cfRule>
  </conditionalFormatting>
  <conditionalFormatting sqref="B40:B47">
    <cfRule type="expression" dxfId="379" priority="28">
      <formula>$A40&lt;&gt;"--"</formula>
    </cfRule>
  </conditionalFormatting>
  <conditionalFormatting sqref="B48:B55">
    <cfRule type="expression" dxfId="378" priority="27">
      <formula>$A48&lt;&gt;"--"</formula>
    </cfRule>
  </conditionalFormatting>
  <conditionalFormatting sqref="B56:B63">
    <cfRule type="expression" dxfId="377" priority="26">
      <formula>$A56&lt;&gt;"--"</formula>
    </cfRule>
  </conditionalFormatting>
  <conditionalFormatting sqref="B64:B71">
    <cfRule type="expression" dxfId="376" priority="25">
      <formula>$A64&lt;&gt;"--"</formula>
    </cfRule>
  </conditionalFormatting>
  <conditionalFormatting sqref="B72:B79">
    <cfRule type="expression" dxfId="375" priority="24">
      <formula>$A72&lt;&gt;"--"</formula>
    </cfRule>
  </conditionalFormatting>
  <conditionalFormatting sqref="B80:B87">
    <cfRule type="expression" dxfId="374" priority="23">
      <formula>$A80&lt;&gt;"--"</formula>
    </cfRule>
  </conditionalFormatting>
  <conditionalFormatting sqref="B88:B95">
    <cfRule type="expression" dxfId="373" priority="22">
      <formula>$A88&lt;&gt;"--"</formula>
    </cfRule>
  </conditionalFormatting>
  <conditionalFormatting sqref="B96:B103">
    <cfRule type="expression" dxfId="372" priority="21">
      <formula>$A96&lt;&gt;"--"</formula>
    </cfRule>
  </conditionalFormatting>
  <conditionalFormatting sqref="B104:B111">
    <cfRule type="expression" dxfId="371" priority="20">
      <formula>$A104&lt;&gt;"--"</formula>
    </cfRule>
  </conditionalFormatting>
  <conditionalFormatting sqref="B112:B119">
    <cfRule type="expression" dxfId="370" priority="19">
      <formula>$A112&lt;&gt;"--"</formula>
    </cfRule>
  </conditionalFormatting>
  <conditionalFormatting sqref="B120:B127">
    <cfRule type="expression" dxfId="369" priority="18">
      <formula>$A120&lt;&gt;"--"</formula>
    </cfRule>
  </conditionalFormatting>
  <conditionalFormatting sqref="B128:B135">
    <cfRule type="expression" dxfId="368" priority="17">
      <formula>$A128&lt;&gt;"--"</formula>
    </cfRule>
  </conditionalFormatting>
  <conditionalFormatting sqref="B136:B143">
    <cfRule type="expression" dxfId="367" priority="16">
      <formula>$A136&lt;&gt;"--"</formula>
    </cfRule>
  </conditionalFormatting>
  <conditionalFormatting sqref="B144:B151">
    <cfRule type="expression" dxfId="366" priority="15">
      <formula>$A144&lt;&gt;"--"</formula>
    </cfRule>
  </conditionalFormatting>
  <conditionalFormatting sqref="B152:B159">
    <cfRule type="expression" dxfId="365" priority="14">
      <formula>$A152&lt;&gt;"--"</formula>
    </cfRule>
  </conditionalFormatting>
  <conditionalFormatting sqref="B160:B168">
    <cfRule type="expression" dxfId="364" priority="13">
      <formula>$A160&lt;&gt;"--"</formula>
    </cfRule>
  </conditionalFormatting>
  <conditionalFormatting sqref="B169:B176">
    <cfRule type="expression" dxfId="363" priority="12">
      <formula>$A169&lt;&gt;"--"</formula>
    </cfRule>
  </conditionalFormatting>
  <conditionalFormatting sqref="B177:B184">
    <cfRule type="expression" dxfId="362" priority="11">
      <formula>$A177&lt;&gt;"--"</formula>
    </cfRule>
  </conditionalFormatting>
  <conditionalFormatting sqref="B185:B192">
    <cfRule type="expression" dxfId="361" priority="10">
      <formula>$A185&lt;&gt;"--"</formula>
    </cfRule>
  </conditionalFormatting>
  <conditionalFormatting sqref="B193:B200">
    <cfRule type="expression" dxfId="360" priority="9">
      <formula>$A193&lt;&gt;"--"</formula>
    </cfRule>
  </conditionalFormatting>
  <conditionalFormatting sqref="B201:B208">
    <cfRule type="expression" dxfId="359" priority="8">
      <formula>$A201&lt;&gt;"--"</formula>
    </cfRule>
  </conditionalFormatting>
  <conditionalFormatting sqref="B209:B216">
    <cfRule type="expression" dxfId="358" priority="7">
      <formula>$A209&lt;&gt;"--"</formula>
    </cfRule>
  </conditionalFormatting>
  <conditionalFormatting sqref="B217:B224">
    <cfRule type="expression" dxfId="357" priority="6">
      <formula>$A217&lt;&gt;"--"</formula>
    </cfRule>
  </conditionalFormatting>
  <conditionalFormatting sqref="B225:B248">
    <cfRule type="expression" dxfId="356" priority="5">
      <formula>$A225&lt;&gt;"--"</formula>
    </cfRule>
  </conditionalFormatting>
  <conditionalFormatting sqref="B233:B240">
    <cfRule type="expression" dxfId="355" priority="4">
      <formula>$A233&lt;&gt;"--"</formula>
    </cfRule>
  </conditionalFormatting>
  <conditionalFormatting sqref="B241:B248">
    <cfRule type="expression" dxfId="354" priority="3">
      <formula>$A241&lt;&gt;"--"</formula>
    </cfRule>
  </conditionalFormatting>
  <conditionalFormatting sqref="B225:B248">
    <cfRule type="cellIs" dxfId="353" priority="1" operator="lessThan">
      <formula>0</formula>
    </cfRule>
  </conditionalFormatting>
  <dataValidations count="1">
    <dataValidation type="list" allowBlank="1" showInputMessage="1" showErrorMessage="1" sqref="C217:C222 C233:C238 C225:C230 C209:C214 C201:C206 C193:C198 C185:C190 C177:C182 C169:C174 C160:C166 C152:C157 C144:C149 C136:C141 C128:C133 C120:C125 C112:C117 C241:C246 C104:C109 C96:C101 C88:C93 C80:C85 C72:C77 C64:C69 C56:C61 C48:C53 C40:C45 C32:C37 C24:C29 C16:C21 C8:C13 C4:C5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V254"/>
  <sheetViews>
    <sheetView workbookViewId="0">
      <pane ySplit="3" topLeftCell="A4" activePane="bottomLeft" state="frozen"/>
      <selection pane="bottomLeft" activeCell="U5" sqref="U5:V16"/>
    </sheetView>
  </sheetViews>
  <sheetFormatPr defaultColWidth="8.88671875" defaultRowHeight="14.4"/>
  <cols>
    <col min="1" max="2" width="8.88671875" style="87"/>
    <col min="3" max="3" width="22.109375" style="88" customWidth="1"/>
    <col min="4" max="11" width="15.109375" style="87"/>
    <col min="12" max="12" width="12.88671875" style="66" customWidth="1"/>
    <col min="13" max="14" width="10.109375" style="89" customWidth="1"/>
    <col min="15" max="16" width="10.109375" style="88" customWidth="1"/>
    <col min="17" max="17" width="22" style="88" customWidth="1"/>
    <col min="18" max="19" width="15.109375" style="87"/>
    <col min="20" max="20" width="26" style="88" customWidth="1"/>
    <col min="21" max="21" width="8.88671875" style="87"/>
    <col min="22" max="22" width="14.5546875" style="87" customWidth="1"/>
    <col min="23" max="16384" width="8.88671875" style="87"/>
  </cols>
  <sheetData>
    <row r="1" spans="1:22">
      <c r="A1" s="87">
        <v>3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B3" s="385"/>
      <c r="C3" s="385"/>
      <c r="D3" s="385"/>
      <c r="E3" s="385"/>
      <c r="F3" s="90" t="s">
        <v>10</v>
      </c>
      <c r="G3" s="90" t="s">
        <v>11</v>
      </c>
      <c r="H3" s="90" t="s">
        <v>12</v>
      </c>
      <c r="I3" s="90" t="s">
        <v>13</v>
      </c>
      <c r="J3" s="90" t="s">
        <v>14</v>
      </c>
      <c r="K3" s="90" t="s">
        <v>44</v>
      </c>
      <c r="L3" s="387"/>
      <c r="M3" s="385"/>
      <c r="N3" s="388"/>
      <c r="O3" s="388"/>
      <c r="P3" s="389"/>
      <c r="Q3" s="390"/>
      <c r="T3" s="384"/>
      <c r="U3" s="87" t="s">
        <v>168</v>
      </c>
      <c r="V3" s="82">
        <f>SUM('Bendras metų'!V6:V7)</f>
        <v>1039715.52</v>
      </c>
    </row>
    <row r="4" spans="1:22" ht="16.5" customHeight="1" thickTop="1">
      <c r="A4" s="73" t="str">
        <f ca="1">OFFSET('0'!$B$112,($A$1-1)*10,$B4-1)</f>
        <v>SS</v>
      </c>
      <c r="B4" s="391">
        <f ca="1">OFFSET('0'!$B$111,($A$1-1)*10,0)</f>
        <v>1</v>
      </c>
      <c r="C4" s="49" t="s">
        <v>218</v>
      </c>
      <c r="D4" s="301">
        <v>1</v>
      </c>
      <c r="E4" s="302">
        <v>1</v>
      </c>
      <c r="F4" s="303">
        <v>1</v>
      </c>
      <c r="G4" s="303"/>
      <c r="H4" s="303"/>
      <c r="I4" s="303"/>
      <c r="J4" s="303"/>
      <c r="K4" s="303"/>
      <c r="L4" s="304">
        <v>20</v>
      </c>
      <c r="M4" s="302">
        <f t="shared" ref="M4:M9" si="0">SUM(D4-E4)</f>
        <v>0</v>
      </c>
      <c r="N4" s="305">
        <f t="shared" ref="N4:N9" si="1">SUM(E4,M4)</f>
        <v>1</v>
      </c>
      <c r="O4" s="305"/>
      <c r="P4" s="306"/>
      <c r="Q4" s="103"/>
      <c r="T4" s="384"/>
    </row>
    <row r="5" spans="1:22">
      <c r="A5" s="73"/>
      <c r="B5" s="392"/>
      <c r="C5" s="104" t="s">
        <v>58</v>
      </c>
      <c r="D5" s="266">
        <v>7</v>
      </c>
      <c r="E5" s="267">
        <v>7</v>
      </c>
      <c r="F5" s="268">
        <v>2</v>
      </c>
      <c r="G5" s="268"/>
      <c r="H5" s="268"/>
      <c r="I5" s="268">
        <v>2</v>
      </c>
      <c r="J5" s="268">
        <v>2</v>
      </c>
      <c r="K5" s="268"/>
      <c r="L5" s="289">
        <v>1870</v>
      </c>
      <c r="M5" s="267">
        <f t="shared" si="0"/>
        <v>0</v>
      </c>
      <c r="N5" s="269">
        <f t="shared" si="1"/>
        <v>7</v>
      </c>
      <c r="O5" s="269"/>
      <c r="P5" s="290"/>
      <c r="Q5" s="105"/>
    </row>
    <row r="6" spans="1:22">
      <c r="A6" s="73"/>
      <c r="B6" s="392"/>
      <c r="C6" s="104" t="s">
        <v>55</v>
      </c>
      <c r="D6" s="266">
        <v>9</v>
      </c>
      <c r="E6" s="267">
        <v>9</v>
      </c>
      <c r="F6" s="268">
        <v>4</v>
      </c>
      <c r="G6" s="268"/>
      <c r="H6" s="268"/>
      <c r="I6" s="268">
        <v>1</v>
      </c>
      <c r="J6" s="268">
        <v>2</v>
      </c>
      <c r="K6" s="268"/>
      <c r="L6" s="289"/>
      <c r="M6" s="267">
        <f t="shared" si="0"/>
        <v>0</v>
      </c>
      <c r="N6" s="269">
        <f t="shared" si="1"/>
        <v>9</v>
      </c>
      <c r="O6" s="269"/>
      <c r="P6" s="290"/>
      <c r="Q6" s="105"/>
      <c r="V6" s="86"/>
    </row>
    <row r="7" spans="1:22">
      <c r="A7" s="73"/>
      <c r="B7" s="392"/>
      <c r="C7" s="104" t="s">
        <v>53</v>
      </c>
      <c r="D7" s="266">
        <v>9</v>
      </c>
      <c r="E7" s="267">
        <v>9</v>
      </c>
      <c r="F7" s="268">
        <v>2</v>
      </c>
      <c r="G7" s="268"/>
      <c r="H7" s="268"/>
      <c r="I7" s="268"/>
      <c r="J7" s="268"/>
      <c r="K7" s="268"/>
      <c r="L7" s="289"/>
      <c r="M7" s="267">
        <f t="shared" si="0"/>
        <v>0</v>
      </c>
      <c r="N7" s="269">
        <f t="shared" si="1"/>
        <v>9</v>
      </c>
      <c r="O7" s="269"/>
      <c r="P7" s="290"/>
      <c r="Q7" s="105"/>
      <c r="V7" s="86"/>
    </row>
    <row r="8" spans="1:22" ht="15" thickBot="1">
      <c r="A8" s="73"/>
      <c r="B8" s="392"/>
      <c r="C8" s="106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0"/>
        <v>0</v>
      </c>
      <c r="N8" s="269">
        <f t="shared" si="1"/>
        <v>0</v>
      </c>
      <c r="O8" s="269"/>
      <c r="P8" s="290"/>
      <c r="Q8" s="105"/>
    </row>
    <row r="9" spans="1:22" ht="15" thickBot="1">
      <c r="A9" s="73"/>
      <c r="B9" s="392"/>
      <c r="C9" s="106"/>
      <c r="D9" s="266"/>
      <c r="E9" s="267"/>
      <c r="F9" s="268"/>
      <c r="G9" s="268"/>
      <c r="H9" s="268"/>
      <c r="I9" s="268"/>
      <c r="J9" s="268"/>
      <c r="K9" s="270"/>
      <c r="L9" s="307"/>
      <c r="M9" s="271">
        <f t="shared" si="0"/>
        <v>0</v>
      </c>
      <c r="N9" s="269">
        <f t="shared" si="1"/>
        <v>0</v>
      </c>
      <c r="O9" s="269"/>
      <c r="P9" s="290"/>
      <c r="Q9" s="105"/>
    </row>
    <row r="10" spans="1:22" ht="15" thickBot="1">
      <c r="A10" s="73"/>
      <c r="B10" s="392"/>
      <c r="C10" s="107" t="s">
        <v>69</v>
      </c>
      <c r="D10" s="266">
        <f t="shared" ref="D10:K10" si="2">SUM(D4:D9)</f>
        <v>26</v>
      </c>
      <c r="E10" s="267">
        <f t="shared" si="2"/>
        <v>26</v>
      </c>
      <c r="F10" s="268">
        <f t="shared" si="2"/>
        <v>9</v>
      </c>
      <c r="G10" s="268">
        <f t="shared" si="2"/>
        <v>0</v>
      </c>
      <c r="H10" s="268">
        <f t="shared" si="2"/>
        <v>0</v>
      </c>
      <c r="I10" s="268">
        <f t="shared" si="2"/>
        <v>3</v>
      </c>
      <c r="J10" s="268">
        <f t="shared" si="2"/>
        <v>4</v>
      </c>
      <c r="K10" s="270">
        <f t="shared" si="2"/>
        <v>0</v>
      </c>
      <c r="L10" s="307">
        <v>5898.63</v>
      </c>
      <c r="M10" s="271">
        <f>SUM(M4:M9)</f>
        <v>0</v>
      </c>
      <c r="N10" s="269">
        <f>SUM(N4:N9)</f>
        <v>26</v>
      </c>
      <c r="O10" s="95"/>
      <c r="P10" s="96"/>
      <c r="Q10" s="105"/>
    </row>
    <row r="11" spans="1:22" ht="15" thickBot="1">
      <c r="A11" s="73"/>
      <c r="B11" s="393"/>
      <c r="C11" s="92" t="s">
        <v>45</v>
      </c>
      <c r="D11" s="272">
        <f>SUM(D4:D9)</f>
        <v>26</v>
      </c>
      <c r="E11" s="272">
        <f>SUM(E4:E9)</f>
        <v>26</v>
      </c>
      <c r="F11" s="381">
        <f>SUM(F10:K10)</f>
        <v>16</v>
      </c>
      <c r="G11" s="382"/>
      <c r="H11" s="382"/>
      <c r="I11" s="382"/>
      <c r="J11" s="382"/>
      <c r="K11" s="383"/>
      <c r="L11" s="274">
        <f>L10</f>
        <v>5898.63</v>
      </c>
      <c r="M11" s="272">
        <f>SUM(M4:M9)</f>
        <v>0</v>
      </c>
      <c r="N11" s="272">
        <f>SUM(N4:N9)</f>
        <v>26</v>
      </c>
      <c r="O11" s="272">
        <f>SUM(O10)</f>
        <v>0</v>
      </c>
      <c r="P11" s="275">
        <f>SUM(P10)</f>
        <v>0</v>
      </c>
      <c r="Q11" s="93"/>
      <c r="T11" s="108">
        <f>$V$3+L11</f>
        <v>1045614.15</v>
      </c>
    </row>
    <row r="12" spans="1:22" ht="15" thickTop="1">
      <c r="A12" s="73" t="str">
        <f ca="1">OFFSET('0'!$B$112,($A$1-1)*10,$B12-1)</f>
        <v>SK</v>
      </c>
      <c r="B12" s="391">
        <f ca="1">OFFSET('0'!$B$111,($A$1-1)*10,1)</f>
        <v>2</v>
      </c>
      <c r="C12" s="104" t="s">
        <v>53</v>
      </c>
      <c r="D12" s="284">
        <v>0</v>
      </c>
      <c r="E12" s="285">
        <v>0</v>
      </c>
      <c r="F12" s="286"/>
      <c r="G12" s="286"/>
      <c r="H12" s="286"/>
      <c r="I12" s="286"/>
      <c r="J12" s="286"/>
      <c r="K12" s="286"/>
      <c r="L12" s="295"/>
      <c r="M12" s="285">
        <f t="shared" ref="M12:M17" si="3">SUM(D12-E12)</f>
        <v>0</v>
      </c>
      <c r="N12" s="305">
        <f t="shared" ref="N12:N17" si="4">SUM(E12,M12)</f>
        <v>0</v>
      </c>
      <c r="O12" s="305"/>
      <c r="P12" s="292"/>
      <c r="Q12" s="110"/>
    </row>
    <row r="13" spans="1:22" ht="17.25" customHeight="1">
      <c r="A13" s="73"/>
      <c r="B13" s="392"/>
      <c r="C13" s="104" t="s">
        <v>58</v>
      </c>
      <c r="D13" s="266">
        <v>3</v>
      </c>
      <c r="E13" s="267">
        <v>3</v>
      </c>
      <c r="F13" s="268">
        <v>1</v>
      </c>
      <c r="G13" s="268"/>
      <c r="H13" s="268"/>
      <c r="I13" s="268">
        <v>1</v>
      </c>
      <c r="J13" s="268"/>
      <c r="K13" s="268"/>
      <c r="L13" s="289">
        <v>20</v>
      </c>
      <c r="M13" s="267">
        <f t="shared" si="3"/>
        <v>0</v>
      </c>
      <c r="N13" s="269">
        <f t="shared" si="4"/>
        <v>3</v>
      </c>
      <c r="O13" s="269"/>
      <c r="P13" s="290"/>
      <c r="Q13" s="105"/>
    </row>
    <row r="14" spans="1:22">
      <c r="A14" s="73"/>
      <c r="B14" s="392"/>
      <c r="C14" s="104" t="s">
        <v>48</v>
      </c>
      <c r="D14" s="266">
        <v>4</v>
      </c>
      <c r="E14" s="267">
        <v>4</v>
      </c>
      <c r="F14" s="268"/>
      <c r="G14" s="268"/>
      <c r="H14" s="268"/>
      <c r="I14" s="268"/>
      <c r="J14" s="268"/>
      <c r="K14" s="268"/>
      <c r="L14" s="289">
        <v>8000</v>
      </c>
      <c r="M14" s="267">
        <f t="shared" si="3"/>
        <v>0</v>
      </c>
      <c r="N14" s="269">
        <f t="shared" si="4"/>
        <v>4</v>
      </c>
      <c r="O14" s="269"/>
      <c r="P14" s="290"/>
      <c r="Q14" s="105"/>
    </row>
    <row r="15" spans="1:22">
      <c r="A15" s="73"/>
      <c r="B15" s="392"/>
      <c r="C15" s="106" t="s">
        <v>59</v>
      </c>
      <c r="D15" s="266">
        <v>5</v>
      </c>
      <c r="E15" s="267">
        <v>5</v>
      </c>
      <c r="F15" s="268">
        <v>1</v>
      </c>
      <c r="G15" s="268"/>
      <c r="H15" s="268"/>
      <c r="I15" s="268">
        <v>1</v>
      </c>
      <c r="J15" s="268">
        <v>2</v>
      </c>
      <c r="K15" s="268"/>
      <c r="L15" s="289">
        <v>470</v>
      </c>
      <c r="M15" s="267">
        <f t="shared" si="3"/>
        <v>0</v>
      </c>
      <c r="N15" s="269">
        <f t="shared" si="4"/>
        <v>5</v>
      </c>
      <c r="O15" s="269"/>
      <c r="P15" s="290"/>
      <c r="Q15" s="105"/>
    </row>
    <row r="16" spans="1:22" ht="15" thickBot="1">
      <c r="A16" s="73"/>
      <c r="B16" s="392"/>
      <c r="C16" s="106"/>
      <c r="D16" s="276"/>
      <c r="E16" s="277"/>
      <c r="F16" s="278"/>
      <c r="G16" s="278"/>
      <c r="H16" s="278"/>
      <c r="I16" s="278"/>
      <c r="J16" s="278"/>
      <c r="K16" s="278"/>
      <c r="L16" s="291"/>
      <c r="M16" s="277">
        <f t="shared" si="3"/>
        <v>0</v>
      </c>
      <c r="N16" s="279">
        <f t="shared" si="4"/>
        <v>0</v>
      </c>
      <c r="O16" s="279"/>
      <c r="P16" s="292"/>
      <c r="Q16" s="111"/>
    </row>
    <row r="17" spans="1:22" ht="15" thickBot="1">
      <c r="A17" s="73"/>
      <c r="B17" s="392"/>
      <c r="C17" s="106"/>
      <c r="D17" s="276"/>
      <c r="E17" s="277"/>
      <c r="F17" s="278"/>
      <c r="G17" s="278"/>
      <c r="H17" s="278"/>
      <c r="I17" s="278"/>
      <c r="J17" s="278"/>
      <c r="K17" s="308"/>
      <c r="L17" s="307"/>
      <c r="M17" s="309">
        <f t="shared" si="3"/>
        <v>0</v>
      </c>
      <c r="N17" s="279">
        <f t="shared" si="4"/>
        <v>0</v>
      </c>
      <c r="O17" s="279"/>
      <c r="P17" s="292"/>
      <c r="Q17" s="111"/>
      <c r="U17" s="83"/>
      <c r="V17" s="84"/>
    </row>
    <row r="18" spans="1:22" ht="15" thickBot="1">
      <c r="A18" s="73"/>
      <c r="B18" s="392"/>
      <c r="C18" s="107" t="s">
        <v>69</v>
      </c>
      <c r="D18" s="276">
        <f t="shared" ref="D18:K18" si="5">SUM(D12:D17)</f>
        <v>12</v>
      </c>
      <c r="E18" s="277">
        <f t="shared" si="5"/>
        <v>12</v>
      </c>
      <c r="F18" s="278">
        <f t="shared" si="5"/>
        <v>2</v>
      </c>
      <c r="G18" s="278">
        <f t="shared" si="5"/>
        <v>0</v>
      </c>
      <c r="H18" s="278">
        <f t="shared" si="5"/>
        <v>0</v>
      </c>
      <c r="I18" s="278">
        <f t="shared" si="5"/>
        <v>2</v>
      </c>
      <c r="J18" s="278">
        <f t="shared" si="5"/>
        <v>2</v>
      </c>
      <c r="K18" s="308">
        <f t="shared" si="5"/>
        <v>0</v>
      </c>
      <c r="L18" s="307">
        <v>8490</v>
      </c>
      <c r="M18" s="309">
        <f>SUM(M12:M17)</f>
        <v>0</v>
      </c>
      <c r="N18" s="280">
        <f>SUM(N12:N17)</f>
        <v>12</v>
      </c>
      <c r="O18" s="112"/>
      <c r="P18" s="113"/>
      <c r="Q18" s="111"/>
      <c r="U18" s="85"/>
      <c r="V18" s="85"/>
    </row>
    <row r="19" spans="1:22" ht="15" thickBot="1">
      <c r="A19" s="73"/>
      <c r="B19" s="393"/>
      <c r="C19" s="92" t="s">
        <v>45</v>
      </c>
      <c r="D19" s="272">
        <f>SUM(D12:D17)</f>
        <v>12</v>
      </c>
      <c r="E19" s="272">
        <f>SUM(E12:E17)</f>
        <v>12</v>
      </c>
      <c r="F19" s="381">
        <f>SUM(F18:K18)</f>
        <v>6</v>
      </c>
      <c r="G19" s="382"/>
      <c r="H19" s="382"/>
      <c r="I19" s="382"/>
      <c r="J19" s="382"/>
      <c r="K19" s="383"/>
      <c r="L19" s="274">
        <f>L18</f>
        <v>8490</v>
      </c>
      <c r="M19" s="272">
        <f>SUM(M12:M17)</f>
        <v>0</v>
      </c>
      <c r="N19" s="272">
        <f>SUM(N12:N17)</f>
        <v>12</v>
      </c>
      <c r="O19" s="272">
        <f>SUM(O18)</f>
        <v>0</v>
      </c>
      <c r="P19" s="275">
        <f>SUM(P18)</f>
        <v>0</v>
      </c>
      <c r="Q19" s="93"/>
      <c r="T19" s="108">
        <f>$V$3+L11+L19</f>
        <v>1054104.1499999999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06" t="s">
        <v>59</v>
      </c>
      <c r="D20" s="301">
        <v>1</v>
      </c>
      <c r="E20" s="302">
        <v>1</v>
      </c>
      <c r="F20" s="303">
        <v>1</v>
      </c>
      <c r="G20" s="303"/>
      <c r="H20" s="303"/>
      <c r="I20" s="303"/>
      <c r="J20" s="303">
        <v>1</v>
      </c>
      <c r="K20" s="303"/>
      <c r="L20" s="304">
        <v>100</v>
      </c>
      <c r="M20" s="302">
        <f t="shared" ref="M20:M25" si="6">SUM(D20-E20)</f>
        <v>0</v>
      </c>
      <c r="N20" s="305">
        <f t="shared" ref="N20:N25" si="7">SUM(E20,M20)</f>
        <v>1</v>
      </c>
      <c r="O20" s="305"/>
      <c r="P20" s="306"/>
      <c r="Q20" s="103"/>
    </row>
    <row r="21" spans="1:22" ht="15.6" thickTop="1" thickBot="1">
      <c r="A21" s="73"/>
      <c r="B21" s="380"/>
      <c r="C21" s="104" t="s">
        <v>49</v>
      </c>
      <c r="D21" s="266">
        <v>22</v>
      </c>
      <c r="E21" s="267">
        <v>21</v>
      </c>
      <c r="F21" s="268">
        <v>3</v>
      </c>
      <c r="G21" s="268"/>
      <c r="H21" s="268"/>
      <c r="I21" s="268"/>
      <c r="J21" s="268">
        <v>1</v>
      </c>
      <c r="K21" s="268"/>
      <c r="L21" s="289"/>
      <c r="M21" s="267">
        <f t="shared" si="6"/>
        <v>1</v>
      </c>
      <c r="N21" s="269">
        <f t="shared" si="7"/>
        <v>22</v>
      </c>
      <c r="O21" s="269"/>
      <c r="P21" s="290"/>
      <c r="Q21" s="105"/>
    </row>
    <row r="22" spans="1:22" ht="15.6" thickTop="1" thickBot="1">
      <c r="A22" s="73"/>
      <c r="B22" s="380"/>
      <c r="C22" s="104" t="s">
        <v>48</v>
      </c>
      <c r="D22" s="266">
        <v>21</v>
      </c>
      <c r="E22" s="267">
        <v>20</v>
      </c>
      <c r="F22" s="268">
        <v>2</v>
      </c>
      <c r="G22" s="268"/>
      <c r="H22" s="268"/>
      <c r="I22" s="268"/>
      <c r="J22" s="268"/>
      <c r="K22" s="268"/>
      <c r="L22" s="289">
        <v>15726.73</v>
      </c>
      <c r="M22" s="267">
        <f t="shared" si="6"/>
        <v>1</v>
      </c>
      <c r="N22" s="269">
        <f t="shared" si="7"/>
        <v>21</v>
      </c>
      <c r="O22" s="269"/>
      <c r="P22" s="290"/>
      <c r="Q22" s="105"/>
    </row>
    <row r="23" spans="1:22" ht="15.6" thickTop="1" thickBot="1">
      <c r="A23" s="73"/>
      <c r="B23" s="380"/>
      <c r="C23" s="106" t="s">
        <v>47</v>
      </c>
      <c r="D23" s="266">
        <v>8</v>
      </c>
      <c r="E23" s="267">
        <v>8</v>
      </c>
      <c r="F23" s="268">
        <v>4</v>
      </c>
      <c r="G23" s="268"/>
      <c r="H23" s="268"/>
      <c r="I23" s="268">
        <v>1</v>
      </c>
      <c r="J23" s="268">
        <v>1</v>
      </c>
      <c r="K23" s="268"/>
      <c r="L23" s="289">
        <v>83094.899999999994</v>
      </c>
      <c r="M23" s="267">
        <f t="shared" si="6"/>
        <v>0</v>
      </c>
      <c r="N23" s="269">
        <f t="shared" si="7"/>
        <v>8</v>
      </c>
      <c r="O23" s="269"/>
      <c r="P23" s="290"/>
      <c r="Q23" s="105"/>
    </row>
    <row r="24" spans="1:22" ht="15.6" thickTop="1" thickBot="1">
      <c r="A24" s="73"/>
      <c r="B24" s="380"/>
      <c r="C24" s="106"/>
      <c r="D24" s="276"/>
      <c r="E24" s="277"/>
      <c r="F24" s="278"/>
      <c r="G24" s="278"/>
      <c r="H24" s="278"/>
      <c r="I24" s="278"/>
      <c r="J24" s="278"/>
      <c r="K24" s="278"/>
      <c r="L24" s="291"/>
      <c r="M24" s="277">
        <f t="shared" si="6"/>
        <v>0</v>
      </c>
      <c r="N24" s="269">
        <f t="shared" si="7"/>
        <v>0</v>
      </c>
      <c r="O24" s="269"/>
      <c r="P24" s="293"/>
      <c r="Q24" s="111"/>
    </row>
    <row r="25" spans="1:22" ht="15.6" thickTop="1" thickBot="1">
      <c r="A25" s="73"/>
      <c r="B25" s="380"/>
      <c r="C25" s="106"/>
      <c r="D25" s="276"/>
      <c r="E25" s="277"/>
      <c r="F25" s="278"/>
      <c r="G25" s="278"/>
      <c r="H25" s="278"/>
      <c r="I25" s="278"/>
      <c r="J25" s="278"/>
      <c r="K25" s="308"/>
      <c r="L25" s="307"/>
      <c r="M25" s="309">
        <f t="shared" si="6"/>
        <v>0</v>
      </c>
      <c r="N25" s="269">
        <f t="shared" si="7"/>
        <v>0</v>
      </c>
      <c r="O25" s="269"/>
      <c r="P25" s="293"/>
      <c r="Q25" s="111"/>
    </row>
    <row r="26" spans="1:22" ht="15.6" thickTop="1" thickBot="1">
      <c r="A26" s="73"/>
      <c r="B26" s="380"/>
      <c r="C26" s="107" t="s">
        <v>69</v>
      </c>
      <c r="D26" s="276">
        <f t="shared" ref="D26:K26" si="8">SUM(D20:D25)</f>
        <v>52</v>
      </c>
      <c r="E26" s="277">
        <f t="shared" si="8"/>
        <v>50</v>
      </c>
      <c r="F26" s="278">
        <f t="shared" si="8"/>
        <v>10</v>
      </c>
      <c r="G26" s="278">
        <f t="shared" si="8"/>
        <v>0</v>
      </c>
      <c r="H26" s="278">
        <f t="shared" si="8"/>
        <v>0</v>
      </c>
      <c r="I26" s="278">
        <f t="shared" si="8"/>
        <v>1</v>
      </c>
      <c r="J26" s="278">
        <f t="shared" si="8"/>
        <v>3</v>
      </c>
      <c r="K26" s="308">
        <f t="shared" si="8"/>
        <v>0</v>
      </c>
      <c r="L26" s="307">
        <v>237146.93</v>
      </c>
      <c r="M26" s="309">
        <f>SUM(M20:M25)</f>
        <v>2</v>
      </c>
      <c r="N26" s="280">
        <f>SUM(N20:N25)</f>
        <v>52</v>
      </c>
      <c r="O26" s="112"/>
      <c r="P26" s="113"/>
      <c r="Q26" s="111"/>
    </row>
    <row r="27" spans="1:22" ht="15.6" thickTop="1" thickBot="1">
      <c r="A27" s="73"/>
      <c r="B27" s="380"/>
      <c r="C27" s="98" t="s">
        <v>45</v>
      </c>
      <c r="D27" s="281">
        <f>SUM(D20:D25)</f>
        <v>52</v>
      </c>
      <c r="E27" s="281">
        <f>SUM(E20:E25)</f>
        <v>50</v>
      </c>
      <c r="F27" s="381">
        <f>SUM(F26:K26)</f>
        <v>14</v>
      </c>
      <c r="G27" s="382"/>
      <c r="H27" s="382"/>
      <c r="I27" s="382"/>
      <c r="J27" s="382"/>
      <c r="K27" s="383"/>
      <c r="L27" s="282">
        <f>L26</f>
        <v>237146.93</v>
      </c>
      <c r="M27" s="272">
        <f>SUM(M20:M25)</f>
        <v>2</v>
      </c>
      <c r="N27" s="272">
        <f>SUM(N20:N25)</f>
        <v>52</v>
      </c>
      <c r="O27" s="272">
        <f>SUM(O26)</f>
        <v>0</v>
      </c>
      <c r="P27" s="310">
        <f>SUM(P26)</f>
        <v>0</v>
      </c>
      <c r="Q27" s="99"/>
      <c r="T27" s="108">
        <f>$V$3++L11+L19+L27</f>
        <v>1291251.0799999998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06" t="s">
        <v>47</v>
      </c>
      <c r="D28" s="301">
        <v>1</v>
      </c>
      <c r="E28" s="302">
        <v>1</v>
      </c>
      <c r="F28" s="303"/>
      <c r="G28" s="303"/>
      <c r="H28" s="303"/>
      <c r="I28" s="303"/>
      <c r="J28" s="303"/>
      <c r="K28" s="303"/>
      <c r="L28" s="304">
        <v>43.98</v>
      </c>
      <c r="M28" s="302">
        <f t="shared" ref="M28:M33" si="9">SUM(D28-E28)</f>
        <v>0</v>
      </c>
      <c r="N28" s="305">
        <f t="shared" ref="N28:N33" si="10">SUM(E28,M28)</f>
        <v>1</v>
      </c>
      <c r="O28" s="305"/>
      <c r="P28" s="306"/>
      <c r="Q28" s="103"/>
    </row>
    <row r="29" spans="1:22" ht="17.25" customHeight="1" thickTop="1" thickBot="1">
      <c r="A29" s="73"/>
      <c r="B29" s="380"/>
      <c r="C29" s="104" t="s">
        <v>46</v>
      </c>
      <c r="D29" s="266">
        <v>20</v>
      </c>
      <c r="E29" s="267">
        <v>20</v>
      </c>
      <c r="F29" s="268">
        <v>5</v>
      </c>
      <c r="G29" s="268"/>
      <c r="H29" s="268"/>
      <c r="I29" s="268">
        <v>1</v>
      </c>
      <c r="J29" s="268">
        <v>2</v>
      </c>
      <c r="K29" s="268"/>
      <c r="L29" s="289">
        <v>10257.5</v>
      </c>
      <c r="M29" s="267">
        <f t="shared" si="9"/>
        <v>0</v>
      </c>
      <c r="N29" s="269">
        <f t="shared" si="10"/>
        <v>20</v>
      </c>
      <c r="O29" s="269"/>
      <c r="P29" s="290"/>
      <c r="Q29" s="105"/>
    </row>
    <row r="30" spans="1:22" ht="17.25" customHeight="1" thickTop="1" thickBot="1">
      <c r="A30" s="73"/>
      <c r="B30" s="380"/>
      <c r="C30" s="104" t="s">
        <v>49</v>
      </c>
      <c r="D30" s="266">
        <v>16</v>
      </c>
      <c r="E30" s="267">
        <v>16</v>
      </c>
      <c r="F30" s="268">
        <v>1</v>
      </c>
      <c r="G30" s="268"/>
      <c r="H30" s="268"/>
      <c r="I30" s="268"/>
      <c r="J30" s="268">
        <v>1</v>
      </c>
      <c r="K30" s="268"/>
      <c r="L30" s="289">
        <v>266.74</v>
      </c>
      <c r="M30" s="267">
        <f t="shared" si="9"/>
        <v>0</v>
      </c>
      <c r="N30" s="269">
        <f t="shared" si="10"/>
        <v>16</v>
      </c>
      <c r="O30" s="269"/>
      <c r="P30" s="290"/>
      <c r="Q30" s="105"/>
    </row>
    <row r="31" spans="1:22" ht="17.25" customHeight="1" thickTop="1" thickBot="1">
      <c r="A31" s="73"/>
      <c r="B31" s="380"/>
      <c r="C31" s="106" t="s">
        <v>50</v>
      </c>
      <c r="D31" s="266">
        <v>17</v>
      </c>
      <c r="E31" s="267">
        <v>16</v>
      </c>
      <c r="F31" s="268">
        <v>4</v>
      </c>
      <c r="G31" s="268"/>
      <c r="H31" s="268"/>
      <c r="I31" s="268"/>
      <c r="J31" s="268">
        <v>1</v>
      </c>
      <c r="K31" s="268"/>
      <c r="L31" s="289">
        <v>33937.72</v>
      </c>
      <c r="M31" s="267">
        <f t="shared" si="9"/>
        <v>1</v>
      </c>
      <c r="N31" s="269">
        <f t="shared" si="10"/>
        <v>17</v>
      </c>
      <c r="O31" s="269"/>
      <c r="P31" s="290"/>
      <c r="Q31" s="142" t="s">
        <v>71</v>
      </c>
    </row>
    <row r="32" spans="1:22" ht="15.6" thickTop="1" thickBot="1">
      <c r="A32" s="73"/>
      <c r="B32" s="380"/>
      <c r="C32" s="106" t="s">
        <v>51</v>
      </c>
      <c r="D32" s="266">
        <v>10</v>
      </c>
      <c r="E32" s="267">
        <v>10</v>
      </c>
      <c r="F32" s="268">
        <v>2</v>
      </c>
      <c r="G32" s="268"/>
      <c r="H32" s="268"/>
      <c r="I32" s="268"/>
      <c r="J32" s="268">
        <v>1</v>
      </c>
      <c r="K32" s="268"/>
      <c r="L32" s="291">
        <v>26447</v>
      </c>
      <c r="M32" s="267">
        <f t="shared" si="9"/>
        <v>0</v>
      </c>
      <c r="N32" s="269">
        <f t="shared" si="10"/>
        <v>10</v>
      </c>
      <c r="O32" s="269"/>
      <c r="P32" s="290"/>
      <c r="Q32" s="105"/>
    </row>
    <row r="33" spans="1:20" ht="15.6" thickTop="1" thickBot="1">
      <c r="A33" s="73"/>
      <c r="B33" s="380"/>
      <c r="C33" s="106"/>
      <c r="D33" s="266"/>
      <c r="E33" s="267"/>
      <c r="F33" s="268"/>
      <c r="G33" s="268"/>
      <c r="H33" s="268"/>
      <c r="I33" s="268"/>
      <c r="J33" s="268"/>
      <c r="K33" s="270"/>
      <c r="L33" s="307"/>
      <c r="M33" s="271">
        <f t="shared" si="9"/>
        <v>0</v>
      </c>
      <c r="N33" s="269">
        <f t="shared" si="10"/>
        <v>0</v>
      </c>
      <c r="O33" s="269"/>
      <c r="P33" s="290"/>
      <c r="Q33" s="105"/>
    </row>
    <row r="34" spans="1:20" ht="15.6" thickTop="1" thickBot="1">
      <c r="A34" s="73"/>
      <c r="B34" s="380"/>
      <c r="C34" s="107" t="s">
        <v>69</v>
      </c>
      <c r="D34" s="266">
        <f t="shared" ref="D34:K34" si="11">SUM(D28:D33)</f>
        <v>64</v>
      </c>
      <c r="E34" s="267">
        <f t="shared" si="11"/>
        <v>63</v>
      </c>
      <c r="F34" s="268">
        <f t="shared" si="11"/>
        <v>12</v>
      </c>
      <c r="G34" s="268">
        <f t="shared" si="11"/>
        <v>0</v>
      </c>
      <c r="H34" s="268">
        <f t="shared" si="11"/>
        <v>0</v>
      </c>
      <c r="I34" s="268">
        <f t="shared" si="11"/>
        <v>1</v>
      </c>
      <c r="J34" s="268">
        <f t="shared" si="11"/>
        <v>5</v>
      </c>
      <c r="K34" s="270">
        <f t="shared" si="11"/>
        <v>0</v>
      </c>
      <c r="L34" s="307">
        <v>107906.3</v>
      </c>
      <c r="M34" s="271">
        <f>SUM(M28:M33)</f>
        <v>1</v>
      </c>
      <c r="N34" s="269">
        <f>SUM(N28:N33)</f>
        <v>64</v>
      </c>
      <c r="O34" s="95"/>
      <c r="P34" s="96"/>
      <c r="Q34" s="105"/>
    </row>
    <row r="35" spans="1:20" ht="15.6" thickTop="1" thickBot="1">
      <c r="A35" s="73"/>
      <c r="B35" s="380"/>
      <c r="C35" s="92" t="s">
        <v>45</v>
      </c>
      <c r="D35" s="272">
        <f>SUM(D28:D33)</f>
        <v>64</v>
      </c>
      <c r="E35" s="272">
        <f>SUM(E28:E33)</f>
        <v>63</v>
      </c>
      <c r="F35" s="381">
        <f>SUM(F34:K34)</f>
        <v>18</v>
      </c>
      <c r="G35" s="382"/>
      <c r="H35" s="382"/>
      <c r="I35" s="382"/>
      <c r="J35" s="382"/>
      <c r="K35" s="383"/>
      <c r="L35" s="274">
        <f>L34</f>
        <v>107906.3</v>
      </c>
      <c r="M35" s="272">
        <f>SUM(M28:M33)</f>
        <v>1</v>
      </c>
      <c r="N35" s="272">
        <f>SUM(N28:N33)</f>
        <v>64</v>
      </c>
      <c r="O35" s="272">
        <f>SUM(O34)</f>
        <v>0</v>
      </c>
      <c r="P35" s="275">
        <f>SUM(P34)</f>
        <v>0</v>
      </c>
      <c r="Q35" s="93"/>
      <c r="T35" s="108">
        <f>$V$3+L11+L19+L27+L35</f>
        <v>1399157.38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06" t="s">
        <v>51</v>
      </c>
      <c r="D36" s="301">
        <v>1</v>
      </c>
      <c r="E36" s="302">
        <v>1</v>
      </c>
      <c r="F36" s="303">
        <v>1</v>
      </c>
      <c r="G36" s="303"/>
      <c r="H36" s="303"/>
      <c r="I36" s="303"/>
      <c r="J36" s="303"/>
      <c r="K36" s="303"/>
      <c r="L36" s="304"/>
      <c r="M36" s="302">
        <f t="shared" ref="M36:M41" si="12">SUM(D36-E36)</f>
        <v>0</v>
      </c>
      <c r="N36" s="305">
        <f>SUM(E36,M36)</f>
        <v>1</v>
      </c>
      <c r="O36" s="305"/>
      <c r="P36" s="306"/>
      <c r="Q36" s="103"/>
    </row>
    <row r="37" spans="1:20" ht="15.6" thickTop="1" thickBot="1">
      <c r="A37" s="73"/>
      <c r="B37" s="380"/>
      <c r="C37" s="104" t="s">
        <v>46</v>
      </c>
      <c r="D37" s="266">
        <v>31</v>
      </c>
      <c r="E37" s="267">
        <v>31</v>
      </c>
      <c r="F37" s="268">
        <v>5</v>
      </c>
      <c r="G37" s="268"/>
      <c r="H37" s="268"/>
      <c r="I37" s="268">
        <v>1</v>
      </c>
      <c r="J37" s="268">
        <v>2</v>
      </c>
      <c r="K37" s="268"/>
      <c r="L37" s="289">
        <v>6160.99</v>
      </c>
      <c r="M37" s="267">
        <f t="shared" si="12"/>
        <v>0</v>
      </c>
      <c r="N37" s="269">
        <f>SUM(E37,M37)</f>
        <v>31</v>
      </c>
      <c r="O37" s="269"/>
      <c r="P37" s="290"/>
      <c r="Q37" s="105"/>
    </row>
    <row r="38" spans="1:20" ht="15.6" thickTop="1" thickBot="1">
      <c r="A38" s="73"/>
      <c r="B38" s="380"/>
      <c r="C38" s="104" t="s">
        <v>50</v>
      </c>
      <c r="D38" s="266">
        <v>29</v>
      </c>
      <c r="E38" s="267">
        <v>27</v>
      </c>
      <c r="F38" s="268">
        <v>2</v>
      </c>
      <c r="G38" s="268"/>
      <c r="H38" s="268"/>
      <c r="I38" s="268">
        <v>1</v>
      </c>
      <c r="J38" s="268">
        <v>1</v>
      </c>
      <c r="K38" s="268"/>
      <c r="L38" s="289">
        <v>879.13</v>
      </c>
      <c r="M38" s="267">
        <f t="shared" si="12"/>
        <v>2</v>
      </c>
      <c r="N38" s="269">
        <f>SUM(E38,M38)</f>
        <v>29</v>
      </c>
      <c r="O38" s="269"/>
      <c r="P38" s="290"/>
      <c r="Q38" s="105"/>
    </row>
    <row r="39" spans="1:20" ht="15.6" thickTop="1" thickBot="1">
      <c r="A39" s="73"/>
      <c r="B39" s="380"/>
      <c r="C39" s="106" t="s">
        <v>60</v>
      </c>
      <c r="D39" s="266">
        <v>11</v>
      </c>
      <c r="E39" s="267">
        <v>11</v>
      </c>
      <c r="F39" s="268">
        <v>3</v>
      </c>
      <c r="G39" s="268"/>
      <c r="H39" s="268"/>
      <c r="I39" s="268">
        <v>1</v>
      </c>
      <c r="J39" s="268">
        <v>1</v>
      </c>
      <c r="K39" s="268"/>
      <c r="L39" s="291"/>
      <c r="M39" s="267">
        <f t="shared" si="12"/>
        <v>0</v>
      </c>
      <c r="N39" s="269">
        <f t="shared" ref="N39:N41" si="13">SUM(E39,M39)</f>
        <v>11</v>
      </c>
      <c r="O39" s="269"/>
      <c r="P39" s="290"/>
      <c r="Q39" s="105"/>
    </row>
    <row r="40" spans="1:20" ht="15.6" thickTop="1" thickBot="1">
      <c r="A40" s="73"/>
      <c r="B40" s="380"/>
      <c r="C40" s="106"/>
      <c r="D40" s="276"/>
      <c r="E40" s="277"/>
      <c r="F40" s="278"/>
      <c r="G40" s="278"/>
      <c r="H40" s="278"/>
      <c r="I40" s="278"/>
      <c r="J40" s="278"/>
      <c r="K40" s="308"/>
      <c r="L40" s="307"/>
      <c r="M40" s="309">
        <f t="shared" si="12"/>
        <v>0</v>
      </c>
      <c r="N40" s="269">
        <f t="shared" si="13"/>
        <v>0</v>
      </c>
      <c r="O40" s="269"/>
      <c r="P40" s="290"/>
      <c r="Q40" s="105"/>
    </row>
    <row r="41" spans="1:20" ht="15.6" thickTop="1" thickBot="1">
      <c r="A41" s="73"/>
      <c r="B41" s="380"/>
      <c r="C41" s="106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05"/>
    </row>
    <row r="42" spans="1:20" ht="15.6" thickTop="1" thickBot="1">
      <c r="A42" s="73"/>
      <c r="B42" s="380"/>
      <c r="C42" s="107" t="s">
        <v>69</v>
      </c>
      <c r="D42" s="276">
        <f t="shared" ref="D42:K42" si="14">SUM(D36:D41)</f>
        <v>72</v>
      </c>
      <c r="E42" s="277">
        <f t="shared" si="14"/>
        <v>70</v>
      </c>
      <c r="F42" s="278">
        <f t="shared" si="14"/>
        <v>11</v>
      </c>
      <c r="G42" s="278">
        <f t="shared" si="14"/>
        <v>0</v>
      </c>
      <c r="H42" s="278">
        <f t="shared" si="14"/>
        <v>0</v>
      </c>
      <c r="I42" s="278">
        <f t="shared" si="14"/>
        <v>3</v>
      </c>
      <c r="J42" s="278">
        <f t="shared" si="14"/>
        <v>4</v>
      </c>
      <c r="K42" s="308">
        <f t="shared" si="14"/>
        <v>0</v>
      </c>
      <c r="L42" s="307">
        <v>151226.23999999999</v>
      </c>
      <c r="M42" s="309">
        <f>SUM(M36:M41)</f>
        <v>2</v>
      </c>
      <c r="N42" s="279">
        <f>SUM(N36:N41)</f>
        <v>72</v>
      </c>
      <c r="O42" s="97"/>
      <c r="P42" s="109"/>
      <c r="Q42" s="111"/>
    </row>
    <row r="43" spans="1:20" ht="15.6" thickTop="1" thickBot="1">
      <c r="A43" s="73"/>
      <c r="B43" s="380"/>
      <c r="C43" s="92" t="s">
        <v>45</v>
      </c>
      <c r="D43" s="272">
        <f>SUM(D36:D41)</f>
        <v>72</v>
      </c>
      <c r="E43" s="272">
        <f>SUM(E36:E41)</f>
        <v>70</v>
      </c>
      <c r="F43" s="381">
        <f>SUM(F42:K42)</f>
        <v>18</v>
      </c>
      <c r="G43" s="382"/>
      <c r="H43" s="382"/>
      <c r="I43" s="382"/>
      <c r="J43" s="382"/>
      <c r="K43" s="383"/>
      <c r="L43" s="274">
        <f>L42</f>
        <v>151226.23999999999</v>
      </c>
      <c r="M43" s="272">
        <f>SUM(M36:M41)</f>
        <v>2</v>
      </c>
      <c r="N43" s="272">
        <f>SUM(N36:N41)</f>
        <v>72</v>
      </c>
      <c r="O43" s="272">
        <f>SUM(O42)</f>
        <v>0</v>
      </c>
      <c r="P43" s="275">
        <f>SUM(P42)</f>
        <v>0</v>
      </c>
      <c r="Q43" s="93"/>
      <c r="T43" s="108">
        <f>$V$3+L11+L19+L27+L35+L43</f>
        <v>1550383.6199999999</v>
      </c>
    </row>
    <row r="44" spans="1:20" ht="15.6" thickTop="1" thickBot="1">
      <c r="A44" s="73" t="str">
        <f ca="1">OFFSET('0'!$B$112,($A$1-1)*10,$B44-1)</f>
        <v>--</v>
      </c>
      <c r="B44" s="380">
        <f ca="1">OFFSET('0'!$B$111,($A$1-1)*10,5)</f>
        <v>6</v>
      </c>
      <c r="C44" s="106" t="s">
        <v>60</v>
      </c>
      <c r="D44" s="301">
        <v>1</v>
      </c>
      <c r="E44" s="302">
        <v>1</v>
      </c>
      <c r="F44" s="303">
        <v>1</v>
      </c>
      <c r="G44" s="303"/>
      <c r="H44" s="303"/>
      <c r="I44" s="303"/>
      <c r="J44" s="303">
        <v>1</v>
      </c>
      <c r="K44" s="303"/>
      <c r="L44" s="304"/>
      <c r="M44" s="302">
        <f t="shared" ref="M44:M49" si="15">SUM(D44-E44)</f>
        <v>0</v>
      </c>
      <c r="N44" s="305">
        <f t="shared" ref="N44:N49" si="16">SUM(E44,M44)</f>
        <v>1</v>
      </c>
      <c r="O44" s="305"/>
      <c r="P44" s="306"/>
      <c r="Q44" s="103"/>
    </row>
    <row r="45" spans="1:20" ht="15.6" thickTop="1" thickBot="1">
      <c r="A45" s="73"/>
      <c r="B45" s="380"/>
      <c r="C45" s="104" t="s">
        <v>56</v>
      </c>
      <c r="D45" s="266">
        <v>32</v>
      </c>
      <c r="E45" s="267">
        <v>31</v>
      </c>
      <c r="F45" s="268">
        <v>3</v>
      </c>
      <c r="G45" s="268"/>
      <c r="H45" s="268"/>
      <c r="I45" s="268">
        <v>2</v>
      </c>
      <c r="J45" s="268">
        <v>5</v>
      </c>
      <c r="K45" s="268"/>
      <c r="L45" s="289">
        <v>9708.4599999999991</v>
      </c>
      <c r="M45" s="267">
        <f t="shared" si="15"/>
        <v>1</v>
      </c>
      <c r="N45" s="269">
        <f t="shared" si="16"/>
        <v>32</v>
      </c>
      <c r="O45" s="269"/>
      <c r="P45" s="290"/>
      <c r="Q45" s="105"/>
    </row>
    <row r="46" spans="1:20" ht="15.6" thickTop="1" thickBot="1">
      <c r="A46" s="73"/>
      <c r="B46" s="380"/>
      <c r="C46" s="104" t="s">
        <v>52</v>
      </c>
      <c r="D46" s="266">
        <v>28</v>
      </c>
      <c r="E46" s="267">
        <v>27</v>
      </c>
      <c r="F46" s="268">
        <v>5</v>
      </c>
      <c r="G46" s="268"/>
      <c r="H46" s="268"/>
      <c r="I46" s="268">
        <v>2</v>
      </c>
      <c r="J46" s="268"/>
      <c r="K46" s="268"/>
      <c r="L46" s="289">
        <v>4864</v>
      </c>
      <c r="M46" s="267">
        <f t="shared" si="15"/>
        <v>1</v>
      </c>
      <c r="N46" s="269">
        <f t="shared" si="16"/>
        <v>28</v>
      </c>
      <c r="O46" s="269"/>
      <c r="P46" s="290"/>
      <c r="Q46" s="105"/>
    </row>
    <row r="47" spans="1:20" ht="15.6" thickTop="1" thickBot="1">
      <c r="A47" s="73"/>
      <c r="B47" s="380"/>
      <c r="C47" s="106" t="s">
        <v>54</v>
      </c>
      <c r="D47" s="266">
        <v>11</v>
      </c>
      <c r="E47" s="267">
        <v>11</v>
      </c>
      <c r="F47" s="268">
        <v>1</v>
      </c>
      <c r="G47" s="268"/>
      <c r="H47" s="268"/>
      <c r="I47" s="268"/>
      <c r="J47" s="268"/>
      <c r="K47" s="268"/>
      <c r="L47" s="289">
        <v>3528.48</v>
      </c>
      <c r="M47" s="267">
        <f t="shared" si="15"/>
        <v>0</v>
      </c>
      <c r="N47" s="269">
        <f t="shared" si="16"/>
        <v>11</v>
      </c>
      <c r="O47" s="269"/>
      <c r="P47" s="290"/>
      <c r="Q47" s="105"/>
    </row>
    <row r="48" spans="1:20" ht="15.6" thickTop="1" thickBot="1">
      <c r="A48" s="73"/>
      <c r="B48" s="380"/>
      <c r="C48" s="106"/>
      <c r="D48" s="276"/>
      <c r="E48" s="277"/>
      <c r="F48" s="278"/>
      <c r="G48" s="278"/>
      <c r="H48" s="278"/>
      <c r="I48" s="278"/>
      <c r="J48" s="278"/>
      <c r="K48" s="278"/>
      <c r="L48" s="291"/>
      <c r="M48" s="277">
        <f t="shared" si="15"/>
        <v>0</v>
      </c>
      <c r="N48" s="269">
        <f t="shared" si="16"/>
        <v>0</v>
      </c>
      <c r="O48" s="279"/>
      <c r="P48" s="292"/>
      <c r="Q48" s="111"/>
    </row>
    <row r="49" spans="1:20" ht="15.6" thickTop="1" thickBot="1">
      <c r="A49" s="73"/>
      <c r="B49" s="380"/>
      <c r="C49" s="106"/>
      <c r="D49" s="276"/>
      <c r="E49" s="277"/>
      <c r="F49" s="278"/>
      <c r="G49" s="278"/>
      <c r="H49" s="278"/>
      <c r="I49" s="278"/>
      <c r="J49" s="278"/>
      <c r="K49" s="308"/>
      <c r="L49" s="307"/>
      <c r="M49" s="309">
        <f t="shared" si="15"/>
        <v>0</v>
      </c>
      <c r="N49" s="279">
        <f t="shared" si="16"/>
        <v>0</v>
      </c>
      <c r="O49" s="279"/>
      <c r="P49" s="292"/>
      <c r="Q49" s="111"/>
    </row>
    <row r="50" spans="1:20" ht="15.6" thickTop="1" thickBot="1">
      <c r="A50" s="73"/>
      <c r="B50" s="380"/>
      <c r="C50" s="107" t="s">
        <v>69</v>
      </c>
      <c r="D50" s="276">
        <f t="shared" ref="D50:K50" si="17">SUM(D44:D49)</f>
        <v>72</v>
      </c>
      <c r="E50" s="277">
        <f t="shared" si="17"/>
        <v>70</v>
      </c>
      <c r="F50" s="278">
        <f t="shared" si="17"/>
        <v>10</v>
      </c>
      <c r="G50" s="278">
        <f t="shared" si="17"/>
        <v>0</v>
      </c>
      <c r="H50" s="278">
        <f t="shared" si="17"/>
        <v>0</v>
      </c>
      <c r="I50" s="278">
        <f t="shared" si="17"/>
        <v>4</v>
      </c>
      <c r="J50" s="278">
        <f t="shared" si="17"/>
        <v>6</v>
      </c>
      <c r="K50" s="308">
        <f t="shared" si="17"/>
        <v>0</v>
      </c>
      <c r="L50" s="307">
        <v>36411.879999999997</v>
      </c>
      <c r="M50" s="309">
        <f>SUM(M44:M49)</f>
        <v>2</v>
      </c>
      <c r="N50" s="280">
        <f>SUM(N44:N49)</f>
        <v>72</v>
      </c>
      <c r="O50" s="112"/>
      <c r="P50" s="113"/>
      <c r="Q50" s="111"/>
    </row>
    <row r="51" spans="1:20" ht="15.6" thickTop="1" thickBot="1">
      <c r="A51" s="73"/>
      <c r="B51" s="380"/>
      <c r="C51" s="98" t="s">
        <v>45</v>
      </c>
      <c r="D51" s="281">
        <f>SUM(D44:D49)</f>
        <v>72</v>
      </c>
      <c r="E51" s="281">
        <f>SUM(E44:E49)</f>
        <v>70</v>
      </c>
      <c r="F51" s="381">
        <f>SUM(F50:K50)</f>
        <v>20</v>
      </c>
      <c r="G51" s="382"/>
      <c r="H51" s="382"/>
      <c r="I51" s="382"/>
      <c r="J51" s="382"/>
      <c r="K51" s="383"/>
      <c r="L51" s="282">
        <f>L50</f>
        <v>36411.879999999997</v>
      </c>
      <c r="M51" s="272">
        <f>SUM(M44:M49)</f>
        <v>2</v>
      </c>
      <c r="N51" s="272">
        <f>SUM(N44:N49)</f>
        <v>72</v>
      </c>
      <c r="O51" s="272">
        <f>SUM(O50)</f>
        <v>0</v>
      </c>
      <c r="P51" s="310">
        <f>SUM(P50)</f>
        <v>0</v>
      </c>
      <c r="Q51" s="99"/>
      <c r="T51" s="108">
        <f>$V$3+L11+L19+L27+L35+L43+L51</f>
        <v>1586795.4999999998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06" t="s">
        <v>54</v>
      </c>
      <c r="D52" s="301">
        <v>2</v>
      </c>
      <c r="E52" s="302">
        <v>2</v>
      </c>
      <c r="F52" s="303"/>
      <c r="G52" s="303"/>
      <c r="H52" s="303"/>
      <c r="I52" s="303"/>
      <c r="J52" s="303"/>
      <c r="K52" s="303"/>
      <c r="L52" s="304">
        <v>40</v>
      </c>
      <c r="M52" s="302">
        <f t="shared" ref="M52:M57" si="18">SUM(D52-E52)</f>
        <v>0</v>
      </c>
      <c r="N52" s="305">
        <f t="shared" ref="N52:N57" si="19">SUM(E52,M52)</f>
        <v>2</v>
      </c>
      <c r="O52" s="305"/>
      <c r="P52" s="306"/>
      <c r="Q52" s="103"/>
    </row>
    <row r="53" spans="1:20" ht="15.6" thickTop="1" thickBot="1">
      <c r="A53" s="73"/>
      <c r="B53" s="380"/>
      <c r="C53" s="104" t="s">
        <v>58</v>
      </c>
      <c r="D53" s="266">
        <v>23</v>
      </c>
      <c r="E53" s="267">
        <v>23</v>
      </c>
      <c r="F53" s="268"/>
      <c r="G53" s="268"/>
      <c r="H53" s="268"/>
      <c r="I53" s="268"/>
      <c r="J53" s="268"/>
      <c r="K53" s="268"/>
      <c r="L53" s="289">
        <v>5570</v>
      </c>
      <c r="M53" s="267">
        <f t="shared" si="18"/>
        <v>0</v>
      </c>
      <c r="N53" s="269">
        <f t="shared" si="19"/>
        <v>23</v>
      </c>
      <c r="O53" s="269"/>
      <c r="P53" s="290"/>
      <c r="Q53" s="105"/>
    </row>
    <row r="54" spans="1:20" ht="15.6" thickTop="1" thickBot="1">
      <c r="A54" s="73"/>
      <c r="B54" s="380"/>
      <c r="C54" s="104" t="s">
        <v>55</v>
      </c>
      <c r="D54" s="266">
        <v>19</v>
      </c>
      <c r="E54" s="267">
        <v>19</v>
      </c>
      <c r="F54" s="268">
        <v>5</v>
      </c>
      <c r="G54" s="268"/>
      <c r="H54" s="268"/>
      <c r="I54" s="268"/>
      <c r="J54" s="268"/>
      <c r="K54" s="268"/>
      <c r="L54" s="289">
        <v>15539</v>
      </c>
      <c r="M54" s="267">
        <f t="shared" si="18"/>
        <v>0</v>
      </c>
      <c r="N54" s="269">
        <f t="shared" si="19"/>
        <v>19</v>
      </c>
      <c r="O54" s="269"/>
      <c r="P54" s="290"/>
      <c r="Q54" s="105"/>
    </row>
    <row r="55" spans="1:20" ht="15.6" thickTop="1" thickBot="1">
      <c r="A55" s="73"/>
      <c r="B55" s="380"/>
      <c r="C55" s="106" t="s">
        <v>53</v>
      </c>
      <c r="D55" s="266">
        <v>19</v>
      </c>
      <c r="E55" s="267">
        <v>19</v>
      </c>
      <c r="F55" s="268">
        <v>2</v>
      </c>
      <c r="G55" s="268"/>
      <c r="H55" s="268"/>
      <c r="I55" s="268">
        <v>1</v>
      </c>
      <c r="J55" s="268">
        <v>2</v>
      </c>
      <c r="K55" s="268"/>
      <c r="L55" s="289">
        <v>25975.439999999999</v>
      </c>
      <c r="M55" s="267">
        <f t="shared" si="18"/>
        <v>0</v>
      </c>
      <c r="N55" s="269">
        <f t="shared" si="19"/>
        <v>19</v>
      </c>
      <c r="O55" s="269"/>
      <c r="P55" s="290"/>
      <c r="Q55" s="105"/>
    </row>
    <row r="56" spans="1:20" ht="15.6" thickTop="1" thickBot="1">
      <c r="A56" s="73"/>
      <c r="B56" s="380"/>
      <c r="C56" s="106" t="s">
        <v>145</v>
      </c>
      <c r="D56" s="276">
        <v>4</v>
      </c>
      <c r="E56" s="277">
        <v>4</v>
      </c>
      <c r="F56" s="278"/>
      <c r="G56" s="278"/>
      <c r="H56" s="278"/>
      <c r="I56" s="278"/>
      <c r="J56" s="278"/>
      <c r="K56" s="278"/>
      <c r="L56" s="291">
        <v>210</v>
      </c>
      <c r="M56" s="277">
        <f t="shared" si="18"/>
        <v>0</v>
      </c>
      <c r="N56" s="269">
        <f t="shared" si="19"/>
        <v>4</v>
      </c>
      <c r="O56" s="279"/>
      <c r="P56" s="292"/>
      <c r="Q56" s="111"/>
    </row>
    <row r="57" spans="1:20" ht="15.6" thickTop="1" thickBot="1">
      <c r="A57" s="73"/>
      <c r="B57" s="380"/>
      <c r="C57" s="106"/>
      <c r="D57" s="276"/>
      <c r="E57" s="277"/>
      <c r="F57" s="278"/>
      <c r="G57" s="278"/>
      <c r="H57" s="278"/>
      <c r="I57" s="278"/>
      <c r="J57" s="278"/>
      <c r="K57" s="308"/>
      <c r="L57" s="307"/>
      <c r="M57" s="277">
        <f t="shared" si="18"/>
        <v>0</v>
      </c>
      <c r="N57" s="279">
        <f t="shared" si="19"/>
        <v>0</v>
      </c>
      <c r="O57" s="279"/>
      <c r="P57" s="292"/>
      <c r="Q57" s="111"/>
    </row>
    <row r="58" spans="1:20" ht="15.6" thickTop="1" thickBot="1">
      <c r="A58" s="73"/>
      <c r="B58" s="380"/>
      <c r="C58" s="107" t="s">
        <v>69</v>
      </c>
      <c r="D58" s="276">
        <f t="shared" ref="D58:K58" si="20">SUM(D52:D57)</f>
        <v>67</v>
      </c>
      <c r="E58" s="277">
        <f t="shared" si="20"/>
        <v>67</v>
      </c>
      <c r="F58" s="278">
        <f t="shared" si="20"/>
        <v>7</v>
      </c>
      <c r="G58" s="278">
        <f t="shared" si="20"/>
        <v>0</v>
      </c>
      <c r="H58" s="278">
        <f t="shared" si="20"/>
        <v>0</v>
      </c>
      <c r="I58" s="278">
        <f t="shared" si="20"/>
        <v>1</v>
      </c>
      <c r="J58" s="278">
        <f t="shared" si="20"/>
        <v>2</v>
      </c>
      <c r="K58" s="308">
        <f t="shared" si="20"/>
        <v>0</v>
      </c>
      <c r="L58" s="307">
        <v>51554.44</v>
      </c>
      <c r="M58" s="309">
        <f>SUM(M52:M57)</f>
        <v>0</v>
      </c>
      <c r="N58" s="280">
        <f>SUM(N52:N57)</f>
        <v>67</v>
      </c>
      <c r="O58" s="112"/>
      <c r="P58" s="113"/>
      <c r="Q58" s="111"/>
    </row>
    <row r="59" spans="1:20" ht="15.6" thickTop="1" thickBot="1">
      <c r="A59" s="73"/>
      <c r="B59" s="380"/>
      <c r="C59" s="92" t="s">
        <v>45</v>
      </c>
      <c r="D59" s="272">
        <f>SUM(D52:D57)</f>
        <v>67</v>
      </c>
      <c r="E59" s="272">
        <f>SUM(E52:E57)</f>
        <v>67</v>
      </c>
      <c r="F59" s="381">
        <f>SUM(F58:K58)</f>
        <v>10</v>
      </c>
      <c r="G59" s="382"/>
      <c r="H59" s="382"/>
      <c r="I59" s="382"/>
      <c r="J59" s="382"/>
      <c r="K59" s="383"/>
      <c r="L59" s="283">
        <f>L58</f>
        <v>51554.44</v>
      </c>
      <c r="M59" s="272">
        <f>SUM(M52:M57)</f>
        <v>0</v>
      </c>
      <c r="N59" s="272">
        <f>SUM(N52:N57)</f>
        <v>67</v>
      </c>
      <c r="O59" s="272">
        <f>SUM(O58)</f>
        <v>0</v>
      </c>
      <c r="P59" s="275">
        <f>SUM(P58)</f>
        <v>0</v>
      </c>
      <c r="Q59" s="93"/>
      <c r="T59" s="108">
        <f>$V$3+L11+L19+L27+L35+L43+L51+L59</f>
        <v>1638349.9399999997</v>
      </c>
    </row>
    <row r="60" spans="1:20" ht="15.6" thickTop="1" thickBot="1">
      <c r="A60" s="73" t="str">
        <f ca="1">OFFSET('0'!$B$112,($A$1-1)*10,$B60-1)</f>
        <v>SS</v>
      </c>
      <c r="B60" s="380">
        <f ca="1">OFFSET('0'!$B$111,($A$1-1)*10,7)</f>
        <v>8</v>
      </c>
      <c r="C60" s="106" t="s">
        <v>145</v>
      </c>
      <c r="D60" s="301">
        <v>1</v>
      </c>
      <c r="E60" s="302">
        <v>1</v>
      </c>
      <c r="F60" s="303"/>
      <c r="G60" s="303"/>
      <c r="H60" s="303"/>
      <c r="I60" s="303"/>
      <c r="J60" s="303"/>
      <c r="K60" s="303"/>
      <c r="L60" s="304"/>
      <c r="M60" s="302">
        <f t="shared" ref="M60:M65" si="21">SUM(D60-E60)</f>
        <v>0</v>
      </c>
      <c r="N60" s="305">
        <f t="shared" ref="N60:N65" si="22">SUM(E60,M60)</f>
        <v>1</v>
      </c>
      <c r="O60" s="305"/>
      <c r="P60" s="306"/>
      <c r="Q60" s="103"/>
    </row>
    <row r="61" spans="1:20" ht="15.6" thickTop="1" thickBot="1">
      <c r="A61" s="73"/>
      <c r="B61" s="380"/>
      <c r="C61" s="104" t="s">
        <v>58</v>
      </c>
      <c r="D61" s="266">
        <v>8</v>
      </c>
      <c r="E61" s="267">
        <v>8</v>
      </c>
      <c r="F61" s="268"/>
      <c r="G61" s="268"/>
      <c r="H61" s="268"/>
      <c r="I61" s="268">
        <v>1</v>
      </c>
      <c r="J61" s="268">
        <v>1</v>
      </c>
      <c r="K61" s="268"/>
      <c r="L61" s="289" t="s">
        <v>72</v>
      </c>
      <c r="M61" s="267">
        <f t="shared" si="21"/>
        <v>0</v>
      </c>
      <c r="N61" s="269">
        <f t="shared" si="22"/>
        <v>8</v>
      </c>
      <c r="O61" s="269"/>
      <c r="P61" s="290"/>
      <c r="Q61" s="105"/>
    </row>
    <row r="62" spans="1:20" ht="15.6" thickTop="1" thickBot="1">
      <c r="A62" s="73"/>
      <c r="B62" s="380"/>
      <c r="C62" s="104" t="s">
        <v>48</v>
      </c>
      <c r="D62" s="266">
        <v>9</v>
      </c>
      <c r="E62" s="267">
        <v>8</v>
      </c>
      <c r="F62" s="268">
        <v>3</v>
      </c>
      <c r="G62" s="268"/>
      <c r="H62" s="268"/>
      <c r="I62" s="268"/>
      <c r="J62" s="268">
        <v>1</v>
      </c>
      <c r="K62" s="268"/>
      <c r="L62" s="289">
        <v>15525</v>
      </c>
      <c r="M62" s="267">
        <f t="shared" si="21"/>
        <v>1</v>
      </c>
      <c r="N62" s="269">
        <f t="shared" si="22"/>
        <v>9</v>
      </c>
      <c r="O62" s="269"/>
      <c r="P62" s="290"/>
      <c r="Q62" s="105"/>
    </row>
    <row r="63" spans="1:20" ht="15.6" thickTop="1" thickBot="1">
      <c r="A63" s="73"/>
      <c r="B63" s="380"/>
      <c r="C63" s="106" t="s">
        <v>145</v>
      </c>
      <c r="D63" s="266">
        <v>7</v>
      </c>
      <c r="E63" s="267">
        <v>7</v>
      </c>
      <c r="F63" s="268"/>
      <c r="G63" s="268"/>
      <c r="H63" s="268"/>
      <c r="I63" s="268">
        <v>2</v>
      </c>
      <c r="J63" s="268"/>
      <c r="K63" s="268"/>
      <c r="L63" s="289">
        <v>7192.26</v>
      </c>
      <c r="M63" s="267">
        <f t="shared" si="21"/>
        <v>0</v>
      </c>
      <c r="N63" s="269">
        <f t="shared" si="22"/>
        <v>7</v>
      </c>
      <c r="O63" s="269"/>
      <c r="P63" s="290"/>
      <c r="Q63" s="105"/>
    </row>
    <row r="64" spans="1:20" ht="15.6" thickTop="1" thickBot="1">
      <c r="A64" s="73"/>
      <c r="B64" s="380"/>
      <c r="C64" s="106"/>
      <c r="D64" s="276"/>
      <c r="E64" s="277"/>
      <c r="F64" s="278"/>
      <c r="G64" s="278"/>
      <c r="H64" s="278"/>
      <c r="I64" s="278"/>
      <c r="J64" s="278"/>
      <c r="K64" s="278"/>
      <c r="L64" s="291"/>
      <c r="M64" s="277">
        <f t="shared" si="21"/>
        <v>0</v>
      </c>
      <c r="N64" s="269">
        <f t="shared" si="22"/>
        <v>0</v>
      </c>
      <c r="O64" s="279"/>
      <c r="P64" s="292"/>
      <c r="Q64" s="111"/>
    </row>
    <row r="65" spans="1:20" ht="15.6" thickTop="1" thickBot="1">
      <c r="A65" s="73"/>
      <c r="B65" s="380"/>
      <c r="C65" s="106"/>
      <c r="D65" s="276"/>
      <c r="E65" s="277"/>
      <c r="F65" s="278"/>
      <c r="G65" s="278"/>
      <c r="H65" s="278"/>
      <c r="I65" s="278"/>
      <c r="J65" s="278"/>
      <c r="K65" s="308"/>
      <c r="L65" s="307"/>
      <c r="M65" s="309">
        <f t="shared" si="21"/>
        <v>0</v>
      </c>
      <c r="N65" s="279">
        <f t="shared" si="22"/>
        <v>0</v>
      </c>
      <c r="O65" s="279"/>
      <c r="P65" s="292"/>
      <c r="Q65" s="111"/>
    </row>
    <row r="66" spans="1:20" ht="15.6" thickTop="1" thickBot="1">
      <c r="A66" s="73"/>
      <c r="B66" s="380"/>
      <c r="C66" s="107" t="s">
        <v>69</v>
      </c>
      <c r="D66" s="276">
        <f t="shared" ref="D66:K66" si="23">SUM(D60:D65)</f>
        <v>25</v>
      </c>
      <c r="E66" s="277">
        <f t="shared" si="23"/>
        <v>24</v>
      </c>
      <c r="F66" s="278">
        <f t="shared" si="23"/>
        <v>3</v>
      </c>
      <c r="G66" s="278">
        <f t="shared" si="23"/>
        <v>0</v>
      </c>
      <c r="H66" s="278">
        <f t="shared" si="23"/>
        <v>0</v>
      </c>
      <c r="I66" s="278">
        <f t="shared" si="23"/>
        <v>3</v>
      </c>
      <c r="J66" s="278">
        <f t="shared" si="23"/>
        <v>2</v>
      </c>
      <c r="K66" s="308">
        <f t="shared" si="23"/>
        <v>0</v>
      </c>
      <c r="L66" s="307">
        <v>26316.73</v>
      </c>
      <c r="M66" s="309">
        <f>SUM(M60:M65)</f>
        <v>1</v>
      </c>
      <c r="N66" s="280">
        <f>SUM(N60:N65)</f>
        <v>25</v>
      </c>
      <c r="O66" s="112"/>
      <c r="P66" s="113"/>
      <c r="Q66" s="111"/>
    </row>
    <row r="67" spans="1:20" ht="15.6" thickTop="1" thickBot="1">
      <c r="A67" s="73"/>
      <c r="B67" s="380"/>
      <c r="C67" s="92" t="s">
        <v>45</v>
      </c>
      <c r="D67" s="272">
        <f>SUM(D60:D65)</f>
        <v>25</v>
      </c>
      <c r="E67" s="272">
        <f>SUM(E60:E65)</f>
        <v>24</v>
      </c>
      <c r="F67" s="381">
        <f>SUM(F66:K66)</f>
        <v>8</v>
      </c>
      <c r="G67" s="382"/>
      <c r="H67" s="382"/>
      <c r="I67" s="382"/>
      <c r="J67" s="382"/>
      <c r="K67" s="383"/>
      <c r="L67" s="274">
        <f>L66</f>
        <v>26316.73</v>
      </c>
      <c r="M67" s="272">
        <f>SUM(M60:M65)</f>
        <v>1</v>
      </c>
      <c r="N67" s="272">
        <f>SUM(N60:N65)</f>
        <v>25</v>
      </c>
      <c r="O67" s="272">
        <f>SUM(O66)</f>
        <v>0</v>
      </c>
      <c r="P67" s="275">
        <f>SUM(P66)</f>
        <v>0</v>
      </c>
      <c r="Q67" s="93"/>
      <c r="T67" s="108">
        <f>$V$3+L11+L19+L27+L35+L43+L51+L59+L67</f>
        <v>1664666.6699999997</v>
      </c>
    </row>
    <row r="68" spans="1:20" ht="15.6" thickTop="1" thickBot="1">
      <c r="A68" s="73" t="str">
        <f ca="1">OFFSET('0'!$B$112,($A$1-1)*10,$B68-1)</f>
        <v>SK</v>
      </c>
      <c r="B68" s="380">
        <f ca="1">OFFSET('0'!$B$111,($A$1-1)*10,8)</f>
        <v>9</v>
      </c>
      <c r="C68" s="106" t="s">
        <v>145</v>
      </c>
      <c r="D68" s="301">
        <v>1</v>
      </c>
      <c r="E68" s="302">
        <v>1</v>
      </c>
      <c r="F68" s="303"/>
      <c r="G68" s="303"/>
      <c r="H68" s="303"/>
      <c r="I68" s="303"/>
      <c r="J68" s="303"/>
      <c r="K68" s="303"/>
      <c r="L68" s="304">
        <v>60</v>
      </c>
      <c r="M68" s="302">
        <f t="shared" ref="M68:M73" si="24">SUM(D68-E68)</f>
        <v>0</v>
      </c>
      <c r="N68" s="305">
        <f>SUM(E68,M68)</f>
        <v>1</v>
      </c>
      <c r="O68" s="305"/>
      <c r="P68" s="306"/>
      <c r="Q68" s="103"/>
    </row>
    <row r="69" spans="1:20" ht="15.6" thickTop="1" thickBot="1">
      <c r="A69" s="73"/>
      <c r="B69" s="380"/>
      <c r="C69" s="104" t="s">
        <v>50</v>
      </c>
      <c r="D69" s="266">
        <v>9</v>
      </c>
      <c r="E69" s="267">
        <v>8</v>
      </c>
      <c r="F69" s="268">
        <v>2</v>
      </c>
      <c r="G69" s="268"/>
      <c r="H69" s="268"/>
      <c r="I69" s="268"/>
      <c r="J69" s="268">
        <v>1</v>
      </c>
      <c r="K69" s="268"/>
      <c r="L69" s="289">
        <v>783</v>
      </c>
      <c r="M69" s="267">
        <f t="shared" si="24"/>
        <v>1</v>
      </c>
      <c r="N69" s="269">
        <f>SUM(E69,M69)</f>
        <v>9</v>
      </c>
      <c r="O69" s="269"/>
      <c r="P69" s="290"/>
      <c r="Q69" s="105"/>
    </row>
    <row r="70" spans="1:20" ht="15.6" thickTop="1" thickBot="1">
      <c r="A70" s="73"/>
      <c r="B70" s="380"/>
      <c r="C70" s="104" t="s">
        <v>48</v>
      </c>
      <c r="D70" s="266">
        <v>15</v>
      </c>
      <c r="E70" s="267">
        <v>13</v>
      </c>
      <c r="F70" s="268">
        <v>3</v>
      </c>
      <c r="G70" s="268"/>
      <c r="H70" s="268"/>
      <c r="I70" s="268">
        <v>2</v>
      </c>
      <c r="J70" s="268">
        <v>1</v>
      </c>
      <c r="K70" s="268"/>
      <c r="L70" s="289">
        <v>16250.99</v>
      </c>
      <c r="M70" s="267">
        <f t="shared" si="24"/>
        <v>2</v>
      </c>
      <c r="N70" s="269">
        <f>SUM(E70,M70)</f>
        <v>15</v>
      </c>
      <c r="O70" s="269"/>
      <c r="P70" s="290"/>
      <c r="Q70" s="105"/>
    </row>
    <row r="71" spans="1:20" ht="15.6" thickTop="1" thickBot="1">
      <c r="A71" s="73"/>
      <c r="B71" s="380"/>
      <c r="C71" s="106" t="s">
        <v>47</v>
      </c>
      <c r="D71" s="266">
        <v>5</v>
      </c>
      <c r="E71" s="267">
        <v>5</v>
      </c>
      <c r="F71" s="268">
        <v>1</v>
      </c>
      <c r="G71" s="268"/>
      <c r="H71" s="268"/>
      <c r="I71" s="268">
        <v>1</v>
      </c>
      <c r="J71" s="268">
        <v>2</v>
      </c>
      <c r="K71" s="268"/>
      <c r="L71" s="289">
        <v>452</v>
      </c>
      <c r="M71" s="267">
        <f t="shared" si="24"/>
        <v>0</v>
      </c>
      <c r="N71" s="269">
        <f>SUM(E71,M71)</f>
        <v>5</v>
      </c>
      <c r="O71" s="269"/>
      <c r="P71" s="290"/>
      <c r="Q71" s="105"/>
    </row>
    <row r="72" spans="1:20" ht="15.6" thickTop="1" thickBot="1">
      <c r="A72" s="73"/>
      <c r="B72" s="380"/>
      <c r="C72" s="106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05"/>
    </row>
    <row r="73" spans="1:20" ht="15.6" thickTop="1" thickBot="1">
      <c r="A73" s="73"/>
      <c r="B73" s="380"/>
      <c r="C73" s="106"/>
      <c r="D73" s="266"/>
      <c r="E73" s="267"/>
      <c r="F73" s="268"/>
      <c r="G73" s="268"/>
      <c r="H73" s="268"/>
      <c r="I73" s="268"/>
      <c r="J73" s="268"/>
      <c r="K73" s="270"/>
      <c r="L73" s="307"/>
      <c r="M73" s="271">
        <f t="shared" si="24"/>
        <v>0</v>
      </c>
      <c r="N73" s="269">
        <f t="shared" si="25"/>
        <v>0</v>
      </c>
      <c r="O73" s="269"/>
      <c r="P73" s="290"/>
      <c r="Q73" s="105"/>
    </row>
    <row r="74" spans="1:20" ht="15.6" thickTop="1" thickBot="1">
      <c r="A74" s="73"/>
      <c r="B74" s="380"/>
      <c r="C74" s="107" t="s">
        <v>69</v>
      </c>
      <c r="D74" s="266">
        <f t="shared" ref="D74:K74" si="26">SUM(D68:D73)</f>
        <v>30</v>
      </c>
      <c r="E74" s="267">
        <f t="shared" si="26"/>
        <v>27</v>
      </c>
      <c r="F74" s="268">
        <f t="shared" si="26"/>
        <v>6</v>
      </c>
      <c r="G74" s="268">
        <f t="shared" si="26"/>
        <v>0</v>
      </c>
      <c r="H74" s="268">
        <f t="shared" si="26"/>
        <v>0</v>
      </c>
      <c r="I74" s="268">
        <f t="shared" si="26"/>
        <v>3</v>
      </c>
      <c r="J74" s="268">
        <f t="shared" si="26"/>
        <v>4</v>
      </c>
      <c r="K74" s="270">
        <f t="shared" si="26"/>
        <v>0</v>
      </c>
      <c r="L74" s="307">
        <v>33929.040000000001</v>
      </c>
      <c r="M74" s="271">
        <f>SUM(M68:M73)</f>
        <v>3</v>
      </c>
      <c r="N74" s="269">
        <f>SUM(N68:N73)</f>
        <v>30</v>
      </c>
      <c r="O74" s="95"/>
      <c r="P74" s="96"/>
      <c r="Q74" s="105"/>
    </row>
    <row r="75" spans="1:20" ht="15.6" thickTop="1" thickBot="1">
      <c r="A75" s="73"/>
      <c r="B75" s="380"/>
      <c r="C75" s="92" t="s">
        <v>45</v>
      </c>
      <c r="D75" s="272">
        <f>SUM(D68:D73)</f>
        <v>30</v>
      </c>
      <c r="E75" s="272">
        <f>SUM(E68:E73)</f>
        <v>27</v>
      </c>
      <c r="F75" s="381">
        <f>SUM(F74:K74)</f>
        <v>13</v>
      </c>
      <c r="G75" s="382"/>
      <c r="H75" s="382"/>
      <c r="I75" s="382"/>
      <c r="J75" s="382"/>
      <c r="K75" s="383"/>
      <c r="L75" s="274">
        <f>L74</f>
        <v>33929.040000000001</v>
      </c>
      <c r="M75" s="272">
        <f>SUM(M68:M73)</f>
        <v>3</v>
      </c>
      <c r="N75" s="272">
        <f>SUM(N68:N73)</f>
        <v>30</v>
      </c>
      <c r="O75" s="272">
        <f>SUM(O74)</f>
        <v>0</v>
      </c>
      <c r="P75" s="275">
        <f>SUM(P74)</f>
        <v>0</v>
      </c>
      <c r="Q75" s="93"/>
      <c r="T75" s="108">
        <f>$V$3+L11+L19+L27+L35+L43+L51+L59+L67+L75</f>
        <v>1698595.7099999997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06" t="s">
        <v>47</v>
      </c>
      <c r="D76" s="301">
        <v>0</v>
      </c>
      <c r="E76" s="302">
        <v>0</v>
      </c>
      <c r="F76" s="303"/>
      <c r="G76" s="303"/>
      <c r="H76" s="303"/>
      <c r="I76" s="303"/>
      <c r="J76" s="303"/>
      <c r="K76" s="303"/>
      <c r="L76" s="304"/>
      <c r="M76" s="302">
        <f t="shared" ref="M76:M81" si="27">SUM(D76-E76)</f>
        <v>0</v>
      </c>
      <c r="N76" s="305">
        <f t="shared" ref="N76:N81" si="28">SUM(E76,M76)</f>
        <v>0</v>
      </c>
      <c r="O76" s="305"/>
      <c r="P76" s="306"/>
      <c r="Q76" s="103"/>
    </row>
    <row r="77" spans="1:20" ht="15.6" thickTop="1" thickBot="1">
      <c r="A77" s="73"/>
      <c r="B77" s="380"/>
      <c r="C77" s="104" t="s">
        <v>50</v>
      </c>
      <c r="D77" s="266">
        <v>23</v>
      </c>
      <c r="E77" s="267">
        <v>21</v>
      </c>
      <c r="F77" s="268"/>
      <c r="G77" s="268"/>
      <c r="H77" s="268"/>
      <c r="I77" s="268"/>
      <c r="J77" s="268"/>
      <c r="K77" s="268"/>
      <c r="L77" s="289">
        <v>7710</v>
      </c>
      <c r="M77" s="267">
        <f t="shared" si="27"/>
        <v>2</v>
      </c>
      <c r="N77" s="269">
        <f t="shared" si="28"/>
        <v>23</v>
      </c>
      <c r="O77" s="269"/>
      <c r="P77" s="290"/>
      <c r="Q77" s="105"/>
    </row>
    <row r="78" spans="1:20" ht="15.6" thickTop="1" thickBot="1">
      <c r="A78" s="73"/>
      <c r="B78" s="380"/>
      <c r="C78" s="104" t="s">
        <v>49</v>
      </c>
      <c r="D78" s="266">
        <v>31</v>
      </c>
      <c r="E78" s="267">
        <v>29</v>
      </c>
      <c r="F78" s="268">
        <v>3</v>
      </c>
      <c r="G78" s="268"/>
      <c r="H78" s="268"/>
      <c r="I78" s="268">
        <v>1</v>
      </c>
      <c r="J78" s="268">
        <v>2</v>
      </c>
      <c r="K78" s="268"/>
      <c r="L78" s="289">
        <v>1385</v>
      </c>
      <c r="M78" s="267">
        <f t="shared" si="27"/>
        <v>2</v>
      </c>
      <c r="N78" s="269">
        <f t="shared" si="28"/>
        <v>31</v>
      </c>
      <c r="O78" s="269"/>
      <c r="P78" s="290"/>
      <c r="Q78" s="105"/>
    </row>
    <row r="79" spans="1:20" ht="15.6" thickTop="1" thickBot="1">
      <c r="A79" s="73"/>
      <c r="B79" s="380"/>
      <c r="C79" s="106" t="s">
        <v>51</v>
      </c>
      <c r="D79" s="266">
        <v>11</v>
      </c>
      <c r="E79" s="267">
        <v>10</v>
      </c>
      <c r="F79" s="268">
        <v>2</v>
      </c>
      <c r="G79" s="268"/>
      <c r="H79" s="268"/>
      <c r="I79" s="268">
        <v>1</v>
      </c>
      <c r="J79" s="268">
        <v>2</v>
      </c>
      <c r="K79" s="268"/>
      <c r="L79" s="289">
        <v>1080.94</v>
      </c>
      <c r="M79" s="267">
        <f t="shared" si="27"/>
        <v>1</v>
      </c>
      <c r="N79" s="269">
        <f t="shared" si="28"/>
        <v>11</v>
      </c>
      <c r="O79" s="269"/>
      <c r="P79" s="290"/>
      <c r="Q79" s="105"/>
    </row>
    <row r="80" spans="1:20" ht="15.6" thickTop="1" thickBot="1">
      <c r="A80" s="73"/>
      <c r="B80" s="380"/>
      <c r="C80" s="106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7"/>
        <v>0</v>
      </c>
      <c r="N80" s="269">
        <f t="shared" si="28"/>
        <v>0</v>
      </c>
      <c r="O80" s="279"/>
      <c r="P80" s="294"/>
      <c r="Q80" s="105"/>
    </row>
    <row r="81" spans="1:20" ht="15.6" thickTop="1" thickBot="1">
      <c r="A81" s="73"/>
      <c r="B81" s="380"/>
      <c r="C81" s="106"/>
      <c r="D81" s="266"/>
      <c r="E81" s="267"/>
      <c r="F81" s="268"/>
      <c r="G81" s="268"/>
      <c r="H81" s="268"/>
      <c r="I81" s="268"/>
      <c r="J81" s="268"/>
      <c r="K81" s="270"/>
      <c r="L81" s="307"/>
      <c r="M81" s="271">
        <f t="shared" si="27"/>
        <v>0</v>
      </c>
      <c r="N81" s="279">
        <f t="shared" si="28"/>
        <v>0</v>
      </c>
      <c r="O81" s="279"/>
      <c r="P81" s="294"/>
      <c r="Q81" s="105"/>
    </row>
    <row r="82" spans="1:20" ht="15.6" thickTop="1" thickBot="1">
      <c r="A82" s="73"/>
      <c r="B82" s="380"/>
      <c r="C82" s="107" t="s">
        <v>69</v>
      </c>
      <c r="D82" s="266">
        <f t="shared" ref="D82:K82" si="29">SUM(D76:D81)</f>
        <v>65</v>
      </c>
      <c r="E82" s="267">
        <f t="shared" si="29"/>
        <v>60</v>
      </c>
      <c r="F82" s="268">
        <f t="shared" si="29"/>
        <v>5</v>
      </c>
      <c r="G82" s="268">
        <f t="shared" si="29"/>
        <v>0</v>
      </c>
      <c r="H82" s="268">
        <f t="shared" si="29"/>
        <v>0</v>
      </c>
      <c r="I82" s="268">
        <f t="shared" si="29"/>
        <v>2</v>
      </c>
      <c r="J82" s="268">
        <f t="shared" si="29"/>
        <v>4</v>
      </c>
      <c r="K82" s="270">
        <f t="shared" si="29"/>
        <v>0</v>
      </c>
      <c r="L82" s="307">
        <v>38701.94</v>
      </c>
      <c r="M82" s="271">
        <f>SUM(M76:M81)</f>
        <v>5</v>
      </c>
      <c r="N82" s="269">
        <f>SUM(N76:N81)</f>
        <v>65</v>
      </c>
      <c r="O82" s="95"/>
      <c r="P82" s="96"/>
      <c r="Q82" s="105"/>
    </row>
    <row r="83" spans="1:20" ht="15.6" thickTop="1" thickBot="1">
      <c r="A83" s="73"/>
      <c r="B83" s="380"/>
      <c r="C83" s="92" t="s">
        <v>45</v>
      </c>
      <c r="D83" s="272">
        <f>SUM(D76:D81)</f>
        <v>65</v>
      </c>
      <c r="E83" s="272">
        <f>SUM(E76:E81)</f>
        <v>60</v>
      </c>
      <c r="F83" s="381">
        <f>SUM(F82:K82)</f>
        <v>11</v>
      </c>
      <c r="G83" s="382"/>
      <c r="H83" s="382"/>
      <c r="I83" s="382"/>
      <c r="J83" s="382"/>
      <c r="K83" s="383"/>
      <c r="L83" s="274">
        <f>L82</f>
        <v>38701.94</v>
      </c>
      <c r="M83" s="272">
        <f>SUM(M76:M81)</f>
        <v>5</v>
      </c>
      <c r="N83" s="272">
        <f>SUM(N76:N81)</f>
        <v>65</v>
      </c>
      <c r="O83" s="272">
        <f>SUM(O82)</f>
        <v>0</v>
      </c>
      <c r="P83" s="275">
        <f>SUM(P82)</f>
        <v>0</v>
      </c>
      <c r="Q83" s="93"/>
      <c r="T83" s="108">
        <f>$V$3+L11+L19+L27+L35+L43+L51+L59+L67+L75+L83</f>
        <v>1737297.6499999997</v>
      </c>
    </row>
    <row r="84" spans="1:20" ht="15.6" thickTop="1" thickBot="1">
      <c r="A84" s="73" t="str">
        <f ca="1">OFFSET('0'!$B$112,($A$1-1)*10,$B84-1)</f>
        <v>SV</v>
      </c>
      <c r="B84" s="380">
        <f ca="1">OFFSET('0'!$B$111,($A$1-1)*10,10)</f>
        <v>11</v>
      </c>
      <c r="C84" s="106" t="s">
        <v>51</v>
      </c>
      <c r="D84" s="301">
        <v>4</v>
      </c>
      <c r="E84" s="302">
        <v>4</v>
      </c>
      <c r="F84" s="303"/>
      <c r="G84" s="303"/>
      <c r="H84" s="303"/>
      <c r="I84" s="303"/>
      <c r="J84" s="303"/>
      <c r="K84" s="303"/>
      <c r="L84" s="304">
        <v>84</v>
      </c>
      <c r="M84" s="302">
        <f t="shared" ref="M84:M89" si="30">SUM(D84-E84)</f>
        <v>0</v>
      </c>
      <c r="N84" s="305">
        <f t="shared" ref="N84:N89" si="31">SUM(E84,M84)</f>
        <v>4</v>
      </c>
      <c r="O84" s="305"/>
      <c r="P84" s="306"/>
      <c r="Q84" s="103"/>
    </row>
    <row r="85" spans="1:20" ht="15.6" thickTop="1" thickBot="1">
      <c r="A85" s="73"/>
      <c r="B85" s="380"/>
      <c r="C85" s="104" t="s">
        <v>52</v>
      </c>
      <c r="D85" s="266">
        <v>8</v>
      </c>
      <c r="E85" s="267">
        <v>5</v>
      </c>
      <c r="F85" s="268"/>
      <c r="G85" s="268"/>
      <c r="H85" s="268"/>
      <c r="I85" s="268">
        <v>1</v>
      </c>
      <c r="J85" s="268">
        <v>2</v>
      </c>
      <c r="K85" s="268"/>
      <c r="L85" s="289"/>
      <c r="M85" s="267">
        <f t="shared" si="30"/>
        <v>3</v>
      </c>
      <c r="N85" s="269">
        <f t="shared" si="31"/>
        <v>8</v>
      </c>
      <c r="O85" s="269"/>
      <c r="P85" s="290"/>
      <c r="Q85" s="105"/>
    </row>
    <row r="86" spans="1:20" ht="15.6" thickTop="1" thickBot="1">
      <c r="A86" s="73"/>
      <c r="B86" s="380"/>
      <c r="C86" s="104" t="s">
        <v>49</v>
      </c>
      <c r="D86" s="266">
        <v>10</v>
      </c>
      <c r="E86" s="267">
        <v>10</v>
      </c>
      <c r="F86" s="268">
        <v>1</v>
      </c>
      <c r="G86" s="268"/>
      <c r="H86" s="268"/>
      <c r="I86" s="268"/>
      <c r="J86" s="268">
        <v>1</v>
      </c>
      <c r="K86" s="268"/>
      <c r="L86" s="289"/>
      <c r="M86" s="267">
        <f t="shared" si="30"/>
        <v>0</v>
      </c>
      <c r="N86" s="269">
        <f t="shared" si="31"/>
        <v>10</v>
      </c>
      <c r="O86" s="269"/>
      <c r="P86" s="290"/>
      <c r="Q86" s="105"/>
    </row>
    <row r="87" spans="1:20" ht="15.6" thickTop="1" thickBot="1">
      <c r="A87" s="73"/>
      <c r="B87" s="380"/>
      <c r="C87" s="106" t="s">
        <v>59</v>
      </c>
      <c r="D87" s="266">
        <v>7</v>
      </c>
      <c r="E87" s="267">
        <v>7</v>
      </c>
      <c r="F87" s="268">
        <v>1</v>
      </c>
      <c r="G87" s="268"/>
      <c r="H87" s="268"/>
      <c r="I87" s="268"/>
      <c r="J87" s="268">
        <v>1</v>
      </c>
      <c r="K87" s="268"/>
      <c r="L87" s="289">
        <v>750</v>
      </c>
      <c r="M87" s="267">
        <f t="shared" si="30"/>
        <v>0</v>
      </c>
      <c r="N87" s="269">
        <f t="shared" si="31"/>
        <v>7</v>
      </c>
      <c r="O87" s="269"/>
      <c r="P87" s="290"/>
      <c r="Q87" s="105"/>
    </row>
    <row r="88" spans="1:20" ht="15.6" thickTop="1" thickBot="1">
      <c r="A88" s="73"/>
      <c r="B88" s="380"/>
      <c r="C88" s="106"/>
      <c r="D88" s="266"/>
      <c r="E88" s="267"/>
      <c r="F88" s="268"/>
      <c r="G88" s="268"/>
      <c r="H88" s="268"/>
      <c r="I88" s="268"/>
      <c r="J88" s="268"/>
      <c r="K88" s="268"/>
      <c r="L88" s="291"/>
      <c r="M88" s="267">
        <f t="shared" si="30"/>
        <v>0</v>
      </c>
      <c r="N88" s="269">
        <f t="shared" si="31"/>
        <v>0</v>
      </c>
      <c r="O88" s="269"/>
      <c r="P88" s="290"/>
      <c r="Q88" s="105"/>
    </row>
    <row r="89" spans="1:20" ht="15.6" thickTop="1" thickBot="1">
      <c r="A89" s="73"/>
      <c r="B89" s="380"/>
      <c r="C89" s="106"/>
      <c r="D89" s="266"/>
      <c r="E89" s="267"/>
      <c r="F89" s="268"/>
      <c r="G89" s="268"/>
      <c r="H89" s="268"/>
      <c r="I89" s="268"/>
      <c r="J89" s="268"/>
      <c r="K89" s="270"/>
      <c r="L89" s="307"/>
      <c r="M89" s="271">
        <f t="shared" si="30"/>
        <v>0</v>
      </c>
      <c r="N89" s="279">
        <f t="shared" si="31"/>
        <v>0</v>
      </c>
      <c r="O89" s="279"/>
      <c r="P89" s="294"/>
      <c r="Q89" s="105"/>
    </row>
    <row r="90" spans="1:20" ht="15.6" thickTop="1" thickBot="1">
      <c r="A90" s="73"/>
      <c r="B90" s="380"/>
      <c r="C90" s="107" t="s">
        <v>69</v>
      </c>
      <c r="D90" s="266">
        <f t="shared" ref="D90:K90" si="32">SUM(D84:D89)</f>
        <v>29</v>
      </c>
      <c r="E90" s="267">
        <f t="shared" si="32"/>
        <v>26</v>
      </c>
      <c r="F90" s="268">
        <f t="shared" si="32"/>
        <v>2</v>
      </c>
      <c r="G90" s="268">
        <f t="shared" si="32"/>
        <v>0</v>
      </c>
      <c r="H90" s="268">
        <f t="shared" si="32"/>
        <v>0</v>
      </c>
      <c r="I90" s="268">
        <f t="shared" si="32"/>
        <v>1</v>
      </c>
      <c r="J90" s="268">
        <f t="shared" si="32"/>
        <v>4</v>
      </c>
      <c r="K90" s="270">
        <f t="shared" si="32"/>
        <v>0</v>
      </c>
      <c r="L90" s="307">
        <v>12670.22</v>
      </c>
      <c r="M90" s="271">
        <f>SUM(M84:M89)</f>
        <v>3</v>
      </c>
      <c r="N90" s="269">
        <f>SUM(N84:N89)</f>
        <v>29</v>
      </c>
      <c r="O90" s="95"/>
      <c r="P90" s="96"/>
      <c r="Q90" s="105"/>
    </row>
    <row r="91" spans="1:20" ht="15.6" thickTop="1" thickBot="1">
      <c r="A91" s="73"/>
      <c r="B91" s="380"/>
      <c r="C91" s="92" t="s">
        <v>45</v>
      </c>
      <c r="D91" s="272">
        <f>SUM(D84:D89)</f>
        <v>29</v>
      </c>
      <c r="E91" s="272">
        <f>SUM(E84:E89)</f>
        <v>26</v>
      </c>
      <c r="F91" s="381">
        <f>SUM(F90:K90)</f>
        <v>7</v>
      </c>
      <c r="G91" s="382"/>
      <c r="H91" s="382"/>
      <c r="I91" s="382"/>
      <c r="J91" s="382"/>
      <c r="K91" s="383"/>
      <c r="L91" s="274">
        <f>L90</f>
        <v>12670.22</v>
      </c>
      <c r="M91" s="272">
        <f>SUM(M84:M89)</f>
        <v>3</v>
      </c>
      <c r="N91" s="272">
        <f>SUM(N84:N89)</f>
        <v>29</v>
      </c>
      <c r="O91" s="272">
        <f>SUM(O90)</f>
        <v>0</v>
      </c>
      <c r="P91" s="275">
        <f>SUM(P90)</f>
        <v>0</v>
      </c>
      <c r="Q91" s="93"/>
      <c r="T91" s="108">
        <f>$V$3+L11+L19+L27+L35+L43+L51+L59+L67+L75+L83+L91</f>
        <v>1749967.8699999996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06" t="s">
        <v>59</v>
      </c>
      <c r="D92" s="301">
        <v>0</v>
      </c>
      <c r="E92" s="302">
        <v>0</v>
      </c>
      <c r="F92" s="303"/>
      <c r="G92" s="303"/>
      <c r="H92" s="303"/>
      <c r="I92" s="303"/>
      <c r="J92" s="303"/>
      <c r="K92" s="303"/>
      <c r="L92" s="304"/>
      <c r="M92" s="302">
        <f t="shared" ref="M92:M97" si="33">SUM(D92-E92)</f>
        <v>0</v>
      </c>
      <c r="N92" s="305">
        <f t="shared" ref="N92:N97" si="34">SUM(E92,M92)</f>
        <v>0</v>
      </c>
      <c r="O92" s="305"/>
      <c r="P92" s="306"/>
      <c r="Q92" s="103"/>
    </row>
    <row r="93" spans="1:20" ht="15.6" thickTop="1" thickBot="1">
      <c r="A93" s="73"/>
      <c r="B93" s="380"/>
      <c r="C93" s="104" t="s">
        <v>56</v>
      </c>
      <c r="D93" s="266">
        <v>19</v>
      </c>
      <c r="E93" s="267">
        <v>19</v>
      </c>
      <c r="F93" s="268"/>
      <c r="G93" s="268"/>
      <c r="H93" s="268"/>
      <c r="I93" s="268">
        <v>1</v>
      </c>
      <c r="J93" s="268">
        <v>1</v>
      </c>
      <c r="K93" s="268"/>
      <c r="L93" s="289">
        <v>139.85</v>
      </c>
      <c r="M93" s="267">
        <f t="shared" si="33"/>
        <v>0</v>
      </c>
      <c r="N93" s="269">
        <f t="shared" si="34"/>
        <v>19</v>
      </c>
      <c r="O93" s="269"/>
      <c r="P93" s="290"/>
      <c r="Q93" s="105"/>
    </row>
    <row r="94" spans="1:20" ht="15.6" thickTop="1" thickBot="1">
      <c r="A94" s="73"/>
      <c r="B94" s="380"/>
      <c r="C94" s="104" t="s">
        <v>46</v>
      </c>
      <c r="D94" s="266">
        <v>26</v>
      </c>
      <c r="E94" s="267">
        <v>26</v>
      </c>
      <c r="F94" s="268">
        <v>3</v>
      </c>
      <c r="G94" s="268"/>
      <c r="H94" s="268"/>
      <c r="I94" s="268">
        <v>2</v>
      </c>
      <c r="J94" s="268">
        <v>1</v>
      </c>
      <c r="K94" s="268"/>
      <c r="L94" s="289">
        <v>20454.490000000002</v>
      </c>
      <c r="M94" s="267">
        <f t="shared" si="33"/>
        <v>0</v>
      </c>
      <c r="N94" s="269">
        <f t="shared" si="34"/>
        <v>26</v>
      </c>
      <c r="O94" s="269"/>
      <c r="P94" s="290"/>
      <c r="Q94" s="105"/>
    </row>
    <row r="95" spans="1:20" ht="15.6" thickTop="1" thickBot="1">
      <c r="A95" s="73"/>
      <c r="B95" s="380"/>
      <c r="C95" s="106" t="s">
        <v>145</v>
      </c>
      <c r="D95" s="266">
        <v>12</v>
      </c>
      <c r="E95" s="267">
        <v>12</v>
      </c>
      <c r="F95" s="268">
        <v>1</v>
      </c>
      <c r="G95" s="268"/>
      <c r="H95" s="268"/>
      <c r="I95" s="268"/>
      <c r="J95" s="268">
        <v>3</v>
      </c>
      <c r="K95" s="268"/>
      <c r="L95" s="289"/>
      <c r="M95" s="267">
        <f t="shared" si="33"/>
        <v>0</v>
      </c>
      <c r="N95" s="269">
        <f t="shared" si="34"/>
        <v>12</v>
      </c>
      <c r="O95" s="269"/>
      <c r="P95" s="290"/>
      <c r="Q95" s="105"/>
    </row>
    <row r="96" spans="1:20" ht="15.6" thickTop="1" thickBot="1">
      <c r="A96" s="73"/>
      <c r="B96" s="380"/>
      <c r="C96" s="106"/>
      <c r="D96" s="266"/>
      <c r="E96" s="267"/>
      <c r="F96" s="268"/>
      <c r="G96" s="268"/>
      <c r="H96" s="268"/>
      <c r="I96" s="268"/>
      <c r="J96" s="268"/>
      <c r="K96" s="268"/>
      <c r="L96" s="291"/>
      <c r="M96" s="267">
        <f t="shared" si="33"/>
        <v>0</v>
      </c>
      <c r="N96" s="269">
        <f t="shared" si="34"/>
        <v>0</v>
      </c>
      <c r="O96" s="269"/>
      <c r="P96" s="290"/>
      <c r="Q96" s="105"/>
    </row>
    <row r="97" spans="1:20" ht="15.6" thickTop="1" thickBot="1">
      <c r="A97" s="73"/>
      <c r="B97" s="380"/>
      <c r="C97" s="106"/>
      <c r="D97" s="266"/>
      <c r="E97" s="267"/>
      <c r="F97" s="268"/>
      <c r="G97" s="268"/>
      <c r="H97" s="268"/>
      <c r="I97" s="268"/>
      <c r="J97" s="268"/>
      <c r="K97" s="270"/>
      <c r="L97" s="307"/>
      <c r="M97" s="271">
        <f t="shared" si="33"/>
        <v>0</v>
      </c>
      <c r="N97" s="279">
        <f t="shared" si="34"/>
        <v>0</v>
      </c>
      <c r="O97" s="279"/>
      <c r="P97" s="294"/>
      <c r="Q97" s="105"/>
    </row>
    <row r="98" spans="1:20" ht="15.6" thickTop="1" thickBot="1">
      <c r="A98" s="73"/>
      <c r="B98" s="380"/>
      <c r="C98" s="107" t="s">
        <v>69</v>
      </c>
      <c r="D98" s="266">
        <f t="shared" ref="D98:K98" si="35">SUM(D92:D97)</f>
        <v>57</v>
      </c>
      <c r="E98" s="267">
        <f t="shared" si="35"/>
        <v>57</v>
      </c>
      <c r="F98" s="268">
        <f t="shared" si="35"/>
        <v>4</v>
      </c>
      <c r="G98" s="268">
        <f t="shared" si="35"/>
        <v>0</v>
      </c>
      <c r="H98" s="268">
        <f t="shared" si="35"/>
        <v>0</v>
      </c>
      <c r="I98" s="268">
        <f t="shared" si="35"/>
        <v>3</v>
      </c>
      <c r="J98" s="268">
        <f t="shared" si="35"/>
        <v>5</v>
      </c>
      <c r="K98" s="270">
        <f t="shared" si="35"/>
        <v>0</v>
      </c>
      <c r="L98" s="307">
        <v>108478.34</v>
      </c>
      <c r="M98" s="271">
        <f>SUM(M92:M97)</f>
        <v>0</v>
      </c>
      <c r="N98" s="269">
        <f>SUM(N92:N97)</f>
        <v>57</v>
      </c>
      <c r="O98" s="95"/>
      <c r="P98" s="96"/>
      <c r="Q98" s="105"/>
    </row>
    <row r="99" spans="1:20" ht="15.6" thickTop="1" thickBot="1">
      <c r="A99" s="73"/>
      <c r="B99" s="380"/>
      <c r="C99" s="92" t="s">
        <v>45</v>
      </c>
      <c r="D99" s="272">
        <f>SUM(D92:D97)</f>
        <v>57</v>
      </c>
      <c r="E99" s="272">
        <f>SUM(E92:E97)</f>
        <v>57</v>
      </c>
      <c r="F99" s="381">
        <f>SUM(F98:K98)</f>
        <v>12</v>
      </c>
      <c r="G99" s="382"/>
      <c r="H99" s="382"/>
      <c r="I99" s="382"/>
      <c r="J99" s="382"/>
      <c r="K99" s="383"/>
      <c r="L99" s="274">
        <f>L98</f>
        <v>108478.34</v>
      </c>
      <c r="M99" s="272">
        <f>SUM(M92:M97)</f>
        <v>0</v>
      </c>
      <c r="N99" s="272">
        <f>SUM(N92:N97)</f>
        <v>57</v>
      </c>
      <c r="O99" s="272">
        <f>SUM(O98)</f>
        <v>0</v>
      </c>
      <c r="P99" s="275">
        <f>SUM(P98)</f>
        <v>0</v>
      </c>
      <c r="Q99" s="93"/>
      <c r="T99" s="108">
        <f>$V$3+L11+L19+L27+L35+L43+L51+L59+L67+L75+L83+L91+L99</f>
        <v>1858446.2099999997</v>
      </c>
    </row>
    <row r="100" spans="1:20" ht="15.6" thickTop="1" thickBot="1">
      <c r="A100" s="73" t="str">
        <f ca="1">OFFSET('0'!$B$112,($A$1-1)*10,$B100-1)</f>
        <v>--</v>
      </c>
      <c r="B100" s="380">
        <f ca="1">OFFSET('0'!$B$111,($A$1-1)*10,12)</f>
        <v>13</v>
      </c>
      <c r="C100" s="106" t="s">
        <v>145</v>
      </c>
      <c r="D100" s="301">
        <v>1</v>
      </c>
      <c r="E100" s="302">
        <v>1</v>
      </c>
      <c r="F100" s="303"/>
      <c r="G100" s="303"/>
      <c r="H100" s="303"/>
      <c r="I100" s="303"/>
      <c r="J100" s="303"/>
      <c r="K100" s="303"/>
      <c r="L100" s="304"/>
      <c r="M100" s="302">
        <f t="shared" ref="M100:M105" si="36">SUM(D100-E100)</f>
        <v>0</v>
      </c>
      <c r="N100" s="305">
        <f t="shared" ref="N100:N105" si="37">SUM(E100,M100)</f>
        <v>1</v>
      </c>
      <c r="O100" s="305"/>
      <c r="P100" s="306"/>
      <c r="Q100" s="103"/>
    </row>
    <row r="101" spans="1:20" ht="15.6" thickTop="1" thickBot="1">
      <c r="A101" s="73"/>
      <c r="B101" s="380"/>
      <c r="C101" s="104" t="s">
        <v>55</v>
      </c>
      <c r="D101" s="266">
        <v>17</v>
      </c>
      <c r="E101" s="267">
        <v>16</v>
      </c>
      <c r="F101" s="268">
        <v>2</v>
      </c>
      <c r="G101" s="268"/>
      <c r="H101" s="268"/>
      <c r="I101" s="268">
        <v>1</v>
      </c>
      <c r="J101" s="268">
        <v>1</v>
      </c>
      <c r="K101" s="268"/>
      <c r="L101" s="289"/>
      <c r="M101" s="267">
        <f t="shared" si="36"/>
        <v>1</v>
      </c>
      <c r="N101" s="269">
        <f t="shared" si="37"/>
        <v>17</v>
      </c>
      <c r="O101" s="269"/>
      <c r="P101" s="290"/>
      <c r="Q101" s="105"/>
    </row>
    <row r="102" spans="1:20" ht="15.6" thickTop="1" thickBot="1">
      <c r="A102" s="73"/>
      <c r="B102" s="380"/>
      <c r="C102" s="104" t="s">
        <v>46</v>
      </c>
      <c r="D102" s="266">
        <v>28</v>
      </c>
      <c r="E102" s="267">
        <v>28</v>
      </c>
      <c r="F102" s="268">
        <v>6</v>
      </c>
      <c r="G102" s="268"/>
      <c r="H102" s="268"/>
      <c r="I102" s="268">
        <v>2</v>
      </c>
      <c r="J102" s="268">
        <v>3</v>
      </c>
      <c r="K102" s="268"/>
      <c r="L102" s="289">
        <v>4659.5</v>
      </c>
      <c r="M102" s="267">
        <f t="shared" si="36"/>
        <v>0</v>
      </c>
      <c r="N102" s="269">
        <f t="shared" si="37"/>
        <v>28</v>
      </c>
      <c r="O102" s="269"/>
      <c r="P102" s="290"/>
      <c r="Q102" s="105"/>
    </row>
    <row r="103" spans="1:20" ht="15.6" thickTop="1" thickBot="1">
      <c r="A103" s="73"/>
      <c r="B103" s="380"/>
      <c r="C103" s="106" t="s">
        <v>53</v>
      </c>
      <c r="D103" s="266">
        <v>12</v>
      </c>
      <c r="E103" s="267">
        <v>12</v>
      </c>
      <c r="F103" s="268">
        <v>1</v>
      </c>
      <c r="G103" s="268"/>
      <c r="H103" s="268"/>
      <c r="I103" s="268"/>
      <c r="J103" s="268">
        <v>1</v>
      </c>
      <c r="K103" s="268"/>
      <c r="L103" s="289"/>
      <c r="M103" s="267">
        <f t="shared" si="36"/>
        <v>0</v>
      </c>
      <c r="N103" s="269">
        <f t="shared" si="37"/>
        <v>12</v>
      </c>
      <c r="O103" s="269"/>
      <c r="P103" s="290"/>
      <c r="Q103" s="105"/>
    </row>
    <row r="104" spans="1:20" ht="15.6" thickTop="1" thickBot="1">
      <c r="A104" s="73"/>
      <c r="B104" s="380"/>
      <c r="C104" s="106"/>
      <c r="D104" s="266"/>
      <c r="E104" s="267"/>
      <c r="F104" s="268"/>
      <c r="G104" s="268"/>
      <c r="H104" s="268"/>
      <c r="I104" s="268"/>
      <c r="J104" s="268"/>
      <c r="K104" s="268"/>
      <c r="L104" s="291"/>
      <c r="M104" s="267">
        <f t="shared" si="36"/>
        <v>0</v>
      </c>
      <c r="N104" s="269">
        <f t="shared" si="37"/>
        <v>0</v>
      </c>
      <c r="O104" s="269"/>
      <c r="P104" s="290"/>
      <c r="Q104" s="105"/>
    </row>
    <row r="105" spans="1:20" ht="15.6" thickTop="1" thickBot="1">
      <c r="A105" s="73"/>
      <c r="B105" s="380"/>
      <c r="C105" s="106"/>
      <c r="D105" s="266"/>
      <c r="E105" s="267"/>
      <c r="F105" s="268"/>
      <c r="G105" s="268"/>
      <c r="H105" s="268"/>
      <c r="I105" s="268"/>
      <c r="J105" s="268"/>
      <c r="K105" s="270"/>
      <c r="L105" s="307"/>
      <c r="M105" s="271">
        <f t="shared" si="36"/>
        <v>0</v>
      </c>
      <c r="N105" s="279">
        <f t="shared" si="37"/>
        <v>0</v>
      </c>
      <c r="O105" s="279"/>
      <c r="P105" s="294"/>
      <c r="Q105" s="105"/>
    </row>
    <row r="106" spans="1:20" ht="15.6" thickTop="1" thickBot="1">
      <c r="A106" s="73"/>
      <c r="B106" s="380"/>
      <c r="C106" s="114" t="s">
        <v>69</v>
      </c>
      <c r="D106" s="266">
        <f t="shared" ref="D106:K106" si="38">SUM(D100:D105)</f>
        <v>58</v>
      </c>
      <c r="E106" s="267">
        <f t="shared" si="38"/>
        <v>57</v>
      </c>
      <c r="F106" s="268">
        <f t="shared" si="38"/>
        <v>9</v>
      </c>
      <c r="G106" s="268">
        <f t="shared" si="38"/>
        <v>0</v>
      </c>
      <c r="H106" s="268">
        <f t="shared" si="38"/>
        <v>0</v>
      </c>
      <c r="I106" s="268">
        <f t="shared" si="38"/>
        <v>3</v>
      </c>
      <c r="J106" s="268">
        <f t="shared" si="38"/>
        <v>5</v>
      </c>
      <c r="K106" s="270">
        <f t="shared" si="38"/>
        <v>0</v>
      </c>
      <c r="L106" s="307">
        <v>43285.3</v>
      </c>
      <c r="M106" s="271">
        <f>SUM(M100:M105)</f>
        <v>1</v>
      </c>
      <c r="N106" s="269">
        <f>SUM(N100:N105)</f>
        <v>58</v>
      </c>
      <c r="O106" s="95"/>
      <c r="P106" s="96"/>
      <c r="Q106" s="105"/>
    </row>
    <row r="107" spans="1:20" ht="15.6" thickTop="1" thickBot="1">
      <c r="A107" s="73"/>
      <c r="B107" s="380"/>
      <c r="C107" s="92" t="s">
        <v>45</v>
      </c>
      <c r="D107" s="272">
        <f>SUM(D100:D105)</f>
        <v>58</v>
      </c>
      <c r="E107" s="272">
        <f>SUM(E100:E105)</f>
        <v>57</v>
      </c>
      <c r="F107" s="381">
        <f>SUM(F106:K106)</f>
        <v>17</v>
      </c>
      <c r="G107" s="382"/>
      <c r="H107" s="382"/>
      <c r="I107" s="382"/>
      <c r="J107" s="382"/>
      <c r="K107" s="383"/>
      <c r="L107" s="274">
        <f>L106</f>
        <v>43285.3</v>
      </c>
      <c r="M107" s="272">
        <f>SUM(M100:M105)</f>
        <v>1</v>
      </c>
      <c r="N107" s="272">
        <f>SUM(N100:N105)</f>
        <v>58</v>
      </c>
      <c r="O107" s="272">
        <f>SUM(O106)</f>
        <v>0</v>
      </c>
      <c r="P107" s="275">
        <f>SUM(P106)</f>
        <v>0</v>
      </c>
      <c r="Q107" s="93"/>
      <c r="T107" s="108">
        <f>$V$3+L11+L19+L27+L35+L43+L51+L59+L67+L75+L83+L91+L99+L107</f>
        <v>1901731.5099999998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06" t="s">
        <v>53</v>
      </c>
      <c r="D108" s="301">
        <v>1</v>
      </c>
      <c r="E108" s="302">
        <v>1</v>
      </c>
      <c r="F108" s="303"/>
      <c r="G108" s="303"/>
      <c r="H108" s="303"/>
      <c r="I108" s="303"/>
      <c r="J108" s="303"/>
      <c r="K108" s="303"/>
      <c r="L108" s="304"/>
      <c r="M108" s="302">
        <f t="shared" ref="M108:M113" si="39">SUM(D108-E108)</f>
        <v>0</v>
      </c>
      <c r="N108" s="305">
        <f t="shared" ref="N108:N113" si="40">SUM(E108,M108)</f>
        <v>1</v>
      </c>
      <c r="O108" s="305"/>
      <c r="P108" s="306"/>
      <c r="Q108" s="103"/>
    </row>
    <row r="109" spans="1:20" ht="15.6" thickTop="1" thickBot="1">
      <c r="A109" s="73"/>
      <c r="B109" s="380"/>
      <c r="C109" s="104" t="s">
        <v>58</v>
      </c>
      <c r="D109" s="266">
        <v>14</v>
      </c>
      <c r="E109" s="267">
        <v>14</v>
      </c>
      <c r="F109" s="268">
        <v>1</v>
      </c>
      <c r="G109" s="268"/>
      <c r="H109" s="268"/>
      <c r="I109" s="268">
        <v>2</v>
      </c>
      <c r="J109" s="268"/>
      <c r="K109" s="268"/>
      <c r="L109" s="289">
        <v>13776.96</v>
      </c>
      <c r="M109" s="267">
        <f t="shared" si="39"/>
        <v>0</v>
      </c>
      <c r="N109" s="269">
        <f t="shared" si="40"/>
        <v>14</v>
      </c>
      <c r="O109" s="269"/>
      <c r="P109" s="290"/>
      <c r="Q109" s="105"/>
    </row>
    <row r="110" spans="1:20" ht="15.6" thickTop="1" thickBot="1">
      <c r="A110" s="73"/>
      <c r="B110" s="380"/>
      <c r="C110" s="104" t="s">
        <v>46</v>
      </c>
      <c r="D110" s="266">
        <v>22</v>
      </c>
      <c r="E110" s="267">
        <v>22</v>
      </c>
      <c r="F110" s="268">
        <v>6</v>
      </c>
      <c r="G110" s="268"/>
      <c r="H110" s="268"/>
      <c r="I110" s="268">
        <v>1</v>
      </c>
      <c r="J110" s="268">
        <v>3</v>
      </c>
      <c r="K110" s="268"/>
      <c r="L110" s="289">
        <v>19958.75</v>
      </c>
      <c r="M110" s="267">
        <f t="shared" si="39"/>
        <v>0</v>
      </c>
      <c r="N110" s="269">
        <f t="shared" si="40"/>
        <v>22</v>
      </c>
      <c r="O110" s="269"/>
      <c r="P110" s="290"/>
      <c r="Q110" s="105"/>
    </row>
    <row r="111" spans="1:20" ht="15.6" thickTop="1" thickBot="1">
      <c r="A111" s="73"/>
      <c r="B111" s="380"/>
      <c r="C111" s="106" t="s">
        <v>48</v>
      </c>
      <c r="D111" s="266">
        <v>14</v>
      </c>
      <c r="E111" s="267">
        <v>13</v>
      </c>
      <c r="F111" s="268">
        <v>1</v>
      </c>
      <c r="G111" s="268"/>
      <c r="H111" s="268"/>
      <c r="I111" s="268"/>
      <c r="J111" s="268"/>
      <c r="K111" s="268"/>
      <c r="L111" s="289">
        <v>106</v>
      </c>
      <c r="M111" s="267">
        <f t="shared" si="39"/>
        <v>1</v>
      </c>
      <c r="N111" s="269">
        <f t="shared" si="40"/>
        <v>14</v>
      </c>
      <c r="O111" s="269"/>
      <c r="P111" s="290"/>
      <c r="Q111" s="105"/>
    </row>
    <row r="112" spans="1:20" ht="15.6" thickTop="1" thickBot="1">
      <c r="A112" s="73"/>
      <c r="B112" s="380"/>
      <c r="C112" s="106" t="s">
        <v>64</v>
      </c>
      <c r="D112" s="266">
        <v>7</v>
      </c>
      <c r="E112" s="267">
        <v>7</v>
      </c>
      <c r="F112" s="268">
        <v>7</v>
      </c>
      <c r="G112" s="268"/>
      <c r="H112" s="268"/>
      <c r="I112" s="268"/>
      <c r="J112" s="268">
        <v>3</v>
      </c>
      <c r="K112" s="268"/>
      <c r="L112" s="289"/>
      <c r="M112" s="267">
        <f t="shared" si="39"/>
        <v>0</v>
      </c>
      <c r="N112" s="279">
        <f t="shared" si="40"/>
        <v>7</v>
      </c>
      <c r="O112" s="279"/>
      <c r="P112" s="294"/>
      <c r="Q112" s="105"/>
    </row>
    <row r="113" spans="1:22" ht="15.6" thickTop="1" thickBot="1">
      <c r="A113" s="73"/>
      <c r="B113" s="380"/>
      <c r="C113" s="106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39"/>
        <v>0</v>
      </c>
      <c r="N113" s="269">
        <f t="shared" si="40"/>
        <v>0</v>
      </c>
      <c r="O113" s="269"/>
      <c r="P113" s="290"/>
      <c r="Q113" s="105"/>
    </row>
    <row r="114" spans="1:22" ht="15.6" thickTop="1" thickBot="1">
      <c r="A114" s="73"/>
      <c r="B114" s="380"/>
      <c r="C114" s="107" t="s">
        <v>69</v>
      </c>
      <c r="D114" s="266">
        <f t="shared" ref="D114:K114" si="41">SUM(D108:D113)</f>
        <v>58</v>
      </c>
      <c r="E114" s="267">
        <f t="shared" si="41"/>
        <v>57</v>
      </c>
      <c r="F114" s="268">
        <f t="shared" si="41"/>
        <v>15</v>
      </c>
      <c r="G114" s="268">
        <f t="shared" si="41"/>
        <v>0</v>
      </c>
      <c r="H114" s="268">
        <f t="shared" si="41"/>
        <v>0</v>
      </c>
      <c r="I114" s="268">
        <f t="shared" si="41"/>
        <v>3</v>
      </c>
      <c r="J114" s="268">
        <f t="shared" si="41"/>
        <v>6</v>
      </c>
      <c r="K114" s="270">
        <f t="shared" si="41"/>
        <v>0</v>
      </c>
      <c r="L114" s="307">
        <v>103706.31</v>
      </c>
      <c r="M114" s="271">
        <f>SUM(M108:M113)</f>
        <v>1</v>
      </c>
      <c r="N114" s="269">
        <f>SUM(N108:N113)</f>
        <v>58</v>
      </c>
      <c r="O114" s="95"/>
      <c r="P114" s="96"/>
      <c r="Q114" s="105"/>
    </row>
    <row r="115" spans="1:22" ht="15.6" thickTop="1" thickBot="1">
      <c r="A115" s="73"/>
      <c r="B115" s="380"/>
      <c r="C115" s="92" t="s">
        <v>45</v>
      </c>
      <c r="D115" s="272">
        <f>SUM(D108:D113)</f>
        <v>58</v>
      </c>
      <c r="E115" s="272">
        <f>SUM(E108:E113)</f>
        <v>57</v>
      </c>
      <c r="F115" s="381">
        <f>SUM(F114:K114)</f>
        <v>24</v>
      </c>
      <c r="G115" s="382"/>
      <c r="H115" s="382"/>
      <c r="I115" s="382"/>
      <c r="J115" s="382"/>
      <c r="K115" s="383"/>
      <c r="L115" s="274">
        <f>L114</f>
        <v>103706.31</v>
      </c>
      <c r="M115" s="272">
        <f>SUM(M108:M113)</f>
        <v>1</v>
      </c>
      <c r="N115" s="272">
        <f>SUM(N108:N113)</f>
        <v>58</v>
      </c>
      <c r="O115" s="272">
        <f>SUM(O114)</f>
        <v>0</v>
      </c>
      <c r="P115" s="275">
        <f>SUM(P114)</f>
        <v>0</v>
      </c>
      <c r="Q115" s="93"/>
      <c r="S115" s="100"/>
      <c r="T115" s="108">
        <f>$V$3+L11+L19+L27+L35+L43+L51+L59+L67+L75+L83+L91+L99+L107+L115</f>
        <v>2005437.8199999998</v>
      </c>
    </row>
    <row r="116" spans="1:22" ht="15.6" thickTop="1" thickBot="1">
      <c r="A116" s="73" t="str">
        <f ca="1">OFFSET('0'!$B$112,($A$1-1)*10,$B116-1)</f>
        <v>SS</v>
      </c>
      <c r="B116" s="380">
        <f ca="1">OFFSET('0'!$B$111,($A$1-1)*10,14)</f>
        <v>15</v>
      </c>
      <c r="C116" s="106" t="s">
        <v>64</v>
      </c>
      <c r="D116" s="301">
        <v>2</v>
      </c>
      <c r="E116" s="302">
        <v>2</v>
      </c>
      <c r="F116" s="303"/>
      <c r="G116" s="303"/>
      <c r="H116" s="303"/>
      <c r="I116" s="303"/>
      <c r="J116" s="303"/>
      <c r="K116" s="303"/>
      <c r="L116" s="304"/>
      <c r="M116" s="302">
        <f t="shared" ref="M116:M121" si="42">SUM(D116-E116)</f>
        <v>0</v>
      </c>
      <c r="N116" s="305">
        <f t="shared" ref="N116:N121" si="43">SUM(E116,M116)</f>
        <v>2</v>
      </c>
      <c r="O116" s="305"/>
      <c r="P116" s="306"/>
      <c r="Q116" s="103"/>
    </row>
    <row r="117" spans="1:22" ht="15.6" thickTop="1" thickBot="1">
      <c r="A117" s="73"/>
      <c r="B117" s="380"/>
      <c r="C117" s="104" t="s">
        <v>58</v>
      </c>
      <c r="D117" s="266">
        <v>12</v>
      </c>
      <c r="E117" s="267">
        <v>12</v>
      </c>
      <c r="F117" s="268">
        <v>10</v>
      </c>
      <c r="G117" s="268"/>
      <c r="H117" s="268"/>
      <c r="I117" s="268"/>
      <c r="J117" s="268">
        <v>2</v>
      </c>
      <c r="K117" s="268"/>
      <c r="L117" s="289">
        <v>849</v>
      </c>
      <c r="M117" s="267">
        <f t="shared" si="42"/>
        <v>0</v>
      </c>
      <c r="N117" s="269">
        <f t="shared" si="43"/>
        <v>12</v>
      </c>
      <c r="O117" s="269"/>
      <c r="P117" s="290"/>
      <c r="Q117" s="105"/>
    </row>
    <row r="118" spans="1:22" ht="15.6" thickTop="1" thickBot="1">
      <c r="A118" s="73"/>
      <c r="B118" s="380"/>
      <c r="C118" s="104" t="s">
        <v>49</v>
      </c>
      <c r="D118" s="266">
        <v>18</v>
      </c>
      <c r="E118" s="267">
        <v>18</v>
      </c>
      <c r="F118" s="268">
        <v>2</v>
      </c>
      <c r="G118" s="268"/>
      <c r="H118" s="268"/>
      <c r="I118" s="268">
        <v>1</v>
      </c>
      <c r="J118" s="268">
        <v>2</v>
      </c>
      <c r="K118" s="268"/>
      <c r="L118" s="289"/>
      <c r="M118" s="267">
        <f t="shared" si="42"/>
        <v>0</v>
      </c>
      <c r="N118" s="269">
        <f t="shared" si="43"/>
        <v>18</v>
      </c>
      <c r="O118" s="269"/>
      <c r="P118" s="290"/>
      <c r="Q118" s="105"/>
      <c r="S118" s="100"/>
    </row>
    <row r="119" spans="1:22" ht="15.6" thickTop="1" thickBot="1">
      <c r="A119" s="73"/>
      <c r="B119" s="380"/>
      <c r="C119" s="106" t="s">
        <v>51</v>
      </c>
      <c r="D119" s="266">
        <v>8</v>
      </c>
      <c r="E119" s="267">
        <v>6</v>
      </c>
      <c r="F119" s="268">
        <v>3</v>
      </c>
      <c r="G119" s="268"/>
      <c r="H119" s="268"/>
      <c r="I119" s="268"/>
      <c r="J119" s="268"/>
      <c r="K119" s="268"/>
      <c r="L119" s="289"/>
      <c r="M119" s="267">
        <f t="shared" si="42"/>
        <v>2</v>
      </c>
      <c r="N119" s="269">
        <f t="shared" si="43"/>
        <v>8</v>
      </c>
      <c r="O119" s="269"/>
      <c r="P119" s="290"/>
      <c r="Q119" s="105"/>
      <c r="S119" s="100"/>
    </row>
    <row r="120" spans="1:22" ht="15.6" thickTop="1" thickBot="1">
      <c r="A120" s="73"/>
      <c r="B120" s="380"/>
      <c r="C120" s="106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2"/>
        <v>0</v>
      </c>
      <c r="N120" s="269">
        <f t="shared" si="43"/>
        <v>0</v>
      </c>
      <c r="O120" s="269"/>
      <c r="P120" s="290"/>
      <c r="Q120" s="105"/>
      <c r="S120" s="100"/>
    </row>
    <row r="121" spans="1:22" ht="15.6" thickTop="1" thickBot="1">
      <c r="A121" s="73"/>
      <c r="B121" s="380"/>
      <c r="C121" s="106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2"/>
        <v>0</v>
      </c>
      <c r="N121" s="269">
        <f t="shared" si="43"/>
        <v>0</v>
      </c>
      <c r="O121" s="269"/>
      <c r="P121" s="290"/>
      <c r="Q121" s="105"/>
      <c r="S121" s="100"/>
    </row>
    <row r="122" spans="1:22" ht="15.6" thickTop="1" thickBot="1">
      <c r="A122" s="73"/>
      <c r="B122" s="380"/>
      <c r="C122" s="107" t="s">
        <v>69</v>
      </c>
      <c r="D122" s="266">
        <f t="shared" ref="D122:K122" si="44">SUM(D116:D121)</f>
        <v>40</v>
      </c>
      <c r="E122" s="267">
        <f t="shared" si="44"/>
        <v>38</v>
      </c>
      <c r="F122" s="268">
        <f t="shared" si="44"/>
        <v>15</v>
      </c>
      <c r="G122" s="268">
        <f t="shared" si="44"/>
        <v>0</v>
      </c>
      <c r="H122" s="268">
        <f t="shared" si="44"/>
        <v>0</v>
      </c>
      <c r="I122" s="268">
        <f t="shared" si="44"/>
        <v>1</v>
      </c>
      <c r="J122" s="268">
        <f t="shared" si="44"/>
        <v>4</v>
      </c>
      <c r="K122" s="270">
        <f t="shared" si="44"/>
        <v>0</v>
      </c>
      <c r="L122" s="307">
        <v>3821.5</v>
      </c>
      <c r="M122" s="271">
        <f>SUM(M116:M121)</f>
        <v>2</v>
      </c>
      <c r="N122" s="269">
        <f>SUM(N116:N121)</f>
        <v>40</v>
      </c>
      <c r="O122" s="95"/>
      <c r="P122" s="96"/>
      <c r="Q122" s="105"/>
      <c r="S122" s="100"/>
    </row>
    <row r="123" spans="1:22" ht="15.6" thickTop="1" thickBot="1">
      <c r="A123" s="73"/>
      <c r="B123" s="380"/>
      <c r="C123" s="98" t="s">
        <v>45</v>
      </c>
      <c r="D123" s="281">
        <f>SUM(D116:D121)</f>
        <v>40</v>
      </c>
      <c r="E123" s="281">
        <f>SUM(E116:E121)</f>
        <v>38</v>
      </c>
      <c r="F123" s="381">
        <f>SUM(F122:K122)</f>
        <v>20</v>
      </c>
      <c r="G123" s="382"/>
      <c r="H123" s="382"/>
      <c r="I123" s="382"/>
      <c r="J123" s="382"/>
      <c r="K123" s="383"/>
      <c r="L123" s="282">
        <f>L122</f>
        <v>3821.5</v>
      </c>
      <c r="M123" s="272">
        <f>SUM(M116:M121)</f>
        <v>2</v>
      </c>
      <c r="N123" s="272">
        <f>SUM(N116:N121)</f>
        <v>40</v>
      </c>
      <c r="O123" s="272">
        <f>SUM(O122)</f>
        <v>0</v>
      </c>
      <c r="P123" s="310">
        <f>SUM(P122)</f>
        <v>0</v>
      </c>
      <c r="Q123" s="99"/>
      <c r="T123" s="108">
        <f>$V$3+L11+L19+L27+L35+L43+L51+L59+L67+L75+L83+L91+L99+L107+L115+L123</f>
        <v>2009259.3199999998</v>
      </c>
      <c r="U123" s="100"/>
    </row>
    <row r="124" spans="1:22" ht="15.6" thickTop="1" thickBot="1">
      <c r="A124" s="73" t="str">
        <f ca="1">OFFSET('0'!$B$112,($A$1-1)*10,$B124-1)</f>
        <v>SK</v>
      </c>
      <c r="B124" s="380">
        <f ca="1">OFFSET('0'!$B$111,($A$1-1)*10,15)</f>
        <v>16</v>
      </c>
      <c r="C124" s="106" t="s">
        <v>51</v>
      </c>
      <c r="D124" s="301">
        <v>0</v>
      </c>
      <c r="E124" s="302">
        <v>0</v>
      </c>
      <c r="F124" s="303"/>
      <c r="G124" s="303"/>
      <c r="H124" s="303"/>
      <c r="I124" s="303"/>
      <c r="J124" s="303"/>
      <c r="K124" s="303"/>
      <c r="L124" s="304">
        <v>0</v>
      </c>
      <c r="M124" s="302">
        <f t="shared" ref="M124:M129" si="45">SUM(D124-E124)</f>
        <v>0</v>
      </c>
      <c r="N124" s="305">
        <f t="shared" ref="N124:N129" si="46">SUM(E124,M124)</f>
        <v>0</v>
      </c>
      <c r="O124" s="305"/>
      <c r="P124" s="306"/>
      <c r="Q124" s="103"/>
      <c r="V124" s="100"/>
    </row>
    <row r="125" spans="1:22" ht="15.6" thickTop="1" thickBot="1">
      <c r="A125" s="73"/>
      <c r="B125" s="380"/>
      <c r="C125" s="104" t="s">
        <v>50</v>
      </c>
      <c r="D125" s="266">
        <v>6</v>
      </c>
      <c r="E125" s="267">
        <v>5</v>
      </c>
      <c r="F125" s="268">
        <v>3</v>
      </c>
      <c r="G125" s="268"/>
      <c r="H125" s="268"/>
      <c r="I125" s="268"/>
      <c r="J125" s="268"/>
      <c r="K125" s="268"/>
      <c r="L125" s="289">
        <v>214.98</v>
      </c>
      <c r="M125" s="267">
        <f t="shared" si="45"/>
        <v>1</v>
      </c>
      <c r="N125" s="269">
        <f t="shared" si="46"/>
        <v>6</v>
      </c>
      <c r="O125" s="269"/>
      <c r="P125" s="290"/>
      <c r="Q125" s="105"/>
    </row>
    <row r="126" spans="1:22" ht="15.6" thickTop="1" thickBot="1">
      <c r="A126" s="73"/>
      <c r="B126" s="380"/>
      <c r="C126" s="104" t="s">
        <v>49</v>
      </c>
      <c r="D126" s="266">
        <v>8</v>
      </c>
      <c r="E126" s="267">
        <v>8</v>
      </c>
      <c r="F126" s="268">
        <v>2</v>
      </c>
      <c r="G126" s="268"/>
      <c r="H126" s="268"/>
      <c r="I126" s="268">
        <v>1</v>
      </c>
      <c r="J126" s="268"/>
      <c r="K126" s="268"/>
      <c r="L126" s="289"/>
      <c r="M126" s="267">
        <f t="shared" si="45"/>
        <v>0</v>
      </c>
      <c r="N126" s="269">
        <f t="shared" si="46"/>
        <v>8</v>
      </c>
      <c r="O126" s="269"/>
      <c r="P126" s="290"/>
      <c r="Q126" s="105"/>
    </row>
    <row r="127" spans="1:22" ht="15.6" thickTop="1" thickBot="1">
      <c r="A127" s="73"/>
      <c r="B127" s="380"/>
      <c r="C127" s="106" t="s">
        <v>47</v>
      </c>
      <c r="D127" s="266">
        <v>6</v>
      </c>
      <c r="E127" s="267">
        <v>6</v>
      </c>
      <c r="F127" s="268">
        <v>2</v>
      </c>
      <c r="G127" s="268"/>
      <c r="H127" s="268"/>
      <c r="I127" s="268">
        <v>1</v>
      </c>
      <c r="J127" s="268"/>
      <c r="K127" s="268"/>
      <c r="L127" s="289">
        <v>9228</v>
      </c>
      <c r="M127" s="267">
        <f t="shared" si="45"/>
        <v>0</v>
      </c>
      <c r="N127" s="269">
        <f t="shared" si="46"/>
        <v>6</v>
      </c>
      <c r="O127" s="269"/>
      <c r="P127" s="290"/>
      <c r="Q127" s="105"/>
    </row>
    <row r="128" spans="1:22" ht="15.6" thickTop="1" thickBot="1">
      <c r="A128" s="73"/>
      <c r="B128" s="380"/>
      <c r="C128" s="106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5"/>
        <v>0</v>
      </c>
      <c r="N128" s="279">
        <f t="shared" si="46"/>
        <v>0</v>
      </c>
      <c r="O128" s="279"/>
      <c r="P128" s="294"/>
      <c r="Q128" s="105"/>
    </row>
    <row r="129" spans="1:20" ht="15.6" thickTop="1" thickBot="1">
      <c r="A129" s="73"/>
      <c r="B129" s="380"/>
      <c r="C129" s="106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5"/>
        <v>0</v>
      </c>
      <c r="N129" s="269">
        <f t="shared" si="46"/>
        <v>0</v>
      </c>
      <c r="O129" s="269"/>
      <c r="P129" s="290"/>
      <c r="Q129" s="105"/>
    </row>
    <row r="130" spans="1:20" ht="15.6" thickTop="1" thickBot="1">
      <c r="A130" s="73"/>
      <c r="B130" s="380"/>
      <c r="C130" s="107" t="s">
        <v>69</v>
      </c>
      <c r="D130" s="266">
        <f t="shared" ref="D130:K130" si="47">SUM(D124:D129)</f>
        <v>20</v>
      </c>
      <c r="E130" s="267">
        <f t="shared" si="47"/>
        <v>19</v>
      </c>
      <c r="F130" s="268">
        <f t="shared" si="47"/>
        <v>7</v>
      </c>
      <c r="G130" s="268">
        <f t="shared" si="47"/>
        <v>0</v>
      </c>
      <c r="H130" s="268">
        <f t="shared" si="47"/>
        <v>0</v>
      </c>
      <c r="I130" s="268">
        <f t="shared" si="47"/>
        <v>2</v>
      </c>
      <c r="J130" s="268">
        <f t="shared" si="47"/>
        <v>0</v>
      </c>
      <c r="K130" s="270">
        <f t="shared" si="47"/>
        <v>0</v>
      </c>
      <c r="L130" s="307">
        <v>17031.2</v>
      </c>
      <c r="M130" s="271">
        <f>SUM(M124:M129)</f>
        <v>1</v>
      </c>
      <c r="N130" s="269">
        <f>SUM(N124:N129)</f>
        <v>20</v>
      </c>
      <c r="O130" s="95"/>
      <c r="P130" s="96"/>
      <c r="Q130" s="105"/>
      <c r="S130" s="101"/>
    </row>
    <row r="131" spans="1:20" ht="15.6" thickTop="1" thickBot="1">
      <c r="A131" s="73"/>
      <c r="B131" s="380"/>
      <c r="C131" s="92" t="s">
        <v>45</v>
      </c>
      <c r="D131" s="272">
        <f>SUM(D124:D129)</f>
        <v>20</v>
      </c>
      <c r="E131" s="272">
        <f>SUM(E124:E129)</f>
        <v>19</v>
      </c>
      <c r="F131" s="381">
        <f>SUM(F130:K130)</f>
        <v>9</v>
      </c>
      <c r="G131" s="382"/>
      <c r="H131" s="382"/>
      <c r="I131" s="382"/>
      <c r="J131" s="382"/>
      <c r="K131" s="383"/>
      <c r="L131" s="274">
        <f>L130</f>
        <v>17031.2</v>
      </c>
      <c r="M131" s="272">
        <f>SUM(M124:M129)</f>
        <v>1</v>
      </c>
      <c r="N131" s="272">
        <f>SUM(N124:N129)</f>
        <v>20</v>
      </c>
      <c r="O131" s="272">
        <f>SUM(O130)</f>
        <v>0</v>
      </c>
      <c r="P131" s="275">
        <f>SUM(P130)</f>
        <v>0</v>
      </c>
      <c r="Q131" s="93"/>
      <c r="S131" s="100"/>
      <c r="T131" s="108">
        <f>$V$3+L11+L19+L27+L35+L43+L51+L59+L67+L75+L83+L91+L99+L107+L115+L123+L131</f>
        <v>2026290.5199999998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06" t="s">
        <v>47</v>
      </c>
      <c r="D132" s="301">
        <v>3</v>
      </c>
      <c r="E132" s="302">
        <v>3</v>
      </c>
      <c r="F132" s="303"/>
      <c r="G132" s="303"/>
      <c r="H132" s="303"/>
      <c r="I132" s="303"/>
      <c r="J132" s="303"/>
      <c r="K132" s="303"/>
      <c r="L132" s="304"/>
      <c r="M132" s="302">
        <f t="shared" ref="M132:M137" si="48">SUM(D132-E132)</f>
        <v>0</v>
      </c>
      <c r="N132" s="305">
        <f t="shared" ref="N132:N137" si="49">SUM(E132,M132)</f>
        <v>3</v>
      </c>
      <c r="O132" s="305"/>
      <c r="P132" s="306"/>
      <c r="Q132" s="103"/>
    </row>
    <row r="133" spans="1:20" ht="15.6" thickTop="1" thickBot="1">
      <c r="A133" s="73"/>
      <c r="B133" s="380"/>
      <c r="C133" s="104" t="s">
        <v>50</v>
      </c>
      <c r="D133" s="284">
        <v>14</v>
      </c>
      <c r="E133" s="285">
        <v>12</v>
      </c>
      <c r="F133" s="286">
        <v>2</v>
      </c>
      <c r="G133" s="286"/>
      <c r="H133" s="286"/>
      <c r="I133" s="286"/>
      <c r="J133" s="286"/>
      <c r="K133" s="286"/>
      <c r="L133" s="295">
        <v>69153.5</v>
      </c>
      <c r="M133" s="285">
        <f t="shared" si="48"/>
        <v>2</v>
      </c>
      <c r="N133" s="269">
        <f t="shared" si="49"/>
        <v>14</v>
      </c>
      <c r="O133" s="269"/>
      <c r="P133" s="294"/>
      <c r="Q133" s="147" t="s">
        <v>73</v>
      </c>
    </row>
    <row r="134" spans="1:20" ht="15.6" thickTop="1" thickBot="1">
      <c r="A134" s="73"/>
      <c r="B134" s="380"/>
      <c r="C134" s="104" t="s">
        <v>46</v>
      </c>
      <c r="D134" s="266">
        <v>23</v>
      </c>
      <c r="E134" s="267">
        <v>23</v>
      </c>
      <c r="F134" s="268">
        <v>5</v>
      </c>
      <c r="G134" s="268"/>
      <c r="H134" s="268"/>
      <c r="I134" s="268">
        <v>1</v>
      </c>
      <c r="J134" s="268"/>
      <c r="K134" s="268"/>
      <c r="L134" s="289">
        <v>4032.79</v>
      </c>
      <c r="M134" s="267">
        <f t="shared" si="48"/>
        <v>0</v>
      </c>
      <c r="N134" s="269">
        <f t="shared" si="49"/>
        <v>23</v>
      </c>
      <c r="O134" s="269"/>
      <c r="P134" s="290"/>
      <c r="Q134" s="105"/>
    </row>
    <row r="135" spans="1:20" ht="15.6" thickTop="1" thickBot="1">
      <c r="A135" s="73"/>
      <c r="B135" s="380"/>
      <c r="C135" s="106" t="s">
        <v>52</v>
      </c>
      <c r="D135" s="266">
        <v>17</v>
      </c>
      <c r="E135" s="267">
        <v>17</v>
      </c>
      <c r="F135" s="268"/>
      <c r="G135" s="268"/>
      <c r="H135" s="268"/>
      <c r="I135" s="268"/>
      <c r="J135" s="268"/>
      <c r="K135" s="268"/>
      <c r="L135" s="289"/>
      <c r="M135" s="267">
        <f t="shared" si="48"/>
        <v>0</v>
      </c>
      <c r="N135" s="269">
        <f t="shared" si="49"/>
        <v>17</v>
      </c>
      <c r="O135" s="269"/>
      <c r="P135" s="290"/>
      <c r="Q135" s="105"/>
    </row>
    <row r="136" spans="1:20" ht="15.6" thickTop="1" thickBot="1">
      <c r="A136" s="73"/>
      <c r="B136" s="380"/>
      <c r="C136" s="106" t="s">
        <v>60</v>
      </c>
      <c r="D136" s="266">
        <v>14</v>
      </c>
      <c r="E136" s="267">
        <v>13</v>
      </c>
      <c r="F136" s="268">
        <v>3</v>
      </c>
      <c r="G136" s="268"/>
      <c r="H136" s="268"/>
      <c r="I136" s="268">
        <v>1</v>
      </c>
      <c r="J136" s="268">
        <v>3</v>
      </c>
      <c r="K136" s="268"/>
      <c r="L136" s="289"/>
      <c r="M136" s="267">
        <f t="shared" si="48"/>
        <v>1</v>
      </c>
      <c r="N136" s="269">
        <f t="shared" si="49"/>
        <v>14</v>
      </c>
      <c r="O136" s="269"/>
      <c r="P136" s="290"/>
      <c r="Q136" s="105"/>
    </row>
    <row r="137" spans="1:20" ht="15.6" thickTop="1" thickBot="1">
      <c r="A137" s="73"/>
      <c r="B137" s="380"/>
      <c r="C137" s="106"/>
      <c r="D137" s="276"/>
      <c r="E137" s="277"/>
      <c r="F137" s="278"/>
      <c r="G137" s="278"/>
      <c r="H137" s="278"/>
      <c r="I137" s="278"/>
      <c r="J137" s="278"/>
      <c r="K137" s="278"/>
      <c r="L137" s="291"/>
      <c r="M137" s="277">
        <f t="shared" si="48"/>
        <v>0</v>
      </c>
      <c r="N137" s="280">
        <f t="shared" si="49"/>
        <v>0</v>
      </c>
      <c r="O137" s="280"/>
      <c r="P137" s="293"/>
      <c r="Q137" s="111"/>
    </row>
    <row r="138" spans="1:20" ht="15.6" thickTop="1" thickBot="1">
      <c r="A138" s="73"/>
      <c r="B138" s="380"/>
      <c r="C138" s="107" t="s">
        <v>69</v>
      </c>
      <c r="D138" s="276">
        <f t="shared" ref="D138:K138" si="50">SUM(D132:D137)</f>
        <v>71</v>
      </c>
      <c r="E138" s="277">
        <f t="shared" si="50"/>
        <v>68</v>
      </c>
      <c r="F138" s="278">
        <f t="shared" si="50"/>
        <v>10</v>
      </c>
      <c r="G138" s="278">
        <f t="shared" si="50"/>
        <v>0</v>
      </c>
      <c r="H138" s="278">
        <f t="shared" si="50"/>
        <v>0</v>
      </c>
      <c r="I138" s="278">
        <f t="shared" si="50"/>
        <v>2</v>
      </c>
      <c r="J138" s="278">
        <f t="shared" si="50"/>
        <v>3</v>
      </c>
      <c r="K138" s="308">
        <f t="shared" si="50"/>
        <v>0</v>
      </c>
      <c r="L138" s="307">
        <v>267151.06</v>
      </c>
      <c r="M138" s="309">
        <f>SUM(M132:M137)</f>
        <v>3</v>
      </c>
      <c r="N138" s="280">
        <f>SUM(N132:N137)</f>
        <v>71</v>
      </c>
      <c r="O138" s="112"/>
      <c r="P138" s="113"/>
      <c r="Q138" s="111"/>
    </row>
    <row r="139" spans="1:20" ht="15.6" thickTop="1" thickBot="1">
      <c r="A139" s="73"/>
      <c r="B139" s="380"/>
      <c r="C139" s="92" t="s">
        <v>45</v>
      </c>
      <c r="D139" s="272">
        <f>SUM(D132:D137)</f>
        <v>71</v>
      </c>
      <c r="E139" s="272">
        <f>SUM(E132:E137)</f>
        <v>68</v>
      </c>
      <c r="F139" s="381">
        <f>SUM(F138:K138)</f>
        <v>15</v>
      </c>
      <c r="G139" s="382"/>
      <c r="H139" s="382"/>
      <c r="I139" s="382"/>
      <c r="J139" s="382"/>
      <c r="K139" s="383"/>
      <c r="L139" s="274">
        <f>L138</f>
        <v>267151.06</v>
      </c>
      <c r="M139" s="272">
        <f>SUM(M132:M137)</f>
        <v>3</v>
      </c>
      <c r="N139" s="272">
        <f>SUM(N132:N137)</f>
        <v>71</v>
      </c>
      <c r="O139" s="272">
        <f>SUM(O138)</f>
        <v>0</v>
      </c>
      <c r="P139" s="275">
        <f>SUM(P138)</f>
        <v>0</v>
      </c>
      <c r="Q139" s="93"/>
      <c r="T139" s="108">
        <f>$V$3+L11+L19+L27+L35+L43+L51+L59+L67+L75+L83+L91+L99+L107+L115+L123+L131+L139</f>
        <v>2293441.5799999996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06" t="s">
        <v>60</v>
      </c>
      <c r="D140" s="301">
        <v>3</v>
      </c>
      <c r="E140" s="302">
        <v>2</v>
      </c>
      <c r="F140" s="303"/>
      <c r="G140" s="303"/>
      <c r="H140" s="303"/>
      <c r="I140" s="303"/>
      <c r="J140" s="303"/>
      <c r="K140" s="303"/>
      <c r="L140" s="304"/>
      <c r="M140" s="302">
        <f t="shared" ref="M140:M145" si="51">SUM(D140-E140)</f>
        <v>1</v>
      </c>
      <c r="N140" s="305">
        <f t="shared" ref="N140:N145" si="52">SUM(E140,M140)</f>
        <v>3</v>
      </c>
      <c r="O140" s="305"/>
      <c r="P140" s="306"/>
      <c r="Q140" s="103"/>
    </row>
    <row r="141" spans="1:20" ht="15.6" thickTop="1" thickBot="1">
      <c r="A141" s="73"/>
      <c r="B141" s="380"/>
      <c r="C141" s="104" t="s">
        <v>56</v>
      </c>
      <c r="D141" s="284">
        <v>37</v>
      </c>
      <c r="E141" s="285">
        <v>36</v>
      </c>
      <c r="F141" s="286">
        <v>2</v>
      </c>
      <c r="G141" s="286"/>
      <c r="H141" s="286"/>
      <c r="I141" s="286">
        <v>2</v>
      </c>
      <c r="J141" s="286">
        <v>1</v>
      </c>
      <c r="K141" s="286"/>
      <c r="L141" s="295">
        <v>35977.5</v>
      </c>
      <c r="M141" s="285">
        <f t="shared" si="51"/>
        <v>1</v>
      </c>
      <c r="N141" s="269">
        <f t="shared" si="52"/>
        <v>37</v>
      </c>
      <c r="O141" s="269"/>
      <c r="P141" s="294"/>
      <c r="Q141" s="110"/>
    </row>
    <row r="142" spans="1:20" ht="15.6" thickTop="1" thickBot="1">
      <c r="A142" s="73"/>
      <c r="B142" s="380"/>
      <c r="C142" s="104" t="s">
        <v>50</v>
      </c>
      <c r="D142" s="284">
        <v>32</v>
      </c>
      <c r="E142" s="285">
        <v>30</v>
      </c>
      <c r="F142" s="286">
        <v>3</v>
      </c>
      <c r="G142" s="286"/>
      <c r="H142" s="286"/>
      <c r="I142" s="286">
        <v>2</v>
      </c>
      <c r="J142" s="286">
        <v>1</v>
      </c>
      <c r="K142" s="286"/>
      <c r="L142" s="295">
        <v>35738</v>
      </c>
      <c r="M142" s="285">
        <f t="shared" si="51"/>
        <v>2</v>
      </c>
      <c r="N142" s="269">
        <f t="shared" si="52"/>
        <v>32</v>
      </c>
      <c r="O142" s="269"/>
      <c r="P142" s="294"/>
      <c r="Q142" s="147" t="s">
        <v>73</v>
      </c>
    </row>
    <row r="143" spans="1:20" ht="15.6" thickTop="1" thickBot="1">
      <c r="A143" s="73"/>
      <c r="B143" s="380"/>
      <c r="C143" s="106" t="s">
        <v>54</v>
      </c>
      <c r="D143" s="266">
        <v>18</v>
      </c>
      <c r="E143" s="267">
        <v>16</v>
      </c>
      <c r="F143" s="268">
        <v>2</v>
      </c>
      <c r="G143" s="268"/>
      <c r="H143" s="268"/>
      <c r="I143" s="268">
        <v>1</v>
      </c>
      <c r="J143" s="268">
        <v>2</v>
      </c>
      <c r="K143" s="268"/>
      <c r="L143" s="289">
        <v>8271.26</v>
      </c>
      <c r="M143" s="267">
        <f t="shared" si="51"/>
        <v>2</v>
      </c>
      <c r="N143" s="269">
        <f t="shared" si="52"/>
        <v>18</v>
      </c>
      <c r="O143" s="269"/>
      <c r="P143" s="290"/>
      <c r="Q143" s="105"/>
    </row>
    <row r="144" spans="1:20" s="88" customFormat="1" ht="15.6" thickTop="1" thickBot="1">
      <c r="A144" s="74"/>
      <c r="B144" s="380"/>
      <c r="C144" s="106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1"/>
        <v>0</v>
      </c>
      <c r="N144" s="269">
        <f t="shared" si="52"/>
        <v>0</v>
      </c>
      <c r="O144" s="269"/>
      <c r="P144" s="290"/>
      <c r="Q144" s="105"/>
    </row>
    <row r="145" spans="1:20" s="88" customFormat="1" ht="15.6" thickTop="1" thickBot="1">
      <c r="A145" s="74"/>
      <c r="B145" s="380"/>
      <c r="C145" s="106"/>
      <c r="D145" s="266"/>
      <c r="E145" s="267"/>
      <c r="F145" s="268"/>
      <c r="G145" s="268"/>
      <c r="H145" s="268"/>
      <c r="I145" s="268"/>
      <c r="J145" s="268"/>
      <c r="K145" s="268"/>
      <c r="L145" s="289"/>
      <c r="M145" s="267">
        <f t="shared" si="51"/>
        <v>0</v>
      </c>
      <c r="N145" s="269">
        <f t="shared" si="52"/>
        <v>0</v>
      </c>
      <c r="O145" s="269"/>
      <c r="P145" s="290"/>
      <c r="Q145" s="105"/>
    </row>
    <row r="146" spans="1:20" ht="15.6" thickTop="1" thickBot="1">
      <c r="A146" s="73"/>
      <c r="B146" s="380"/>
      <c r="C146" s="107" t="s">
        <v>69</v>
      </c>
      <c r="D146" s="266">
        <f t="shared" ref="D146:K146" si="53">SUM(D140:D145)</f>
        <v>90</v>
      </c>
      <c r="E146" s="267">
        <f t="shared" si="53"/>
        <v>84</v>
      </c>
      <c r="F146" s="268">
        <f t="shared" si="53"/>
        <v>7</v>
      </c>
      <c r="G146" s="268">
        <f t="shared" si="53"/>
        <v>0</v>
      </c>
      <c r="H146" s="268">
        <f t="shared" si="53"/>
        <v>0</v>
      </c>
      <c r="I146" s="268">
        <f t="shared" si="53"/>
        <v>5</v>
      </c>
      <c r="J146" s="268">
        <f t="shared" si="53"/>
        <v>4</v>
      </c>
      <c r="K146" s="268">
        <f t="shared" si="53"/>
        <v>0</v>
      </c>
      <c r="L146" s="307">
        <v>122895.76</v>
      </c>
      <c r="M146" s="267">
        <f>SUM(M140:M145)</f>
        <v>6</v>
      </c>
      <c r="N146" s="269">
        <f>SUM(N140:N145)</f>
        <v>90</v>
      </c>
      <c r="O146" s="95"/>
      <c r="P146" s="96"/>
      <c r="Q146" s="105"/>
    </row>
    <row r="147" spans="1:20" ht="15.6" thickTop="1" thickBot="1">
      <c r="A147" s="73"/>
      <c r="B147" s="380"/>
      <c r="C147" s="92" t="s">
        <v>45</v>
      </c>
      <c r="D147" s="272">
        <f>SUM(D140:D145)</f>
        <v>90</v>
      </c>
      <c r="E147" s="272">
        <f>SUM(E140:E145)</f>
        <v>84</v>
      </c>
      <c r="F147" s="381">
        <f>SUM(F146:K146)</f>
        <v>16</v>
      </c>
      <c r="G147" s="382"/>
      <c r="H147" s="382"/>
      <c r="I147" s="382"/>
      <c r="J147" s="382"/>
      <c r="K147" s="383"/>
      <c r="L147" s="274">
        <f>L146</f>
        <v>122895.76</v>
      </c>
      <c r="M147" s="272">
        <f>SUM(M140:M145)</f>
        <v>6</v>
      </c>
      <c r="N147" s="272">
        <f>SUM(N140:N145)</f>
        <v>90</v>
      </c>
      <c r="O147" s="272">
        <f>SUM(O146)</f>
        <v>0</v>
      </c>
      <c r="P147" s="275">
        <f>SUM(P146)</f>
        <v>0</v>
      </c>
      <c r="Q147" s="93"/>
      <c r="T147" s="108">
        <f>$V$3+L11+L19+L27+L35+L43+L51+L59+L67+L75+L83+L91+L99+L107+L115+L123+L131+L139+L147</f>
        <v>2416337.3399999994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06" t="s">
        <v>54</v>
      </c>
      <c r="D148" s="301">
        <v>0</v>
      </c>
      <c r="E148" s="302">
        <v>0</v>
      </c>
      <c r="F148" s="303"/>
      <c r="G148" s="303"/>
      <c r="H148" s="303"/>
      <c r="I148" s="303"/>
      <c r="J148" s="303"/>
      <c r="K148" s="303"/>
      <c r="L148" s="304"/>
      <c r="M148" s="302">
        <f t="shared" ref="M148:M153" si="54">SUM(D148-E148)</f>
        <v>0</v>
      </c>
      <c r="N148" s="305">
        <f t="shared" ref="N148:N153" si="55">SUM(E148,M148)</f>
        <v>0</v>
      </c>
      <c r="O148" s="305"/>
      <c r="P148" s="296"/>
      <c r="Q148" s="103"/>
    </row>
    <row r="149" spans="1:20" s="88" customFormat="1" ht="15.6" thickTop="1" thickBot="1">
      <c r="A149" s="74"/>
      <c r="B149" s="380"/>
      <c r="C149" s="104" t="s">
        <v>56</v>
      </c>
      <c r="D149" s="284">
        <v>17</v>
      </c>
      <c r="E149" s="285">
        <v>17</v>
      </c>
      <c r="F149" s="286">
        <v>2</v>
      </c>
      <c r="G149" s="286"/>
      <c r="H149" s="286"/>
      <c r="I149" s="286"/>
      <c r="J149" s="286">
        <v>3</v>
      </c>
      <c r="K149" s="286"/>
      <c r="L149" s="295">
        <v>4123</v>
      </c>
      <c r="M149" s="285">
        <f t="shared" si="54"/>
        <v>0</v>
      </c>
      <c r="N149" s="269">
        <f t="shared" si="55"/>
        <v>17</v>
      </c>
      <c r="O149" s="269"/>
      <c r="P149" s="296"/>
      <c r="Q149" s="110"/>
    </row>
    <row r="150" spans="1:20" ht="15.6" thickTop="1" thickBot="1">
      <c r="A150" s="73"/>
      <c r="B150" s="380"/>
      <c r="C150" s="104" t="s">
        <v>58</v>
      </c>
      <c r="D150" s="284">
        <v>18</v>
      </c>
      <c r="E150" s="285">
        <v>18</v>
      </c>
      <c r="F150" s="286">
        <v>3</v>
      </c>
      <c r="G150" s="286"/>
      <c r="H150" s="286"/>
      <c r="I150" s="286"/>
      <c r="J150" s="286">
        <v>2</v>
      </c>
      <c r="K150" s="286"/>
      <c r="L150" s="295">
        <v>380</v>
      </c>
      <c r="M150" s="285">
        <f t="shared" si="54"/>
        <v>0</v>
      </c>
      <c r="N150" s="269">
        <f t="shared" si="55"/>
        <v>18</v>
      </c>
      <c r="O150" s="269"/>
      <c r="P150" s="294"/>
      <c r="Q150" s="110"/>
    </row>
    <row r="151" spans="1:20" ht="15.6" thickTop="1" thickBot="1">
      <c r="A151" s="73"/>
      <c r="B151" s="380"/>
      <c r="C151" s="106" t="s">
        <v>48</v>
      </c>
      <c r="D151" s="266">
        <v>26</v>
      </c>
      <c r="E151" s="267">
        <v>26</v>
      </c>
      <c r="F151" s="268">
        <v>4</v>
      </c>
      <c r="G151" s="268"/>
      <c r="H151" s="268"/>
      <c r="I151" s="268">
        <v>1</v>
      </c>
      <c r="J151" s="268">
        <v>1</v>
      </c>
      <c r="K151" s="268"/>
      <c r="L151" s="289">
        <v>9951.41</v>
      </c>
      <c r="M151" s="267">
        <f t="shared" si="54"/>
        <v>0</v>
      </c>
      <c r="N151" s="269">
        <f t="shared" si="55"/>
        <v>26</v>
      </c>
      <c r="O151" s="269"/>
      <c r="P151" s="290"/>
      <c r="Q151" s="105"/>
    </row>
    <row r="152" spans="1:20" ht="15.6" thickTop="1" thickBot="1">
      <c r="A152" s="73"/>
      <c r="B152" s="380"/>
      <c r="C152" s="106" t="s">
        <v>145</v>
      </c>
      <c r="D152" s="266">
        <v>8</v>
      </c>
      <c r="E152" s="267">
        <v>8</v>
      </c>
      <c r="F152" s="268">
        <v>2</v>
      </c>
      <c r="G152" s="268"/>
      <c r="H152" s="268"/>
      <c r="I152" s="268"/>
      <c r="J152" s="268"/>
      <c r="K152" s="268"/>
      <c r="L152" s="289"/>
      <c r="M152" s="267">
        <f t="shared" si="54"/>
        <v>0</v>
      </c>
      <c r="N152" s="269">
        <f t="shared" si="55"/>
        <v>8</v>
      </c>
      <c r="O152" s="269"/>
      <c r="P152" s="290"/>
      <c r="Q152" s="105"/>
    </row>
    <row r="153" spans="1:20" ht="15.6" thickTop="1" thickBot="1">
      <c r="A153" s="73"/>
      <c r="B153" s="380"/>
      <c r="C153" s="106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4"/>
        <v>0</v>
      </c>
      <c r="N153" s="269">
        <f t="shared" si="55"/>
        <v>0</v>
      </c>
      <c r="O153" s="269"/>
      <c r="P153" s="290"/>
      <c r="Q153" s="105"/>
    </row>
    <row r="154" spans="1:20" ht="15.6" thickTop="1" thickBot="1">
      <c r="A154" s="73"/>
      <c r="B154" s="380"/>
      <c r="C154" s="107" t="s">
        <v>69</v>
      </c>
      <c r="D154" s="266">
        <f t="shared" ref="D154:K154" si="56">SUM(D148:D153)</f>
        <v>69</v>
      </c>
      <c r="E154" s="267">
        <f t="shared" si="56"/>
        <v>69</v>
      </c>
      <c r="F154" s="268">
        <f t="shared" si="56"/>
        <v>11</v>
      </c>
      <c r="G154" s="268">
        <f t="shared" si="56"/>
        <v>0</v>
      </c>
      <c r="H154" s="268">
        <f t="shared" si="56"/>
        <v>0</v>
      </c>
      <c r="I154" s="268">
        <f t="shared" si="56"/>
        <v>1</v>
      </c>
      <c r="J154" s="268">
        <f t="shared" si="56"/>
        <v>6</v>
      </c>
      <c r="K154" s="270">
        <f t="shared" si="56"/>
        <v>0</v>
      </c>
      <c r="L154" s="307">
        <v>50145.1</v>
      </c>
      <c r="M154" s="271">
        <f>SUM(M148:M153)</f>
        <v>0</v>
      </c>
      <c r="N154" s="269">
        <f>SUM(N148:N153)</f>
        <v>69</v>
      </c>
      <c r="O154" s="95"/>
      <c r="P154" s="96"/>
      <c r="Q154" s="105"/>
    </row>
    <row r="155" spans="1:20" ht="15.6" thickTop="1" thickBot="1">
      <c r="A155" s="73"/>
      <c r="B155" s="380"/>
      <c r="C155" s="92" t="s">
        <v>45</v>
      </c>
      <c r="D155" s="272">
        <f>SUM(D148:D153)</f>
        <v>69</v>
      </c>
      <c r="E155" s="272">
        <f>SUM(E148:E153)</f>
        <v>69</v>
      </c>
      <c r="F155" s="381">
        <f>SUM(F154:K154)</f>
        <v>18</v>
      </c>
      <c r="G155" s="382"/>
      <c r="H155" s="382"/>
      <c r="I155" s="382"/>
      <c r="J155" s="382"/>
      <c r="K155" s="383"/>
      <c r="L155" s="274">
        <f>L154</f>
        <v>50145.1</v>
      </c>
      <c r="M155" s="272">
        <f>SUM(M148:M153)</f>
        <v>0</v>
      </c>
      <c r="N155" s="272">
        <f>SUM(N148:N153)</f>
        <v>69</v>
      </c>
      <c r="O155" s="272">
        <f>SUM(O154)</f>
        <v>0</v>
      </c>
      <c r="P155" s="275">
        <f>SUM(P154)</f>
        <v>0</v>
      </c>
      <c r="Q155" s="93"/>
      <c r="T155" s="108">
        <f>$V$3+L11+L19+L27+L35+L43+L51+L59+L67+L75+L83+L91+L99+L107+L115+L123+L131+L139+L147+L155</f>
        <v>2466482.4399999995</v>
      </c>
    </row>
    <row r="156" spans="1:20" ht="15.6" thickTop="1" thickBot="1">
      <c r="A156" s="73" t="str">
        <f ca="1">OFFSET('0'!$B$112,($A$1-1)*10,$B156-1)</f>
        <v>--</v>
      </c>
      <c r="B156" s="380">
        <f ca="1">OFFSET('0'!$B$111,($A$1-1)*10,19)</f>
        <v>20</v>
      </c>
      <c r="C156" s="106" t="s">
        <v>145</v>
      </c>
      <c r="D156" s="301">
        <v>2</v>
      </c>
      <c r="E156" s="302">
        <v>2</v>
      </c>
      <c r="F156" s="303">
        <v>1</v>
      </c>
      <c r="G156" s="303"/>
      <c r="H156" s="303"/>
      <c r="I156" s="303"/>
      <c r="J156" s="303"/>
      <c r="K156" s="303"/>
      <c r="L156" s="304"/>
      <c r="M156" s="302">
        <f t="shared" ref="M156:M161" si="57">SUM(D156-E156)</f>
        <v>0</v>
      </c>
      <c r="N156" s="305">
        <f t="shared" ref="N156:N161" si="58">SUM(E156,M156)</f>
        <v>2</v>
      </c>
      <c r="O156" s="305"/>
      <c r="P156" s="296"/>
      <c r="Q156" s="103"/>
    </row>
    <row r="157" spans="1:20" ht="15.6" thickTop="1" thickBot="1">
      <c r="A157" s="73"/>
      <c r="B157" s="380"/>
      <c r="C157" s="104" t="s">
        <v>58</v>
      </c>
      <c r="D157" s="284">
        <v>15</v>
      </c>
      <c r="E157" s="285">
        <v>15</v>
      </c>
      <c r="F157" s="286">
        <v>2</v>
      </c>
      <c r="G157" s="286"/>
      <c r="H157" s="286"/>
      <c r="I157" s="286"/>
      <c r="J157" s="286">
        <v>1</v>
      </c>
      <c r="K157" s="286"/>
      <c r="L157" s="295">
        <v>765</v>
      </c>
      <c r="M157" s="285">
        <f t="shared" si="57"/>
        <v>0</v>
      </c>
      <c r="N157" s="269">
        <f t="shared" si="58"/>
        <v>15</v>
      </c>
      <c r="O157" s="269"/>
      <c r="P157" s="296"/>
      <c r="Q157" s="110"/>
    </row>
    <row r="158" spans="1:20" s="88" customFormat="1" ht="15.6" thickTop="1" thickBot="1">
      <c r="A158" s="74"/>
      <c r="B158" s="380"/>
      <c r="C158" s="104" t="s">
        <v>48</v>
      </c>
      <c r="D158" s="284">
        <v>18</v>
      </c>
      <c r="E158" s="285">
        <v>17</v>
      </c>
      <c r="F158" s="286">
        <v>2</v>
      </c>
      <c r="G158" s="286"/>
      <c r="H158" s="286"/>
      <c r="I158" s="286"/>
      <c r="J158" s="286"/>
      <c r="K158" s="286"/>
      <c r="L158" s="295">
        <v>2882</v>
      </c>
      <c r="M158" s="285">
        <f t="shared" si="57"/>
        <v>1</v>
      </c>
      <c r="N158" s="269">
        <f t="shared" si="58"/>
        <v>18</v>
      </c>
      <c r="O158" s="269"/>
      <c r="P158" s="296"/>
      <c r="Q158" s="110"/>
    </row>
    <row r="159" spans="1:20" ht="15.6" thickTop="1" thickBot="1">
      <c r="A159" s="73"/>
      <c r="B159" s="380"/>
      <c r="C159" s="106" t="s">
        <v>55</v>
      </c>
      <c r="D159" s="266">
        <v>18</v>
      </c>
      <c r="E159" s="267">
        <v>17</v>
      </c>
      <c r="F159" s="268">
        <v>5</v>
      </c>
      <c r="G159" s="268"/>
      <c r="H159" s="268"/>
      <c r="I159" s="268"/>
      <c r="J159" s="268">
        <v>2</v>
      </c>
      <c r="K159" s="268"/>
      <c r="L159" s="289"/>
      <c r="M159" s="267">
        <f t="shared" si="57"/>
        <v>1</v>
      </c>
      <c r="N159" s="269">
        <f t="shared" si="58"/>
        <v>18</v>
      </c>
      <c r="O159" s="269"/>
      <c r="P159" s="296"/>
      <c r="Q159" s="105"/>
    </row>
    <row r="160" spans="1:20" ht="15.6" thickTop="1" thickBot="1">
      <c r="A160" s="73"/>
      <c r="B160" s="380"/>
      <c r="C160" s="106" t="s">
        <v>53</v>
      </c>
      <c r="D160" s="266">
        <v>5</v>
      </c>
      <c r="E160" s="267">
        <v>5</v>
      </c>
      <c r="F160" s="268"/>
      <c r="G160" s="268"/>
      <c r="H160" s="268"/>
      <c r="I160" s="268"/>
      <c r="J160" s="268"/>
      <c r="K160" s="268"/>
      <c r="L160" s="289"/>
      <c r="M160" s="267">
        <f t="shared" si="57"/>
        <v>0</v>
      </c>
      <c r="N160" s="269">
        <f t="shared" si="58"/>
        <v>5</v>
      </c>
      <c r="O160" s="269"/>
      <c r="P160" s="290"/>
      <c r="Q160" s="105"/>
    </row>
    <row r="161" spans="1:20" ht="15.6" thickTop="1" thickBot="1">
      <c r="A161" s="73"/>
      <c r="B161" s="380"/>
      <c r="C161" s="106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7"/>
        <v>0</v>
      </c>
      <c r="N161" s="269">
        <f t="shared" si="58"/>
        <v>0</v>
      </c>
      <c r="O161" s="269"/>
      <c r="P161" s="290"/>
      <c r="Q161" s="105"/>
    </row>
    <row r="162" spans="1:20" ht="15.6" thickTop="1" thickBot="1">
      <c r="A162" s="73"/>
      <c r="B162" s="380"/>
      <c r="C162" s="107" t="s">
        <v>69</v>
      </c>
      <c r="D162" s="266">
        <f t="shared" ref="D162:K162" si="59">SUM(D156:D161)</f>
        <v>58</v>
      </c>
      <c r="E162" s="267">
        <f t="shared" si="59"/>
        <v>56</v>
      </c>
      <c r="F162" s="268">
        <f t="shared" si="59"/>
        <v>10</v>
      </c>
      <c r="G162" s="268">
        <f t="shared" si="59"/>
        <v>0</v>
      </c>
      <c r="H162" s="268">
        <f t="shared" si="59"/>
        <v>0</v>
      </c>
      <c r="I162" s="268">
        <f t="shared" si="59"/>
        <v>0</v>
      </c>
      <c r="J162" s="268">
        <f t="shared" si="59"/>
        <v>3</v>
      </c>
      <c r="K162" s="270">
        <f t="shared" si="59"/>
        <v>0</v>
      </c>
      <c r="L162" s="307">
        <v>46001.85</v>
      </c>
      <c r="M162" s="271">
        <f>SUM(M156:M161)</f>
        <v>2</v>
      </c>
      <c r="N162" s="269">
        <f>SUM(N156:N161)</f>
        <v>58</v>
      </c>
      <c r="O162" s="95"/>
      <c r="P162" s="96"/>
      <c r="Q162" s="105"/>
    </row>
    <row r="163" spans="1:20" ht="15.6" thickTop="1" thickBot="1">
      <c r="A163" s="73"/>
      <c r="B163" s="380"/>
      <c r="C163" s="92" t="s">
        <v>45</v>
      </c>
      <c r="D163" s="272">
        <f>SUM(D156:D161)</f>
        <v>58</v>
      </c>
      <c r="E163" s="272">
        <f>SUM(E156:E161)</f>
        <v>56</v>
      </c>
      <c r="F163" s="381">
        <f>SUM(F162:K162)</f>
        <v>13</v>
      </c>
      <c r="G163" s="382"/>
      <c r="H163" s="382"/>
      <c r="I163" s="382"/>
      <c r="J163" s="382"/>
      <c r="K163" s="383"/>
      <c r="L163" s="274">
        <f>L162</f>
        <v>46001.85</v>
      </c>
      <c r="M163" s="272">
        <f>SUM(M156:M161)</f>
        <v>2</v>
      </c>
      <c r="N163" s="272">
        <f>SUM(N156:N161)</f>
        <v>58</v>
      </c>
      <c r="O163" s="272">
        <f>SUM(O162)</f>
        <v>0</v>
      </c>
      <c r="P163" s="275">
        <f>SUM(P162)</f>
        <v>0</v>
      </c>
      <c r="Q163" s="93"/>
      <c r="T163" s="108">
        <f>$V$3+L11+L19+L27+L35+L43+L51+L59+L67+L75+L83+L91+L99+L107+L115+L123+L131+L139+L147+L155+L163</f>
        <v>2512484.2899999996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06" t="s">
        <v>53</v>
      </c>
      <c r="D164" s="301">
        <v>0</v>
      </c>
      <c r="E164" s="302">
        <v>0</v>
      </c>
      <c r="F164" s="303"/>
      <c r="G164" s="303"/>
      <c r="H164" s="303"/>
      <c r="I164" s="303"/>
      <c r="J164" s="303"/>
      <c r="K164" s="303"/>
      <c r="L164" s="304"/>
      <c r="M164" s="302">
        <f t="shared" ref="M164:M169" si="60">SUM(D164-E164)</f>
        <v>0</v>
      </c>
      <c r="N164" s="305">
        <f t="shared" ref="N164:N169" si="61">SUM(E164,M164)</f>
        <v>0</v>
      </c>
      <c r="O164" s="305"/>
      <c r="P164" s="296"/>
      <c r="Q164" s="103"/>
    </row>
    <row r="165" spans="1:20" ht="15.6" thickTop="1" thickBot="1">
      <c r="A165" s="73"/>
      <c r="B165" s="380"/>
      <c r="C165" s="104" t="s">
        <v>58</v>
      </c>
      <c r="D165" s="284">
        <v>13</v>
      </c>
      <c r="E165" s="285">
        <v>11</v>
      </c>
      <c r="F165" s="286">
        <v>1</v>
      </c>
      <c r="G165" s="286"/>
      <c r="H165" s="286"/>
      <c r="I165" s="286">
        <v>1</v>
      </c>
      <c r="J165" s="286"/>
      <c r="K165" s="286"/>
      <c r="L165" s="295">
        <v>37680</v>
      </c>
      <c r="M165" s="285">
        <f t="shared" si="60"/>
        <v>2</v>
      </c>
      <c r="N165" s="269">
        <f t="shared" si="61"/>
        <v>13</v>
      </c>
      <c r="O165" s="269"/>
      <c r="P165" s="296"/>
      <c r="Q165" s="110"/>
    </row>
    <row r="166" spans="1:20" s="88" customFormat="1" ht="15.6" thickTop="1" thickBot="1">
      <c r="A166" s="74"/>
      <c r="B166" s="380"/>
      <c r="C166" s="104" t="s">
        <v>55</v>
      </c>
      <c r="D166" s="284">
        <v>29</v>
      </c>
      <c r="E166" s="285">
        <v>27</v>
      </c>
      <c r="F166" s="286">
        <v>7</v>
      </c>
      <c r="G166" s="286"/>
      <c r="H166" s="286"/>
      <c r="I166" s="286"/>
      <c r="J166" s="286">
        <v>2</v>
      </c>
      <c r="K166" s="286"/>
      <c r="L166" s="295"/>
      <c r="M166" s="285">
        <f t="shared" si="60"/>
        <v>2</v>
      </c>
      <c r="N166" s="269">
        <f t="shared" si="61"/>
        <v>29</v>
      </c>
      <c r="O166" s="269"/>
      <c r="P166" s="294"/>
      <c r="Q166" s="110"/>
    </row>
    <row r="167" spans="1:20" ht="15.6" thickTop="1" thickBot="1">
      <c r="A167" s="73"/>
      <c r="B167" s="380"/>
      <c r="C167" s="106" t="s">
        <v>51</v>
      </c>
      <c r="D167" s="266">
        <v>9</v>
      </c>
      <c r="E167" s="267">
        <v>8</v>
      </c>
      <c r="F167" s="268">
        <v>6</v>
      </c>
      <c r="G167" s="268"/>
      <c r="H167" s="268"/>
      <c r="I167" s="268"/>
      <c r="J167" s="268">
        <v>2</v>
      </c>
      <c r="K167" s="268"/>
      <c r="L167" s="289">
        <v>8180</v>
      </c>
      <c r="M167" s="267">
        <f t="shared" si="60"/>
        <v>1</v>
      </c>
      <c r="N167" s="269">
        <f t="shared" si="61"/>
        <v>9</v>
      </c>
      <c r="O167" s="269"/>
      <c r="P167" s="290"/>
      <c r="Q167" s="105"/>
    </row>
    <row r="168" spans="1:20" ht="15.6" thickTop="1" thickBot="1">
      <c r="A168" s="73"/>
      <c r="B168" s="380"/>
      <c r="C168" s="106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0"/>
        <v>0</v>
      </c>
      <c r="N168" s="269">
        <f t="shared" si="61"/>
        <v>0</v>
      </c>
      <c r="O168" s="269"/>
      <c r="P168" s="290"/>
      <c r="Q168" s="105"/>
    </row>
    <row r="169" spans="1:20" ht="15.6" thickTop="1" thickBot="1">
      <c r="A169" s="73"/>
      <c r="B169" s="380"/>
      <c r="C169" s="106"/>
      <c r="D169" s="266"/>
      <c r="E169" s="267"/>
      <c r="F169" s="268"/>
      <c r="G169" s="268"/>
      <c r="H169" s="268"/>
      <c r="I169" s="268"/>
      <c r="J169" s="268"/>
      <c r="K169" s="268"/>
      <c r="L169" s="289"/>
      <c r="M169" s="267">
        <f t="shared" si="60"/>
        <v>0</v>
      </c>
      <c r="N169" s="269">
        <f t="shared" si="61"/>
        <v>0</v>
      </c>
      <c r="O169" s="269"/>
      <c r="P169" s="290"/>
      <c r="Q169" s="105"/>
    </row>
    <row r="170" spans="1:20" ht="15.6" thickTop="1" thickBot="1">
      <c r="A170" s="73"/>
      <c r="B170" s="380"/>
      <c r="C170" s="107" t="s">
        <v>69</v>
      </c>
      <c r="D170" s="266">
        <f t="shared" ref="D170:K170" si="62">SUM(D164:D169)</f>
        <v>51</v>
      </c>
      <c r="E170" s="267">
        <f t="shared" si="62"/>
        <v>46</v>
      </c>
      <c r="F170" s="268">
        <f t="shared" si="62"/>
        <v>14</v>
      </c>
      <c r="G170" s="268">
        <f t="shared" si="62"/>
        <v>0</v>
      </c>
      <c r="H170" s="268">
        <f t="shared" si="62"/>
        <v>0</v>
      </c>
      <c r="I170" s="268">
        <f t="shared" si="62"/>
        <v>1</v>
      </c>
      <c r="J170" s="268">
        <f t="shared" si="62"/>
        <v>4</v>
      </c>
      <c r="K170" s="268">
        <f t="shared" si="62"/>
        <v>0</v>
      </c>
      <c r="L170" s="307">
        <v>137347.60999999999</v>
      </c>
      <c r="M170" s="267">
        <f>SUM(M164:M169)</f>
        <v>5</v>
      </c>
      <c r="N170" s="269">
        <f>SUM(N164:N169)</f>
        <v>51</v>
      </c>
      <c r="O170" s="95"/>
      <c r="P170" s="96"/>
      <c r="Q170" s="105"/>
    </row>
    <row r="171" spans="1:20" ht="15.6" thickTop="1" thickBot="1">
      <c r="A171" s="73"/>
      <c r="B171" s="380"/>
      <c r="C171" s="92" t="s">
        <v>45</v>
      </c>
      <c r="D171" s="272">
        <f>SUM(D164:D169)</f>
        <v>51</v>
      </c>
      <c r="E171" s="272">
        <f>SUM(E164:E169)</f>
        <v>46</v>
      </c>
      <c r="F171" s="381">
        <f>SUM(F170:K170)</f>
        <v>19</v>
      </c>
      <c r="G171" s="382"/>
      <c r="H171" s="382"/>
      <c r="I171" s="382"/>
      <c r="J171" s="382"/>
      <c r="K171" s="383"/>
      <c r="L171" s="274">
        <f>L170</f>
        <v>137347.60999999999</v>
      </c>
      <c r="M171" s="272">
        <f>SUM(M164:M169)</f>
        <v>5</v>
      </c>
      <c r="N171" s="272">
        <f>SUM(N164:N169)</f>
        <v>51</v>
      </c>
      <c r="O171" s="272">
        <f>SUM(O170)</f>
        <v>0</v>
      </c>
      <c r="P171" s="275">
        <f>SUM(P170)</f>
        <v>0</v>
      </c>
      <c r="Q171" s="93"/>
      <c r="T171" s="108">
        <f>$V$3+L11+L19+L27+L35+L43+L51+L59+L67+L75+L83+L91+L99+L107+L115+L123+L131+L139+L147+L155+L163+L171</f>
        <v>2649831.8999999994</v>
      </c>
    </row>
    <row r="172" spans="1:20" ht="15.6" thickTop="1" thickBot="1">
      <c r="A172" s="73" t="str">
        <f ca="1">OFFSET('0'!$B$112,($A$1-1)*10,$B172-1)</f>
        <v>SS</v>
      </c>
      <c r="B172" s="380">
        <f ca="1">OFFSET('0'!$B$111,($A$1-1)*10,21)</f>
        <v>22</v>
      </c>
      <c r="C172" s="106" t="s">
        <v>51</v>
      </c>
      <c r="D172" s="301">
        <v>2</v>
      </c>
      <c r="E172" s="302">
        <v>2</v>
      </c>
      <c r="F172" s="303"/>
      <c r="G172" s="303"/>
      <c r="H172" s="303"/>
      <c r="I172" s="303"/>
      <c r="J172" s="303"/>
      <c r="K172" s="303"/>
      <c r="L172" s="304"/>
      <c r="M172" s="302">
        <f t="shared" ref="M172:M177" si="63">SUM(D172-E172)</f>
        <v>0</v>
      </c>
      <c r="N172" s="305">
        <f t="shared" ref="N172:N177" si="64">SUM(E172,M172)</f>
        <v>2</v>
      </c>
      <c r="O172" s="305"/>
      <c r="P172" s="306"/>
      <c r="Q172" s="103"/>
    </row>
    <row r="173" spans="1:20" ht="15.6" thickTop="1" thickBot="1">
      <c r="A173" s="73"/>
      <c r="B173" s="380"/>
      <c r="C173" s="104" t="s">
        <v>50</v>
      </c>
      <c r="D173" s="266">
        <v>7</v>
      </c>
      <c r="E173" s="267">
        <v>7</v>
      </c>
      <c r="F173" s="268">
        <v>1</v>
      </c>
      <c r="G173" s="268"/>
      <c r="H173" s="268"/>
      <c r="I173" s="268"/>
      <c r="J173" s="268"/>
      <c r="K173" s="268"/>
      <c r="L173" s="289">
        <v>100</v>
      </c>
      <c r="M173" s="267">
        <f t="shared" si="63"/>
        <v>0</v>
      </c>
      <c r="N173" s="269">
        <f t="shared" si="64"/>
        <v>7</v>
      </c>
      <c r="O173" s="269"/>
      <c r="P173" s="290"/>
      <c r="Q173" s="105"/>
    </row>
    <row r="174" spans="1:20" s="88" customFormat="1" ht="15.6" thickTop="1" thickBot="1">
      <c r="A174" s="74"/>
      <c r="B174" s="380"/>
      <c r="C174" s="104" t="s">
        <v>46</v>
      </c>
      <c r="D174" s="266">
        <v>8</v>
      </c>
      <c r="E174" s="267">
        <v>7</v>
      </c>
      <c r="F174" s="268">
        <v>2</v>
      </c>
      <c r="G174" s="268"/>
      <c r="H174" s="268"/>
      <c r="I174" s="268"/>
      <c r="J174" s="268">
        <v>1</v>
      </c>
      <c r="K174" s="268"/>
      <c r="L174" s="289">
        <v>478570</v>
      </c>
      <c r="M174" s="267">
        <f t="shared" si="63"/>
        <v>1</v>
      </c>
      <c r="N174" s="269">
        <f t="shared" si="64"/>
        <v>8</v>
      </c>
      <c r="O174" s="269"/>
      <c r="P174" s="290"/>
      <c r="Q174" s="105"/>
    </row>
    <row r="175" spans="1:20" ht="15.6" thickTop="1" thickBot="1">
      <c r="A175" s="73"/>
      <c r="B175" s="380"/>
      <c r="C175" s="106" t="s">
        <v>64</v>
      </c>
      <c r="D175" s="266">
        <v>8</v>
      </c>
      <c r="E175" s="267">
        <v>8</v>
      </c>
      <c r="F175" s="268">
        <v>5</v>
      </c>
      <c r="G175" s="268"/>
      <c r="H175" s="268"/>
      <c r="I175" s="268"/>
      <c r="J175" s="268">
        <v>1</v>
      </c>
      <c r="K175" s="268"/>
      <c r="L175" s="289"/>
      <c r="M175" s="267">
        <f t="shared" si="63"/>
        <v>0</v>
      </c>
      <c r="N175" s="269">
        <f t="shared" si="64"/>
        <v>8</v>
      </c>
      <c r="O175" s="269"/>
      <c r="P175" s="290"/>
      <c r="Q175" s="105"/>
    </row>
    <row r="176" spans="1:20" ht="15.6" thickTop="1" thickBot="1">
      <c r="A176" s="73"/>
      <c r="B176" s="380"/>
      <c r="C176" s="106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3"/>
        <v>0</v>
      </c>
      <c r="N176" s="269">
        <f t="shared" si="64"/>
        <v>0</v>
      </c>
      <c r="O176" s="269"/>
      <c r="P176" s="290"/>
      <c r="Q176" s="105"/>
    </row>
    <row r="177" spans="1:20" ht="15.6" thickTop="1" thickBot="1">
      <c r="A177" s="73"/>
      <c r="B177" s="380"/>
      <c r="C177" s="106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3"/>
        <v>0</v>
      </c>
      <c r="N177" s="269">
        <f t="shared" si="64"/>
        <v>0</v>
      </c>
      <c r="O177" s="269"/>
      <c r="P177" s="290"/>
      <c r="Q177" s="105"/>
    </row>
    <row r="178" spans="1:20" ht="15.6" thickTop="1" thickBot="1">
      <c r="A178" s="73"/>
      <c r="B178" s="380"/>
      <c r="C178" s="107" t="s">
        <v>69</v>
      </c>
      <c r="D178" s="266">
        <f t="shared" ref="D178:K178" si="65">SUM(D172:D177)</f>
        <v>25</v>
      </c>
      <c r="E178" s="267">
        <f t="shared" si="65"/>
        <v>24</v>
      </c>
      <c r="F178" s="268">
        <f t="shared" si="65"/>
        <v>8</v>
      </c>
      <c r="G178" s="268">
        <f t="shared" si="65"/>
        <v>0</v>
      </c>
      <c r="H178" s="268">
        <f t="shared" si="65"/>
        <v>0</v>
      </c>
      <c r="I178" s="268">
        <f t="shared" si="65"/>
        <v>0</v>
      </c>
      <c r="J178" s="268">
        <f t="shared" si="65"/>
        <v>2</v>
      </c>
      <c r="K178" s="270">
        <f t="shared" si="65"/>
        <v>0</v>
      </c>
      <c r="L178" s="307">
        <v>487439.17</v>
      </c>
      <c r="M178" s="271">
        <f>SUM(M172:M177)</f>
        <v>1</v>
      </c>
      <c r="N178" s="269">
        <f>SUM(N172:N177)</f>
        <v>25</v>
      </c>
      <c r="O178" s="95"/>
      <c r="P178" s="96"/>
      <c r="Q178" s="105"/>
    </row>
    <row r="179" spans="1:20" ht="15.6" thickTop="1" thickBot="1">
      <c r="A179" s="73"/>
      <c r="B179" s="380"/>
      <c r="C179" s="92" t="s">
        <v>45</v>
      </c>
      <c r="D179" s="272">
        <f>SUM(D172:D177)</f>
        <v>25</v>
      </c>
      <c r="E179" s="272">
        <f>SUM(E172:E177)</f>
        <v>24</v>
      </c>
      <c r="F179" s="381">
        <f>SUM(F178:K178)</f>
        <v>10</v>
      </c>
      <c r="G179" s="382"/>
      <c r="H179" s="382"/>
      <c r="I179" s="382"/>
      <c r="J179" s="382"/>
      <c r="K179" s="383"/>
      <c r="L179" s="274">
        <f>L178</f>
        <v>487439.17</v>
      </c>
      <c r="M179" s="272">
        <f>SUM(M172:M177)</f>
        <v>1</v>
      </c>
      <c r="N179" s="272">
        <f>SUM(N172:N177)</f>
        <v>25</v>
      </c>
      <c r="O179" s="272">
        <f>SUM(O178)</f>
        <v>0</v>
      </c>
      <c r="P179" s="275">
        <f>SUM(P178)</f>
        <v>0</v>
      </c>
      <c r="Q179" s="93"/>
      <c r="T179" s="108">
        <f>$V$3+L11+L19+L27+L35+L43+L51+L59+L67+L75+L83+L91+L99+L107+L115+L123+L131+L139+L147+L155+L163+L171+L179</f>
        <v>3137271.0699999994</v>
      </c>
    </row>
    <row r="180" spans="1:20" ht="15.6" thickTop="1" thickBot="1">
      <c r="A180" s="73" t="str">
        <f ca="1">OFFSET('0'!$B$112,($A$1-1)*10,$B180-1)</f>
        <v>SK</v>
      </c>
      <c r="B180" s="380">
        <f ca="1">OFFSET('0'!$B$111,($A$1-1)*10,22)</f>
        <v>23</v>
      </c>
      <c r="C180" s="106" t="s">
        <v>64</v>
      </c>
      <c r="D180" s="301">
        <v>0</v>
      </c>
      <c r="E180" s="302">
        <v>0</v>
      </c>
      <c r="F180" s="303"/>
      <c r="G180" s="303"/>
      <c r="H180" s="303"/>
      <c r="I180" s="303"/>
      <c r="J180" s="303"/>
      <c r="K180" s="303"/>
      <c r="L180" s="311"/>
      <c r="M180" s="302">
        <f t="shared" ref="M180:M185" si="66">SUM(D180-E180)</f>
        <v>0</v>
      </c>
      <c r="N180" s="305">
        <f t="shared" ref="N180:N185" si="67">SUM(E180,M180)</f>
        <v>0</v>
      </c>
      <c r="O180" s="305"/>
      <c r="P180" s="296"/>
      <c r="Q180" s="103"/>
    </row>
    <row r="181" spans="1:20" s="88" customFormat="1" ht="15.6" thickTop="1" thickBot="1">
      <c r="A181" s="74"/>
      <c r="B181" s="380"/>
      <c r="C181" s="104" t="s">
        <v>49</v>
      </c>
      <c r="D181" s="284">
        <v>5</v>
      </c>
      <c r="E181" s="285">
        <v>5</v>
      </c>
      <c r="F181" s="286"/>
      <c r="G181" s="286"/>
      <c r="H181" s="286"/>
      <c r="I181" s="286"/>
      <c r="J181" s="286">
        <v>1</v>
      </c>
      <c r="K181" s="286"/>
      <c r="L181" s="295"/>
      <c r="M181" s="285">
        <f t="shared" si="66"/>
        <v>0</v>
      </c>
      <c r="N181" s="269">
        <f t="shared" si="67"/>
        <v>5</v>
      </c>
      <c r="O181" s="269"/>
      <c r="P181" s="296"/>
      <c r="Q181" s="110"/>
    </row>
    <row r="182" spans="1:20" ht="15.6" thickTop="1" thickBot="1">
      <c r="A182" s="73"/>
      <c r="B182" s="380"/>
      <c r="C182" s="104" t="s">
        <v>46</v>
      </c>
      <c r="D182" s="266">
        <v>7</v>
      </c>
      <c r="E182" s="267">
        <v>7</v>
      </c>
      <c r="F182" s="268">
        <v>1</v>
      </c>
      <c r="G182" s="268"/>
      <c r="H182" s="268"/>
      <c r="I182" s="268">
        <v>1</v>
      </c>
      <c r="J182" s="268"/>
      <c r="K182" s="268"/>
      <c r="L182" s="289">
        <v>8110</v>
      </c>
      <c r="M182" s="267">
        <f t="shared" si="66"/>
        <v>0</v>
      </c>
      <c r="N182" s="269">
        <f t="shared" si="67"/>
        <v>7</v>
      </c>
      <c r="O182" s="269"/>
      <c r="P182" s="296"/>
      <c r="Q182" s="105"/>
    </row>
    <row r="183" spans="1:20" ht="15.6" thickTop="1" thickBot="1">
      <c r="A183" s="73"/>
      <c r="B183" s="380"/>
      <c r="C183" s="106" t="s">
        <v>59</v>
      </c>
      <c r="D183" s="266">
        <v>4</v>
      </c>
      <c r="E183" s="267">
        <v>4</v>
      </c>
      <c r="F183" s="268">
        <v>1</v>
      </c>
      <c r="G183" s="268"/>
      <c r="H183" s="268"/>
      <c r="I183" s="268"/>
      <c r="J183" s="268"/>
      <c r="K183" s="268"/>
      <c r="L183" s="289">
        <v>312</v>
      </c>
      <c r="M183" s="267">
        <f t="shared" si="66"/>
        <v>0</v>
      </c>
      <c r="N183" s="269">
        <f t="shared" si="67"/>
        <v>4</v>
      </c>
      <c r="O183" s="269"/>
      <c r="P183" s="290"/>
      <c r="Q183" s="105"/>
    </row>
    <row r="184" spans="1:20" ht="15.6" thickTop="1" thickBot="1">
      <c r="A184" s="73"/>
      <c r="B184" s="380"/>
      <c r="C184" s="106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6"/>
        <v>0</v>
      </c>
      <c r="N184" s="269">
        <f t="shared" si="67"/>
        <v>0</v>
      </c>
      <c r="O184" s="269"/>
      <c r="P184" s="290"/>
      <c r="Q184" s="105"/>
    </row>
    <row r="185" spans="1:20" ht="15.6" thickTop="1" thickBot="1">
      <c r="A185" s="73"/>
      <c r="B185" s="380"/>
      <c r="C185" s="106"/>
      <c r="D185" s="266"/>
      <c r="E185" s="267"/>
      <c r="F185" s="268"/>
      <c r="G185" s="268"/>
      <c r="H185" s="268"/>
      <c r="I185" s="268"/>
      <c r="J185" s="268"/>
      <c r="K185" s="268"/>
      <c r="L185" s="289"/>
      <c r="M185" s="267">
        <f t="shared" si="66"/>
        <v>0</v>
      </c>
      <c r="N185" s="269">
        <f t="shared" si="67"/>
        <v>0</v>
      </c>
      <c r="O185" s="269"/>
      <c r="P185" s="290"/>
      <c r="Q185" s="105"/>
    </row>
    <row r="186" spans="1:20" ht="15.6" thickTop="1" thickBot="1">
      <c r="A186" s="73"/>
      <c r="B186" s="380"/>
      <c r="C186" s="107" t="s">
        <v>69</v>
      </c>
      <c r="D186" s="266">
        <f t="shared" ref="D186:K186" si="68">SUM(D180:D185)</f>
        <v>16</v>
      </c>
      <c r="E186" s="267">
        <f t="shared" si="68"/>
        <v>16</v>
      </c>
      <c r="F186" s="268">
        <f t="shared" si="68"/>
        <v>2</v>
      </c>
      <c r="G186" s="268">
        <f t="shared" si="68"/>
        <v>0</v>
      </c>
      <c r="H186" s="268">
        <f t="shared" si="68"/>
        <v>0</v>
      </c>
      <c r="I186" s="268">
        <f t="shared" si="68"/>
        <v>1</v>
      </c>
      <c r="J186" s="268">
        <f t="shared" si="68"/>
        <v>1</v>
      </c>
      <c r="K186" s="268">
        <f t="shared" si="68"/>
        <v>0</v>
      </c>
      <c r="L186" s="307">
        <v>11232.9</v>
      </c>
      <c r="M186" s="271">
        <f>SUM(M180:M185)</f>
        <v>0</v>
      </c>
      <c r="N186" s="269">
        <f>SUM(N180:N185)</f>
        <v>16</v>
      </c>
      <c r="O186" s="95"/>
      <c r="P186" s="96"/>
      <c r="Q186" s="105"/>
    </row>
    <row r="187" spans="1:20" ht="15.6" thickTop="1" thickBot="1">
      <c r="A187" s="73"/>
      <c r="B187" s="380"/>
      <c r="C187" s="92" t="s">
        <v>45</v>
      </c>
      <c r="D187" s="272">
        <f>SUM(D180:D185)</f>
        <v>16</v>
      </c>
      <c r="E187" s="272">
        <f>SUM(E180:E185)</f>
        <v>16</v>
      </c>
      <c r="F187" s="381">
        <f>SUM(F186:K186)</f>
        <v>4</v>
      </c>
      <c r="G187" s="382"/>
      <c r="H187" s="382"/>
      <c r="I187" s="382"/>
      <c r="J187" s="382"/>
      <c r="K187" s="383"/>
      <c r="L187" s="274">
        <f>L186</f>
        <v>11232.9</v>
      </c>
      <c r="M187" s="272">
        <f>SUM(M180:M185)</f>
        <v>0</v>
      </c>
      <c r="N187" s="272">
        <f>SUM(N180:N185)</f>
        <v>16</v>
      </c>
      <c r="O187" s="272">
        <f>SUM(O186)</f>
        <v>0</v>
      </c>
      <c r="P187" s="275">
        <f>SUM(P186)</f>
        <v>0</v>
      </c>
      <c r="Q187" s="93"/>
      <c r="T187" s="108">
        <f>$V$3+L11+L19+L27+L35+L43+L51+L59+L67+L75+L83+L91+L99+L107+L115+L123+L131+L139+L147+L155+L163+L171+L179+L187</f>
        <v>3148503.9699999993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06" t="s">
        <v>59</v>
      </c>
      <c r="D188" s="301">
        <v>1</v>
      </c>
      <c r="E188" s="302">
        <v>1</v>
      </c>
      <c r="F188" s="303"/>
      <c r="G188" s="303"/>
      <c r="H188" s="303"/>
      <c r="I188" s="303"/>
      <c r="J188" s="303"/>
      <c r="K188" s="303"/>
      <c r="L188" s="304">
        <v>100.81</v>
      </c>
      <c r="M188" s="302">
        <f t="shared" ref="M188:M193" si="69">SUM(D188-E188)</f>
        <v>0</v>
      </c>
      <c r="N188" s="305">
        <f t="shared" ref="N188:N193" si="70">SUM(E188,M188)</f>
        <v>1</v>
      </c>
      <c r="O188" s="305"/>
      <c r="P188" s="306"/>
      <c r="Q188" s="103"/>
    </row>
    <row r="189" spans="1:20" ht="15.6" thickTop="1" thickBot="1">
      <c r="A189" s="73"/>
      <c r="B189" s="380"/>
      <c r="C189" s="104" t="s">
        <v>52</v>
      </c>
      <c r="D189" s="266">
        <v>12</v>
      </c>
      <c r="E189" s="267">
        <v>12</v>
      </c>
      <c r="F189" s="268">
        <v>1</v>
      </c>
      <c r="G189" s="268"/>
      <c r="H189" s="268"/>
      <c r="I189" s="268"/>
      <c r="J189" s="268">
        <v>2</v>
      </c>
      <c r="K189" s="268"/>
      <c r="L189" s="289"/>
      <c r="M189" s="267">
        <f t="shared" si="69"/>
        <v>0</v>
      </c>
      <c r="N189" s="269">
        <f t="shared" si="70"/>
        <v>12</v>
      </c>
      <c r="O189" s="269"/>
      <c r="P189" s="290"/>
      <c r="Q189" s="105"/>
    </row>
    <row r="190" spans="1:20" s="88" customFormat="1" ht="15.6" thickTop="1" thickBot="1">
      <c r="A190" s="74"/>
      <c r="B190" s="380"/>
      <c r="C190" s="104" t="s">
        <v>49</v>
      </c>
      <c r="D190" s="266">
        <v>25</v>
      </c>
      <c r="E190" s="267">
        <v>25</v>
      </c>
      <c r="F190" s="268">
        <v>4</v>
      </c>
      <c r="G190" s="268"/>
      <c r="H190" s="268"/>
      <c r="I190" s="268">
        <v>1</v>
      </c>
      <c r="J190" s="268">
        <v>1</v>
      </c>
      <c r="K190" s="268"/>
      <c r="L190" s="289"/>
      <c r="M190" s="267">
        <f t="shared" si="69"/>
        <v>0</v>
      </c>
      <c r="N190" s="269">
        <f t="shared" si="70"/>
        <v>25</v>
      </c>
      <c r="O190" s="269"/>
      <c r="P190" s="290"/>
      <c r="Q190" s="105"/>
    </row>
    <row r="191" spans="1:20" ht="15.6" thickTop="1" thickBot="1">
      <c r="A191" s="73"/>
      <c r="B191" s="380"/>
      <c r="C191" s="106" t="s">
        <v>56</v>
      </c>
      <c r="D191" s="266">
        <v>27</v>
      </c>
      <c r="E191" s="267">
        <v>26</v>
      </c>
      <c r="F191" s="268">
        <v>6</v>
      </c>
      <c r="G191" s="268"/>
      <c r="H191" s="268"/>
      <c r="I191" s="268"/>
      <c r="J191" s="268">
        <v>4</v>
      </c>
      <c r="K191" s="268"/>
      <c r="L191" s="289">
        <v>53786.49</v>
      </c>
      <c r="M191" s="267">
        <f t="shared" si="69"/>
        <v>1</v>
      </c>
      <c r="N191" s="269">
        <f t="shared" si="70"/>
        <v>27</v>
      </c>
      <c r="O191" s="269"/>
      <c r="P191" s="290"/>
      <c r="Q191" s="105"/>
    </row>
    <row r="192" spans="1:20" ht="15.6" thickTop="1" thickBot="1">
      <c r="A192" s="73"/>
      <c r="B192" s="380"/>
      <c r="C192" s="106" t="s">
        <v>54</v>
      </c>
      <c r="D192" s="266">
        <v>20</v>
      </c>
      <c r="E192" s="267">
        <v>20</v>
      </c>
      <c r="F192" s="268">
        <v>9</v>
      </c>
      <c r="G192" s="268"/>
      <c r="H192" s="268"/>
      <c r="I192" s="268">
        <v>1</v>
      </c>
      <c r="J192" s="268">
        <v>5</v>
      </c>
      <c r="K192" s="268"/>
      <c r="L192" s="289">
        <v>3322.71</v>
      </c>
      <c r="M192" s="267">
        <f t="shared" si="69"/>
        <v>0</v>
      </c>
      <c r="N192" s="269">
        <f t="shared" si="70"/>
        <v>20</v>
      </c>
      <c r="O192" s="269"/>
      <c r="P192" s="290"/>
      <c r="Q192" s="105"/>
    </row>
    <row r="193" spans="1:20" ht="15.6" thickTop="1" thickBot="1">
      <c r="A193" s="73"/>
      <c r="B193" s="380"/>
      <c r="C193" s="106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69"/>
        <v>0</v>
      </c>
      <c r="N193" s="269">
        <f t="shared" si="70"/>
        <v>0</v>
      </c>
      <c r="O193" s="269"/>
      <c r="P193" s="290"/>
      <c r="Q193" s="105"/>
    </row>
    <row r="194" spans="1:20" ht="15.6" thickTop="1" thickBot="1">
      <c r="A194" s="73"/>
      <c r="B194" s="380"/>
      <c r="C194" s="107" t="s">
        <v>69</v>
      </c>
      <c r="D194" s="266">
        <f t="shared" ref="D194:K194" si="71">SUM(D188:D193)</f>
        <v>85</v>
      </c>
      <c r="E194" s="267">
        <f t="shared" si="71"/>
        <v>84</v>
      </c>
      <c r="F194" s="268">
        <f t="shared" si="71"/>
        <v>20</v>
      </c>
      <c r="G194" s="268">
        <f t="shared" si="71"/>
        <v>0</v>
      </c>
      <c r="H194" s="268">
        <f t="shared" si="71"/>
        <v>0</v>
      </c>
      <c r="I194" s="268">
        <f t="shared" si="71"/>
        <v>2</v>
      </c>
      <c r="J194" s="268">
        <f t="shared" si="71"/>
        <v>12</v>
      </c>
      <c r="K194" s="270">
        <f t="shared" si="71"/>
        <v>0</v>
      </c>
      <c r="L194" s="307">
        <v>82386.09</v>
      </c>
      <c r="M194" s="271">
        <f>SUM(M188:M193)</f>
        <v>1</v>
      </c>
      <c r="N194" s="269">
        <f>SUM(N188:N193)</f>
        <v>85</v>
      </c>
      <c r="O194" s="95"/>
      <c r="P194" s="96"/>
      <c r="Q194" s="105"/>
    </row>
    <row r="195" spans="1:20" ht="15.6" thickTop="1" thickBot="1">
      <c r="A195" s="73"/>
      <c r="B195" s="380"/>
      <c r="C195" s="92" t="s">
        <v>45</v>
      </c>
      <c r="D195" s="272">
        <f>SUM(D188:D193)</f>
        <v>85</v>
      </c>
      <c r="E195" s="272">
        <f>SUM(E188:E193)</f>
        <v>84</v>
      </c>
      <c r="F195" s="381">
        <f>SUM(F194:K194)</f>
        <v>34</v>
      </c>
      <c r="G195" s="382"/>
      <c r="H195" s="382"/>
      <c r="I195" s="382"/>
      <c r="J195" s="382"/>
      <c r="K195" s="383"/>
      <c r="L195" s="274">
        <f>L194</f>
        <v>82386.09</v>
      </c>
      <c r="M195" s="272">
        <f>SUM(M188:M193)</f>
        <v>1</v>
      </c>
      <c r="N195" s="272">
        <f>SUM(N188:N193)</f>
        <v>85</v>
      </c>
      <c r="O195" s="272">
        <f>SUM(O194)</f>
        <v>0</v>
      </c>
      <c r="P195" s="275">
        <f>SUM(P194)</f>
        <v>0</v>
      </c>
      <c r="Q195" s="93"/>
      <c r="T195" s="108">
        <f>$V$3+L11+L19+L27+L35+L43+L51+L59+L67+L75+L83+L91+L99+L107+L115+L123+L131+L139+L147+L155+L163+L171+L179+L187+L195</f>
        <v>3230890.0599999991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06" t="s">
        <v>54</v>
      </c>
      <c r="D196" s="301">
        <v>0</v>
      </c>
      <c r="E196" s="302">
        <v>0</v>
      </c>
      <c r="F196" s="303"/>
      <c r="G196" s="303"/>
      <c r="H196" s="303"/>
      <c r="I196" s="303"/>
      <c r="J196" s="303"/>
      <c r="K196" s="303"/>
      <c r="L196" s="304"/>
      <c r="M196" s="302">
        <f t="shared" ref="M196:M201" si="72">SUM(D196-E196)</f>
        <v>0</v>
      </c>
      <c r="N196" s="305">
        <f t="shared" ref="N196:N201" si="73">SUM(E196,M196)</f>
        <v>0</v>
      </c>
      <c r="O196" s="305"/>
      <c r="P196" s="306"/>
      <c r="Q196" s="103"/>
    </row>
    <row r="197" spans="1:20" ht="15.6" thickTop="1" thickBot="1">
      <c r="A197" s="73"/>
      <c r="B197" s="380"/>
      <c r="C197" s="104" t="s">
        <v>49</v>
      </c>
      <c r="D197" s="266">
        <v>20</v>
      </c>
      <c r="E197" s="267">
        <v>20</v>
      </c>
      <c r="F197" s="268">
        <v>1</v>
      </c>
      <c r="G197" s="268"/>
      <c r="H197" s="268"/>
      <c r="I197" s="268">
        <v>1</v>
      </c>
      <c r="J197" s="268"/>
      <c r="K197" s="268"/>
      <c r="L197" s="289"/>
      <c r="M197" s="267">
        <f t="shared" si="72"/>
        <v>0</v>
      </c>
      <c r="N197" s="269">
        <f t="shared" si="73"/>
        <v>20</v>
      </c>
      <c r="O197" s="269"/>
      <c r="P197" s="290"/>
      <c r="Q197" s="105"/>
    </row>
    <row r="198" spans="1:20" ht="15.6" thickTop="1" thickBot="1">
      <c r="A198" s="73"/>
      <c r="B198" s="380"/>
      <c r="C198" s="104" t="s">
        <v>56</v>
      </c>
      <c r="D198" s="266">
        <v>18</v>
      </c>
      <c r="E198" s="267">
        <v>18</v>
      </c>
      <c r="F198" s="268">
        <v>1</v>
      </c>
      <c r="G198" s="268"/>
      <c r="H198" s="268"/>
      <c r="I198" s="268">
        <v>2</v>
      </c>
      <c r="J198" s="268">
        <v>1</v>
      </c>
      <c r="K198" s="268"/>
      <c r="L198" s="289">
        <v>2495</v>
      </c>
      <c r="M198" s="267">
        <f t="shared" si="72"/>
        <v>0</v>
      </c>
      <c r="N198" s="269">
        <f t="shared" si="73"/>
        <v>18</v>
      </c>
      <c r="O198" s="269"/>
      <c r="P198" s="290"/>
      <c r="Q198" s="105"/>
    </row>
    <row r="199" spans="1:20" ht="15.6" thickTop="1" thickBot="1">
      <c r="A199" s="73"/>
      <c r="B199" s="380"/>
      <c r="C199" s="106" t="s">
        <v>55</v>
      </c>
      <c r="D199" s="266">
        <v>24</v>
      </c>
      <c r="E199" s="267">
        <v>24</v>
      </c>
      <c r="F199" s="268">
        <v>3</v>
      </c>
      <c r="G199" s="268"/>
      <c r="H199" s="268"/>
      <c r="I199" s="268">
        <v>2</v>
      </c>
      <c r="J199" s="268">
        <v>2</v>
      </c>
      <c r="K199" s="268"/>
      <c r="L199" s="289"/>
      <c r="M199" s="271">
        <f t="shared" si="72"/>
        <v>0</v>
      </c>
      <c r="N199" s="269">
        <f t="shared" si="73"/>
        <v>24</v>
      </c>
      <c r="O199" s="269"/>
      <c r="P199" s="290"/>
      <c r="Q199" s="105"/>
    </row>
    <row r="200" spans="1:20" ht="15.6" thickTop="1" thickBot="1">
      <c r="A200" s="73"/>
      <c r="B200" s="380"/>
      <c r="C200" s="106" t="s">
        <v>145</v>
      </c>
      <c r="D200" s="266">
        <v>11</v>
      </c>
      <c r="E200" s="267">
        <v>11</v>
      </c>
      <c r="F200" s="268">
        <v>2</v>
      </c>
      <c r="G200" s="268"/>
      <c r="H200" s="268"/>
      <c r="I200" s="268"/>
      <c r="J200" s="268">
        <v>1</v>
      </c>
      <c r="K200" s="268"/>
      <c r="L200" s="289"/>
      <c r="M200" s="271">
        <f t="shared" si="72"/>
        <v>0</v>
      </c>
      <c r="N200" s="269">
        <f t="shared" si="73"/>
        <v>11</v>
      </c>
      <c r="O200" s="269"/>
      <c r="P200" s="290"/>
      <c r="Q200" s="105"/>
    </row>
    <row r="201" spans="1:20" ht="15.6" thickTop="1" thickBot="1">
      <c r="A201" s="73"/>
      <c r="B201" s="380"/>
      <c r="C201" s="106"/>
      <c r="D201" s="266"/>
      <c r="E201" s="267"/>
      <c r="F201" s="268"/>
      <c r="G201" s="268"/>
      <c r="H201" s="268"/>
      <c r="I201" s="268"/>
      <c r="J201" s="268"/>
      <c r="K201" s="270"/>
      <c r="L201" s="291"/>
      <c r="M201" s="271">
        <f t="shared" si="72"/>
        <v>0</v>
      </c>
      <c r="N201" s="279">
        <f t="shared" si="73"/>
        <v>0</v>
      </c>
      <c r="O201" s="279"/>
      <c r="P201" s="294"/>
      <c r="Q201" s="105"/>
    </row>
    <row r="202" spans="1:20" ht="15.6" thickTop="1" thickBot="1">
      <c r="A202" s="73"/>
      <c r="B202" s="380"/>
      <c r="C202" s="102" t="s">
        <v>69</v>
      </c>
      <c r="D202" s="266">
        <f t="shared" ref="D202:K202" si="74">SUM(D196:D201)</f>
        <v>73</v>
      </c>
      <c r="E202" s="267">
        <f t="shared" si="74"/>
        <v>73</v>
      </c>
      <c r="F202" s="268">
        <f t="shared" si="74"/>
        <v>7</v>
      </c>
      <c r="G202" s="268">
        <f t="shared" si="74"/>
        <v>0</v>
      </c>
      <c r="H202" s="268">
        <f t="shared" si="74"/>
        <v>0</v>
      </c>
      <c r="I202" s="268">
        <f t="shared" si="74"/>
        <v>5</v>
      </c>
      <c r="J202" s="268">
        <f t="shared" si="74"/>
        <v>4</v>
      </c>
      <c r="K202" s="270">
        <f t="shared" si="74"/>
        <v>0</v>
      </c>
      <c r="L202" s="307">
        <v>72967.179999999993</v>
      </c>
      <c r="M202" s="271">
        <f>SUM(M196:M201)</f>
        <v>0</v>
      </c>
      <c r="N202" s="269">
        <f>SUM(N196:N201)</f>
        <v>73</v>
      </c>
      <c r="O202" s="95"/>
      <c r="P202" s="96"/>
      <c r="Q202" s="105"/>
    </row>
    <row r="203" spans="1:20" ht="15.6" thickTop="1" thickBot="1">
      <c r="A203" s="73"/>
      <c r="B203" s="380"/>
      <c r="C203" s="92" t="s">
        <v>45</v>
      </c>
      <c r="D203" s="272">
        <f>SUM(D196:D201)</f>
        <v>73</v>
      </c>
      <c r="E203" s="272">
        <f>SUM(E196:E201)</f>
        <v>73</v>
      </c>
      <c r="F203" s="381">
        <f>SUM(F202:K202)</f>
        <v>16</v>
      </c>
      <c r="G203" s="382"/>
      <c r="H203" s="382"/>
      <c r="I203" s="382"/>
      <c r="J203" s="382"/>
      <c r="K203" s="383"/>
      <c r="L203" s="274">
        <f>L202</f>
        <v>72967.179999999993</v>
      </c>
      <c r="M203" s="272">
        <f>SUM(M196:M201)</f>
        <v>0</v>
      </c>
      <c r="N203" s="272">
        <f>SUM(N196:N201)</f>
        <v>73</v>
      </c>
      <c r="O203" s="272">
        <f>SUM(O202)</f>
        <v>0</v>
      </c>
      <c r="P203" s="275">
        <f>SUM(P202)</f>
        <v>0</v>
      </c>
      <c r="Q203" s="93"/>
      <c r="T203" s="108">
        <f>$V$3+L11+L19+L27+L35+L43+L51+L59+L67+L75+L83+L91+L99+L107+L115+L123+L131+L139+L147+L155+L163+L171+L179+L187+L195+L203</f>
        <v>3303857.2399999993</v>
      </c>
    </row>
    <row r="204" spans="1:20" ht="15.6" thickTop="1" thickBot="1">
      <c r="A204" s="73" t="str">
        <f ca="1">OFFSET('0'!$B$112,($A$1-1)*10,$B204-1)</f>
        <v>--</v>
      </c>
      <c r="B204" s="380">
        <f ca="1">OFFSET('0'!$B$111,($A$1-1)*10,25)</f>
        <v>26</v>
      </c>
      <c r="C204" s="106" t="s">
        <v>145</v>
      </c>
      <c r="D204" s="301">
        <v>1</v>
      </c>
      <c r="E204" s="302">
        <v>1</v>
      </c>
      <c r="F204" s="303"/>
      <c r="G204" s="303"/>
      <c r="H204" s="303"/>
      <c r="I204" s="303"/>
      <c r="J204" s="303"/>
      <c r="K204" s="303"/>
      <c r="L204" s="304"/>
      <c r="M204" s="302">
        <f t="shared" ref="M204:M209" si="75">SUM(D204-E204)</f>
        <v>0</v>
      </c>
      <c r="N204" s="312">
        <f t="shared" ref="N204:N209" si="76">SUM(E204,M204)</f>
        <v>1</v>
      </c>
      <c r="O204" s="312"/>
      <c r="P204" s="313"/>
      <c r="Q204" s="103"/>
    </row>
    <row r="205" spans="1:20" s="88" customFormat="1" ht="15.6" thickTop="1" thickBot="1">
      <c r="A205" s="74"/>
      <c r="B205" s="380"/>
      <c r="C205" s="104" t="s">
        <v>48</v>
      </c>
      <c r="D205" s="284">
        <v>24</v>
      </c>
      <c r="E205" s="285">
        <v>24</v>
      </c>
      <c r="F205" s="286">
        <v>1</v>
      </c>
      <c r="G205" s="286"/>
      <c r="H205" s="286"/>
      <c r="I205" s="286"/>
      <c r="J205" s="286"/>
      <c r="K205" s="286"/>
      <c r="L205" s="295"/>
      <c r="M205" s="285">
        <f t="shared" si="75"/>
        <v>0</v>
      </c>
      <c r="N205" s="279">
        <f t="shared" si="76"/>
        <v>24</v>
      </c>
      <c r="O205" s="279"/>
      <c r="P205" s="294"/>
      <c r="Q205" s="110"/>
    </row>
    <row r="206" spans="1:20" ht="15.6" thickTop="1" thickBot="1">
      <c r="A206" s="73"/>
      <c r="B206" s="380"/>
      <c r="C206" s="104" t="s">
        <v>55</v>
      </c>
      <c r="D206" s="266">
        <v>24</v>
      </c>
      <c r="E206" s="267">
        <v>23</v>
      </c>
      <c r="F206" s="268">
        <v>4</v>
      </c>
      <c r="G206" s="268"/>
      <c r="H206" s="268"/>
      <c r="I206" s="268">
        <v>1</v>
      </c>
      <c r="J206" s="268">
        <v>2</v>
      </c>
      <c r="K206" s="268"/>
      <c r="L206" s="289"/>
      <c r="M206" s="267">
        <f t="shared" si="75"/>
        <v>1</v>
      </c>
      <c r="N206" s="269">
        <f t="shared" si="76"/>
        <v>24</v>
      </c>
      <c r="O206" s="269"/>
      <c r="P206" s="290"/>
      <c r="Q206" s="105"/>
    </row>
    <row r="207" spans="1:20" ht="15.6" thickTop="1" thickBot="1">
      <c r="A207" s="73"/>
      <c r="B207" s="380"/>
      <c r="C207" s="106" t="s">
        <v>58</v>
      </c>
      <c r="D207" s="266">
        <v>19</v>
      </c>
      <c r="E207" s="267">
        <v>19</v>
      </c>
      <c r="F207" s="268">
        <v>2</v>
      </c>
      <c r="G207" s="268"/>
      <c r="H207" s="268"/>
      <c r="I207" s="268"/>
      <c r="J207" s="268">
        <v>2</v>
      </c>
      <c r="K207" s="268"/>
      <c r="L207" s="289"/>
      <c r="M207" s="267">
        <f t="shared" si="75"/>
        <v>0</v>
      </c>
      <c r="N207" s="269">
        <f t="shared" si="76"/>
        <v>19</v>
      </c>
      <c r="O207" s="269"/>
      <c r="P207" s="290"/>
      <c r="Q207" s="142" t="s">
        <v>74</v>
      </c>
    </row>
    <row r="208" spans="1:20" ht="15.6" thickTop="1" thickBot="1">
      <c r="A208" s="73"/>
      <c r="B208" s="380"/>
      <c r="C208" s="106" t="s">
        <v>53</v>
      </c>
      <c r="D208" s="266">
        <v>9</v>
      </c>
      <c r="E208" s="267">
        <v>9</v>
      </c>
      <c r="F208" s="268">
        <v>3</v>
      </c>
      <c r="G208" s="268"/>
      <c r="H208" s="268"/>
      <c r="I208" s="268"/>
      <c r="J208" s="268">
        <v>3</v>
      </c>
      <c r="K208" s="268"/>
      <c r="L208" s="289"/>
      <c r="M208" s="267">
        <f t="shared" si="75"/>
        <v>0</v>
      </c>
      <c r="N208" s="269">
        <f t="shared" si="76"/>
        <v>9</v>
      </c>
      <c r="O208" s="269"/>
      <c r="P208" s="290"/>
      <c r="Q208" s="105"/>
    </row>
    <row r="209" spans="1:20" ht="15.6" thickTop="1" thickBot="1">
      <c r="A209" s="73"/>
      <c r="B209" s="380"/>
      <c r="C209" s="106"/>
      <c r="D209" s="266"/>
      <c r="E209" s="267"/>
      <c r="F209" s="268"/>
      <c r="G209" s="268"/>
      <c r="H209" s="268"/>
      <c r="I209" s="268"/>
      <c r="J209" s="268"/>
      <c r="K209" s="268"/>
      <c r="L209" s="289"/>
      <c r="M209" s="271">
        <f t="shared" si="75"/>
        <v>0</v>
      </c>
      <c r="N209" s="269">
        <f t="shared" si="76"/>
        <v>0</v>
      </c>
      <c r="O209" s="269"/>
      <c r="P209" s="290"/>
      <c r="Q209" s="105"/>
    </row>
    <row r="210" spans="1:20" ht="15.6" thickTop="1" thickBot="1">
      <c r="A210" s="73"/>
      <c r="B210" s="380"/>
      <c r="C210" s="102" t="s">
        <v>69</v>
      </c>
      <c r="D210" s="266">
        <f t="shared" ref="D210:K210" si="77">SUM(D204:D209)</f>
        <v>77</v>
      </c>
      <c r="E210" s="267">
        <f t="shared" si="77"/>
        <v>76</v>
      </c>
      <c r="F210" s="268">
        <f t="shared" si="77"/>
        <v>10</v>
      </c>
      <c r="G210" s="268">
        <f t="shared" si="77"/>
        <v>0</v>
      </c>
      <c r="H210" s="268">
        <f t="shared" si="77"/>
        <v>0</v>
      </c>
      <c r="I210" s="268">
        <f t="shared" si="77"/>
        <v>1</v>
      </c>
      <c r="J210" s="268">
        <f t="shared" si="77"/>
        <v>7</v>
      </c>
      <c r="K210" s="270">
        <f t="shared" si="77"/>
        <v>0</v>
      </c>
      <c r="L210" s="307">
        <v>257151.98</v>
      </c>
      <c r="M210" s="271">
        <f>SUM(M204:M209)</f>
        <v>1</v>
      </c>
      <c r="N210" s="269">
        <f>SUM(N204:N209)</f>
        <v>77</v>
      </c>
      <c r="O210" s="95"/>
      <c r="P210" s="96"/>
      <c r="Q210" s="105"/>
    </row>
    <row r="211" spans="1:20" ht="15.6" thickTop="1" thickBot="1">
      <c r="A211" s="73"/>
      <c r="B211" s="380"/>
      <c r="C211" s="92" t="s">
        <v>45</v>
      </c>
      <c r="D211" s="272">
        <f>SUM(D204:D209)</f>
        <v>77</v>
      </c>
      <c r="E211" s="272">
        <f>SUM(E204:E209)</f>
        <v>76</v>
      </c>
      <c r="F211" s="381">
        <f>SUM(F210:K210)</f>
        <v>18</v>
      </c>
      <c r="G211" s="382"/>
      <c r="H211" s="382"/>
      <c r="I211" s="382"/>
      <c r="J211" s="382"/>
      <c r="K211" s="383"/>
      <c r="L211" s="274">
        <f>L210</f>
        <v>257151.98</v>
      </c>
      <c r="M211" s="272">
        <f>SUM(M204:M209)</f>
        <v>1</v>
      </c>
      <c r="N211" s="272">
        <f>SUM(N204:N209)</f>
        <v>77</v>
      </c>
      <c r="O211" s="272">
        <f>SUM(O210)</f>
        <v>0</v>
      </c>
      <c r="P211" s="275">
        <f>SUM(P210)</f>
        <v>0</v>
      </c>
      <c r="Q211" s="93"/>
      <c r="T211" s="108">
        <f>$V$3+L11+L19+L27+L35+L43+L51+L59+L67+L75+L83+L91+L99+L107+L115+L123+L131+L139+L147+L155+L163+L171+L179+L187+L195+L203+L211</f>
        <v>3561009.2199999993</v>
      </c>
    </row>
    <row r="212" spans="1:20" ht="15.6" thickTop="1" thickBot="1">
      <c r="A212" s="73" t="str">
        <f ca="1">OFFSET('0'!$B$112,($A$1-1)*10,$B212-1)</f>
        <v>--</v>
      </c>
      <c r="B212" s="380">
        <f ca="1">OFFSET('0'!$B$111,($A$1-1)*10,26)</f>
        <v>27</v>
      </c>
      <c r="C212" s="106" t="s">
        <v>53</v>
      </c>
      <c r="D212" s="301">
        <v>0</v>
      </c>
      <c r="E212" s="302">
        <v>0</v>
      </c>
      <c r="F212" s="303"/>
      <c r="G212" s="303"/>
      <c r="H212" s="303"/>
      <c r="I212" s="303"/>
      <c r="J212" s="303"/>
      <c r="K212" s="303"/>
      <c r="L212" s="304"/>
      <c r="M212" s="302">
        <f t="shared" ref="M212:M217" si="78">SUM(D212-E212)</f>
        <v>0</v>
      </c>
      <c r="N212" s="312">
        <f t="shared" ref="N212:N217" si="79">SUM(E212,M212)</f>
        <v>0</v>
      </c>
      <c r="O212" s="312"/>
      <c r="P212" s="313"/>
      <c r="Q212" s="103"/>
    </row>
    <row r="213" spans="1:20" ht="15.6" thickTop="1" thickBot="1">
      <c r="A213" s="73"/>
      <c r="B213" s="380"/>
      <c r="C213" s="104" t="s">
        <v>48</v>
      </c>
      <c r="D213" s="266">
        <v>10</v>
      </c>
      <c r="E213" s="267">
        <v>9</v>
      </c>
      <c r="F213" s="268"/>
      <c r="G213" s="268"/>
      <c r="H213" s="268"/>
      <c r="I213" s="268"/>
      <c r="J213" s="268"/>
      <c r="K213" s="268"/>
      <c r="L213" s="289"/>
      <c r="M213" s="267">
        <f t="shared" si="78"/>
        <v>1</v>
      </c>
      <c r="N213" s="269">
        <f t="shared" si="79"/>
        <v>10</v>
      </c>
      <c r="O213" s="269"/>
      <c r="P213" s="290"/>
      <c r="Q213" s="142" t="s">
        <v>75</v>
      </c>
    </row>
    <row r="214" spans="1:20" s="88" customFormat="1" ht="15.6" thickTop="1" thickBot="1">
      <c r="A214" s="74"/>
      <c r="B214" s="380"/>
      <c r="C214" s="104" t="s">
        <v>50</v>
      </c>
      <c r="D214" s="266">
        <v>26</v>
      </c>
      <c r="E214" s="267">
        <v>25</v>
      </c>
      <c r="F214" s="268">
        <v>4</v>
      </c>
      <c r="G214" s="268"/>
      <c r="H214" s="268"/>
      <c r="I214" s="268"/>
      <c r="J214" s="268">
        <v>2</v>
      </c>
      <c r="K214" s="268"/>
      <c r="L214" s="289">
        <v>6194.99</v>
      </c>
      <c r="M214" s="267">
        <f t="shared" si="78"/>
        <v>1</v>
      </c>
      <c r="N214" s="269">
        <f t="shared" si="79"/>
        <v>26</v>
      </c>
      <c r="O214" s="269"/>
      <c r="P214" s="290"/>
      <c r="Q214" s="105"/>
    </row>
    <row r="215" spans="1:20" s="88" customFormat="1" ht="15.6" thickTop="1" thickBot="1">
      <c r="A215" s="74"/>
      <c r="B215" s="380"/>
      <c r="C215" s="106" t="s">
        <v>58</v>
      </c>
      <c r="D215" s="266">
        <v>28</v>
      </c>
      <c r="E215" s="267">
        <v>26</v>
      </c>
      <c r="F215" s="268">
        <v>4</v>
      </c>
      <c r="G215" s="268"/>
      <c r="H215" s="268"/>
      <c r="I215" s="268"/>
      <c r="J215" s="268">
        <v>1</v>
      </c>
      <c r="K215" s="268"/>
      <c r="L215" s="289"/>
      <c r="M215" s="267">
        <f t="shared" si="78"/>
        <v>2</v>
      </c>
      <c r="N215" s="269">
        <f t="shared" si="79"/>
        <v>28</v>
      </c>
      <c r="O215" s="269"/>
      <c r="P215" s="290"/>
      <c r="Q215" s="105"/>
    </row>
    <row r="216" spans="1:20" ht="15.6" thickTop="1" thickBot="1">
      <c r="A216" s="73"/>
      <c r="B216" s="380"/>
      <c r="C216" s="106" t="s">
        <v>64</v>
      </c>
      <c r="D216" s="266">
        <v>8</v>
      </c>
      <c r="E216" s="267">
        <v>8</v>
      </c>
      <c r="F216" s="268"/>
      <c r="G216" s="268"/>
      <c r="H216" s="268"/>
      <c r="I216" s="268">
        <v>1</v>
      </c>
      <c r="J216" s="268"/>
      <c r="K216" s="268"/>
      <c r="L216" s="289"/>
      <c r="M216" s="267">
        <f t="shared" si="78"/>
        <v>0</v>
      </c>
      <c r="N216" s="269">
        <f t="shared" si="79"/>
        <v>8</v>
      </c>
      <c r="O216" s="269"/>
      <c r="P216" s="290"/>
      <c r="Q216" s="105"/>
    </row>
    <row r="217" spans="1:20" ht="15.6" thickTop="1" thickBot="1">
      <c r="A217" s="73"/>
      <c r="B217" s="380"/>
      <c r="C217" s="106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8"/>
        <v>0</v>
      </c>
      <c r="N217" s="269">
        <f t="shared" si="79"/>
        <v>0</v>
      </c>
      <c r="O217" s="269"/>
      <c r="P217" s="290"/>
      <c r="Q217" s="105"/>
    </row>
    <row r="218" spans="1:20" ht="15.6" thickTop="1" thickBot="1">
      <c r="A218" s="73"/>
      <c r="B218" s="380"/>
      <c r="C218" s="102" t="s">
        <v>69</v>
      </c>
      <c r="D218" s="266">
        <f t="shared" ref="D218:K218" si="80">SUM(D212:D217)</f>
        <v>72</v>
      </c>
      <c r="E218" s="267">
        <f t="shared" si="80"/>
        <v>68</v>
      </c>
      <c r="F218" s="268">
        <f t="shared" si="80"/>
        <v>8</v>
      </c>
      <c r="G218" s="268">
        <f t="shared" si="80"/>
        <v>0</v>
      </c>
      <c r="H218" s="268">
        <f t="shared" si="80"/>
        <v>0</v>
      </c>
      <c r="I218" s="268">
        <f t="shared" si="80"/>
        <v>1</v>
      </c>
      <c r="J218" s="268">
        <f t="shared" si="80"/>
        <v>3</v>
      </c>
      <c r="K218" s="270">
        <f t="shared" si="80"/>
        <v>0</v>
      </c>
      <c r="L218" s="307">
        <v>317893</v>
      </c>
      <c r="M218" s="271">
        <f>SUM(M212:M217)</f>
        <v>4</v>
      </c>
      <c r="N218" s="269">
        <f>SUM(N212:N217)</f>
        <v>72</v>
      </c>
      <c r="O218" s="95"/>
      <c r="P218" s="96"/>
      <c r="Q218" s="105"/>
    </row>
    <row r="219" spans="1:20" ht="15.6" thickTop="1" thickBot="1">
      <c r="A219" s="73"/>
      <c r="B219" s="380"/>
      <c r="C219" s="92" t="s">
        <v>45</v>
      </c>
      <c r="D219" s="272">
        <f>SUM(D212:D217)</f>
        <v>72</v>
      </c>
      <c r="E219" s="272">
        <f>SUM(E212:E217)</f>
        <v>68</v>
      </c>
      <c r="F219" s="381">
        <f>SUM(F218:K218)</f>
        <v>12</v>
      </c>
      <c r="G219" s="382"/>
      <c r="H219" s="382"/>
      <c r="I219" s="382"/>
      <c r="J219" s="382"/>
      <c r="K219" s="383"/>
      <c r="L219" s="274">
        <f>L218</f>
        <v>317893</v>
      </c>
      <c r="M219" s="272">
        <f>SUM(M212:M217)</f>
        <v>4</v>
      </c>
      <c r="N219" s="272">
        <f>SUM(N212:N217)</f>
        <v>72</v>
      </c>
      <c r="O219" s="272">
        <f>SUM(O218)</f>
        <v>0</v>
      </c>
      <c r="P219" s="275">
        <f>SUM(P218)</f>
        <v>0</v>
      </c>
      <c r="Q219" s="93"/>
      <c r="T219" s="108">
        <f>$V$3+L11+L19+L27+L35+L43+L51+L59+L67+L75+L83+L91+L99+L107+L115+L123+L131+L139+L147+L155+L163+L171+L179+L187+L195+L203+L211+L219</f>
        <v>3878902.2199999993</v>
      </c>
    </row>
    <row r="220" spans="1:20" ht="15.6" thickTop="1" thickBot="1">
      <c r="A220" s="73" t="str">
        <f ca="1">OFFSET('0'!$B$112,($A$1-1)*10,OFFSET($B$4,($B220-1)*'0'!$E$19,0)-1)</f>
        <v>--</v>
      </c>
      <c r="B220" s="380">
        <f ca="1">OFFSET('0'!$B$111,($A$1-1)*10,27)</f>
        <v>28</v>
      </c>
      <c r="C220" s="106" t="s">
        <v>64</v>
      </c>
      <c r="D220" s="301">
        <v>0</v>
      </c>
      <c r="E220" s="302"/>
      <c r="F220" s="303"/>
      <c r="G220" s="303"/>
      <c r="H220" s="303"/>
      <c r="I220" s="303"/>
      <c r="J220" s="303"/>
      <c r="K220" s="303"/>
      <c r="L220" s="304"/>
      <c r="M220" s="302">
        <f t="shared" ref="M220:M225" si="81">SUM(D220-E220)</f>
        <v>0</v>
      </c>
      <c r="N220" s="305">
        <f t="shared" ref="N220:N225" si="82">SUM(E220,M220)</f>
        <v>0</v>
      </c>
      <c r="O220" s="305"/>
      <c r="P220" s="296"/>
      <c r="Q220" s="103"/>
    </row>
    <row r="221" spans="1:20" s="88" customFormat="1" ht="15.6" thickTop="1" thickBot="1">
      <c r="A221" s="74"/>
      <c r="B221" s="380"/>
      <c r="C221" s="104" t="s">
        <v>46</v>
      </c>
      <c r="D221" s="284">
        <v>16</v>
      </c>
      <c r="E221" s="285">
        <v>16</v>
      </c>
      <c r="F221" s="286"/>
      <c r="G221" s="286"/>
      <c r="H221" s="286"/>
      <c r="I221" s="286"/>
      <c r="J221" s="286"/>
      <c r="K221" s="286"/>
      <c r="L221" s="295"/>
      <c r="M221" s="285">
        <f t="shared" si="81"/>
        <v>0</v>
      </c>
      <c r="N221" s="269">
        <f t="shared" si="82"/>
        <v>16</v>
      </c>
      <c r="O221" s="269"/>
      <c r="P221" s="296"/>
      <c r="Q221" s="147" t="s">
        <v>76</v>
      </c>
    </row>
    <row r="222" spans="1:20" ht="15.6" thickTop="1" thickBot="1">
      <c r="A222" s="73"/>
      <c r="B222" s="380"/>
      <c r="C222" s="104" t="s">
        <v>49</v>
      </c>
      <c r="D222" s="266">
        <v>37</v>
      </c>
      <c r="E222" s="267">
        <v>35</v>
      </c>
      <c r="F222" s="268">
        <v>5</v>
      </c>
      <c r="G222" s="268"/>
      <c r="H222" s="268">
        <v>1</v>
      </c>
      <c r="I222" s="268">
        <v>1</v>
      </c>
      <c r="J222" s="268">
        <v>2</v>
      </c>
      <c r="K222" s="268"/>
      <c r="L222" s="289"/>
      <c r="M222" s="267">
        <f t="shared" si="81"/>
        <v>2</v>
      </c>
      <c r="N222" s="269">
        <f t="shared" si="82"/>
        <v>37</v>
      </c>
      <c r="O222" s="269"/>
      <c r="P222" s="290"/>
      <c r="Q222" s="105"/>
    </row>
    <row r="223" spans="1:20" s="88" customFormat="1" ht="15.6" thickTop="1" thickBot="1">
      <c r="A223" s="74"/>
      <c r="B223" s="380"/>
      <c r="C223" s="106" t="s">
        <v>50</v>
      </c>
      <c r="D223" s="266">
        <v>34</v>
      </c>
      <c r="E223" s="267">
        <v>30</v>
      </c>
      <c r="F223" s="268">
        <v>3</v>
      </c>
      <c r="G223" s="268"/>
      <c r="H223" s="268"/>
      <c r="I223" s="268"/>
      <c r="J223" s="268"/>
      <c r="K223" s="268"/>
      <c r="L223" s="289">
        <v>41074</v>
      </c>
      <c r="M223" s="267">
        <f t="shared" si="81"/>
        <v>4</v>
      </c>
      <c r="N223" s="269">
        <f t="shared" si="82"/>
        <v>34</v>
      </c>
      <c r="O223" s="269"/>
      <c r="P223" s="290"/>
      <c r="Q223" s="105"/>
    </row>
    <row r="224" spans="1:20" ht="15.6" thickTop="1" thickBot="1">
      <c r="A224" s="73"/>
      <c r="B224" s="380"/>
      <c r="C224" s="106" t="s">
        <v>47</v>
      </c>
      <c r="D224" s="266">
        <v>16</v>
      </c>
      <c r="E224" s="267">
        <v>13</v>
      </c>
      <c r="F224" s="268">
        <v>1</v>
      </c>
      <c r="G224" s="268"/>
      <c r="H224" s="268"/>
      <c r="I224" s="268"/>
      <c r="J224" s="268">
        <v>1</v>
      </c>
      <c r="K224" s="268"/>
      <c r="L224" s="289"/>
      <c r="M224" s="267">
        <f t="shared" si="81"/>
        <v>3</v>
      </c>
      <c r="N224" s="269">
        <f t="shared" si="82"/>
        <v>16</v>
      </c>
      <c r="O224" s="269"/>
      <c r="P224" s="290"/>
      <c r="Q224" s="105"/>
    </row>
    <row r="225" spans="1:20" ht="15.6" thickTop="1" thickBot="1">
      <c r="A225" s="73"/>
      <c r="B225" s="380"/>
      <c r="C225" s="106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1"/>
        <v>0</v>
      </c>
      <c r="N225" s="279">
        <f t="shared" si="82"/>
        <v>0</v>
      </c>
      <c r="O225" s="279"/>
      <c r="P225" s="294"/>
      <c r="Q225" s="105"/>
    </row>
    <row r="226" spans="1:20" ht="15.6" thickTop="1" thickBot="1">
      <c r="A226" s="73"/>
      <c r="B226" s="380"/>
      <c r="C226" s="102" t="s">
        <v>69</v>
      </c>
      <c r="D226" s="266">
        <f t="shared" ref="D226:K226" si="83">SUM(D220:D225)</f>
        <v>103</v>
      </c>
      <c r="E226" s="267">
        <f t="shared" si="83"/>
        <v>94</v>
      </c>
      <c r="F226" s="268">
        <f t="shared" si="83"/>
        <v>9</v>
      </c>
      <c r="G226" s="268">
        <f t="shared" si="83"/>
        <v>0</v>
      </c>
      <c r="H226" s="268">
        <f t="shared" si="83"/>
        <v>1</v>
      </c>
      <c r="I226" s="268">
        <f t="shared" si="83"/>
        <v>1</v>
      </c>
      <c r="J226" s="268">
        <f t="shared" si="83"/>
        <v>3</v>
      </c>
      <c r="K226" s="270">
        <f t="shared" si="83"/>
        <v>0</v>
      </c>
      <c r="L226" s="307">
        <v>108808.28</v>
      </c>
      <c r="M226" s="271">
        <f>SUM(M220:M225)</f>
        <v>9</v>
      </c>
      <c r="N226" s="269">
        <f>SUM(N220:N225)</f>
        <v>103</v>
      </c>
      <c r="O226" s="95"/>
      <c r="P226" s="96"/>
      <c r="Q226" s="105"/>
    </row>
    <row r="227" spans="1:20" ht="15.6" thickTop="1" thickBot="1">
      <c r="A227" s="73"/>
      <c r="B227" s="380"/>
      <c r="C227" s="92" t="s">
        <v>45</v>
      </c>
      <c r="D227" s="272">
        <f>SUM(D220:D225)</f>
        <v>103</v>
      </c>
      <c r="E227" s="272">
        <f>SUM(E220:E225)</f>
        <v>94</v>
      </c>
      <c r="F227" s="381">
        <f>SUM(F226:K226)</f>
        <v>14</v>
      </c>
      <c r="G227" s="382"/>
      <c r="H227" s="382"/>
      <c r="I227" s="382"/>
      <c r="J227" s="382"/>
      <c r="K227" s="383"/>
      <c r="L227" s="274">
        <f>L226</f>
        <v>108808.28</v>
      </c>
      <c r="M227" s="272">
        <f>SUM(M220:M225)</f>
        <v>9</v>
      </c>
      <c r="N227" s="272">
        <f>SUM(N220:N225)</f>
        <v>103</v>
      </c>
      <c r="O227" s="272">
        <f>SUM(O226)</f>
        <v>0</v>
      </c>
      <c r="P227" s="275">
        <f>SUM(P226)</f>
        <v>0</v>
      </c>
      <c r="Q227" s="93"/>
      <c r="T227" s="108">
        <f>$V$3+L11+L19+L27+L35+L43+L51+L59+L67+L75+L83+L91+L99+L107+L115+L123+L131+L139+L147+L155+L163+L171+L179+L187+L195+L203+L211+L219+L227</f>
        <v>3987710.4999999991</v>
      </c>
    </row>
    <row r="228" spans="1:20" ht="15.6" thickTop="1" thickBot="1">
      <c r="A228" s="73" t="str">
        <f ca="1">OFFSET('0'!$B$112,($A$1-1)*10,$B228-1)</f>
        <v>SS</v>
      </c>
      <c r="B228" s="380">
        <f ca="1">OFFSET('0'!$B$111,($A$1-1)*10,28)</f>
        <v>29</v>
      </c>
      <c r="C228" s="106" t="s">
        <v>47</v>
      </c>
      <c r="D228" s="301">
        <v>3</v>
      </c>
      <c r="E228" s="302">
        <v>3</v>
      </c>
      <c r="F228" s="303"/>
      <c r="G228" s="303"/>
      <c r="H228" s="303"/>
      <c r="I228" s="303">
        <v>1</v>
      </c>
      <c r="J228" s="303"/>
      <c r="K228" s="303"/>
      <c r="L228" s="304"/>
      <c r="M228" s="302">
        <f t="shared" ref="M228:M233" si="84">SUM(D228-E228)</f>
        <v>0</v>
      </c>
      <c r="N228" s="305">
        <f t="shared" ref="N228:N233" si="85">SUM(E228,M228)</f>
        <v>3</v>
      </c>
      <c r="O228" s="305"/>
      <c r="P228" s="296"/>
      <c r="Q228" s="103"/>
    </row>
    <row r="229" spans="1:20" ht="15.6" thickTop="1" thickBot="1">
      <c r="A229" s="73"/>
      <c r="B229" s="380"/>
      <c r="C229" s="104" t="s">
        <v>46</v>
      </c>
      <c r="D229" s="284">
        <v>14</v>
      </c>
      <c r="E229" s="285">
        <v>14</v>
      </c>
      <c r="F229" s="286">
        <v>5</v>
      </c>
      <c r="G229" s="286"/>
      <c r="H229" s="286"/>
      <c r="I229" s="286"/>
      <c r="J229" s="286">
        <v>1</v>
      </c>
      <c r="K229" s="286"/>
      <c r="L229" s="295">
        <v>6974</v>
      </c>
      <c r="M229" s="285">
        <f t="shared" si="84"/>
        <v>0</v>
      </c>
      <c r="N229" s="269">
        <f t="shared" si="85"/>
        <v>14</v>
      </c>
      <c r="O229" s="269"/>
      <c r="P229" s="296"/>
      <c r="Q229" s="110"/>
    </row>
    <row r="230" spans="1:20" ht="15.6" thickTop="1" thickBot="1">
      <c r="A230" s="73"/>
      <c r="B230" s="380"/>
      <c r="C230" s="104" t="s">
        <v>49</v>
      </c>
      <c r="D230" s="266">
        <v>12</v>
      </c>
      <c r="E230" s="267">
        <v>12</v>
      </c>
      <c r="F230" s="268">
        <v>5</v>
      </c>
      <c r="G230" s="268"/>
      <c r="H230" s="268"/>
      <c r="I230" s="268"/>
      <c r="J230" s="268"/>
      <c r="K230" s="268"/>
      <c r="L230" s="289"/>
      <c r="M230" s="267">
        <f t="shared" si="84"/>
        <v>0</v>
      </c>
      <c r="N230" s="269">
        <f t="shared" si="85"/>
        <v>12</v>
      </c>
      <c r="O230" s="269"/>
      <c r="P230" s="290"/>
      <c r="Q230" s="105"/>
    </row>
    <row r="231" spans="1:20" s="88" customFormat="1" ht="15.6" thickTop="1" thickBot="1">
      <c r="A231" s="74"/>
      <c r="B231" s="380"/>
      <c r="C231" s="106" t="s">
        <v>64</v>
      </c>
      <c r="D231" s="266">
        <v>3</v>
      </c>
      <c r="E231" s="267">
        <v>3</v>
      </c>
      <c r="F231" s="268">
        <v>1</v>
      </c>
      <c r="G231" s="268"/>
      <c r="H231" s="268"/>
      <c r="I231" s="268"/>
      <c r="J231" s="268">
        <v>1</v>
      </c>
      <c r="K231" s="268"/>
      <c r="L231" s="289"/>
      <c r="M231" s="267">
        <f t="shared" si="84"/>
        <v>0</v>
      </c>
      <c r="N231" s="269">
        <f t="shared" si="85"/>
        <v>3</v>
      </c>
      <c r="O231" s="269"/>
      <c r="P231" s="290"/>
      <c r="Q231" s="105"/>
    </row>
    <row r="232" spans="1:20" s="88" customFormat="1" ht="15.6" thickTop="1" thickBot="1">
      <c r="A232" s="74"/>
      <c r="B232" s="380"/>
      <c r="C232" s="106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4"/>
        <v>0</v>
      </c>
      <c r="N232" s="269">
        <f t="shared" si="85"/>
        <v>0</v>
      </c>
      <c r="O232" s="269"/>
      <c r="P232" s="290"/>
      <c r="Q232" s="105"/>
    </row>
    <row r="233" spans="1:20" ht="15.6" thickTop="1" thickBot="1">
      <c r="A233" s="73"/>
      <c r="B233" s="380"/>
      <c r="C233" s="106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4"/>
        <v>0</v>
      </c>
      <c r="N233" s="269">
        <f t="shared" si="85"/>
        <v>0</v>
      </c>
      <c r="O233" s="269"/>
      <c r="P233" s="290"/>
      <c r="Q233" s="105"/>
    </row>
    <row r="234" spans="1:20" ht="15.6" thickTop="1" thickBot="1">
      <c r="A234" s="73"/>
      <c r="B234" s="380"/>
      <c r="C234" s="102" t="s">
        <v>69</v>
      </c>
      <c r="D234" s="266">
        <f t="shared" ref="D234:K234" si="86">SUM(D228:D233)</f>
        <v>32</v>
      </c>
      <c r="E234" s="267">
        <f t="shared" si="86"/>
        <v>32</v>
      </c>
      <c r="F234" s="268">
        <f t="shared" si="86"/>
        <v>11</v>
      </c>
      <c r="G234" s="268">
        <f t="shared" si="86"/>
        <v>0</v>
      </c>
      <c r="H234" s="268">
        <f t="shared" si="86"/>
        <v>0</v>
      </c>
      <c r="I234" s="268">
        <f t="shared" si="86"/>
        <v>1</v>
      </c>
      <c r="J234" s="268">
        <f t="shared" si="86"/>
        <v>2</v>
      </c>
      <c r="K234" s="270">
        <f t="shared" si="86"/>
        <v>0</v>
      </c>
      <c r="L234" s="307">
        <v>13043</v>
      </c>
      <c r="M234" s="271">
        <f>SUM(M228:M233)</f>
        <v>0</v>
      </c>
      <c r="N234" s="269">
        <f>SUM(N228:N233)</f>
        <v>32</v>
      </c>
      <c r="O234" s="95"/>
      <c r="P234" s="96"/>
      <c r="Q234" s="105"/>
    </row>
    <row r="235" spans="1:20" ht="15.6" thickTop="1" thickBot="1">
      <c r="A235" s="73"/>
      <c r="B235" s="380"/>
      <c r="C235" s="92" t="s">
        <v>45</v>
      </c>
      <c r="D235" s="272">
        <f>SUM(D228:D233)</f>
        <v>32</v>
      </c>
      <c r="E235" s="272">
        <f>SUM(E228:E233)</f>
        <v>32</v>
      </c>
      <c r="F235" s="381">
        <f>SUM(F234:K234)</f>
        <v>14</v>
      </c>
      <c r="G235" s="382"/>
      <c r="H235" s="382"/>
      <c r="I235" s="382"/>
      <c r="J235" s="382"/>
      <c r="K235" s="383"/>
      <c r="L235" s="274">
        <f>L234</f>
        <v>13043</v>
      </c>
      <c r="M235" s="272">
        <f>SUM(M228:M233)</f>
        <v>0</v>
      </c>
      <c r="N235" s="272">
        <f>SUM(N228:N233)</f>
        <v>32</v>
      </c>
      <c r="O235" s="272">
        <f>SUM(O234)</f>
        <v>0</v>
      </c>
      <c r="P235" s="275">
        <f>SUM(P234)</f>
        <v>0</v>
      </c>
      <c r="Q235" s="93"/>
      <c r="T235" s="108">
        <f>$V$3+L11+L19+L27+L35+L43+L51+L59+L67+L75+L83+L91+L99+L107+L115+L123+L131+L139+L147+L155+L163+L171+L179+L187+L195+L203+L211+L219+L227+L235</f>
        <v>4000753.4999999991</v>
      </c>
    </row>
    <row r="236" spans="1:20" ht="15.6" thickTop="1" thickBot="1">
      <c r="A236" s="73" t="str">
        <f ca="1">OFFSET('0'!$B$112,($A$1-1)*10,$B236-1)</f>
        <v>SK</v>
      </c>
      <c r="B236" s="380">
        <f ca="1">OFFSET('0'!$B$111,($A$1-1)*10,29)</f>
        <v>30</v>
      </c>
      <c r="C236" s="106" t="s">
        <v>64</v>
      </c>
      <c r="D236" s="301">
        <v>0</v>
      </c>
      <c r="E236" s="302"/>
      <c r="F236" s="303"/>
      <c r="G236" s="303"/>
      <c r="H236" s="303"/>
      <c r="I236" s="303"/>
      <c r="J236" s="303"/>
      <c r="K236" s="303"/>
      <c r="L236" s="304"/>
      <c r="M236" s="302">
        <f t="shared" ref="M236:M241" si="87">SUM(D236-E236)</f>
        <v>0</v>
      </c>
      <c r="N236" s="305">
        <f t="shared" ref="N236:N241" si="88">SUM(E236,M236)</f>
        <v>0</v>
      </c>
      <c r="O236" s="305"/>
      <c r="P236" s="296"/>
      <c r="Q236" s="103"/>
    </row>
    <row r="237" spans="1:20" ht="15.6" thickTop="1" thickBot="1">
      <c r="A237" s="73"/>
      <c r="B237" s="380"/>
      <c r="C237" s="104" t="s">
        <v>56</v>
      </c>
      <c r="D237" s="284">
        <v>7</v>
      </c>
      <c r="E237" s="285">
        <v>6</v>
      </c>
      <c r="F237" s="286"/>
      <c r="G237" s="286"/>
      <c r="H237" s="286"/>
      <c r="I237" s="286"/>
      <c r="J237" s="286"/>
      <c r="K237" s="286"/>
      <c r="L237" s="295">
        <v>26930</v>
      </c>
      <c r="M237" s="285">
        <f t="shared" si="87"/>
        <v>1</v>
      </c>
      <c r="N237" s="269">
        <f t="shared" si="88"/>
        <v>7</v>
      </c>
      <c r="O237" s="269"/>
      <c r="P237" s="296"/>
      <c r="Q237" s="110"/>
    </row>
    <row r="238" spans="1:20" s="88" customFormat="1" ht="15.6" thickTop="1" thickBot="1">
      <c r="A238" s="74"/>
      <c r="B238" s="380"/>
      <c r="C238" s="104" t="s">
        <v>49</v>
      </c>
      <c r="D238" s="284">
        <v>9</v>
      </c>
      <c r="E238" s="285">
        <v>9</v>
      </c>
      <c r="F238" s="286">
        <v>2</v>
      </c>
      <c r="G238" s="286"/>
      <c r="H238" s="286"/>
      <c r="I238" s="286"/>
      <c r="J238" s="286"/>
      <c r="K238" s="286"/>
      <c r="L238" s="295"/>
      <c r="M238" s="285">
        <f t="shared" si="87"/>
        <v>0</v>
      </c>
      <c r="N238" s="269">
        <f t="shared" si="88"/>
        <v>9</v>
      </c>
      <c r="O238" s="269"/>
      <c r="P238" s="294"/>
      <c r="Q238" s="110"/>
    </row>
    <row r="239" spans="1:20" s="88" customFormat="1" ht="15.6" thickTop="1" thickBot="1">
      <c r="A239" s="74"/>
      <c r="B239" s="380"/>
      <c r="C239" s="106" t="s">
        <v>54</v>
      </c>
      <c r="D239" s="284">
        <v>1</v>
      </c>
      <c r="E239" s="285">
        <v>1</v>
      </c>
      <c r="F239" s="286"/>
      <c r="G239" s="286"/>
      <c r="H239" s="286"/>
      <c r="I239" s="286"/>
      <c r="J239" s="286"/>
      <c r="K239" s="286"/>
      <c r="L239" s="295">
        <v>35.78</v>
      </c>
      <c r="M239" s="285">
        <f t="shared" si="87"/>
        <v>0</v>
      </c>
      <c r="N239" s="269">
        <f t="shared" si="88"/>
        <v>1</v>
      </c>
      <c r="O239" s="269"/>
      <c r="P239" s="294"/>
      <c r="Q239" s="110"/>
    </row>
    <row r="240" spans="1:20" ht="15.6" thickTop="1" thickBot="1">
      <c r="A240" s="73"/>
      <c r="B240" s="380"/>
      <c r="C240" s="106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7"/>
        <v>0</v>
      </c>
      <c r="N240" s="269">
        <f t="shared" si="88"/>
        <v>0</v>
      </c>
      <c r="O240" s="269"/>
      <c r="P240" s="290"/>
      <c r="Q240" s="105"/>
    </row>
    <row r="241" spans="1:20" ht="15.6" thickTop="1" thickBot="1">
      <c r="A241" s="73"/>
      <c r="B241" s="380"/>
      <c r="C241" s="106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7"/>
        <v>0</v>
      </c>
      <c r="N241" s="269">
        <f t="shared" si="88"/>
        <v>0</v>
      </c>
      <c r="O241" s="269"/>
      <c r="P241" s="290"/>
      <c r="Q241" s="105"/>
    </row>
    <row r="242" spans="1:20" ht="15.6" thickTop="1" thickBot="1">
      <c r="A242" s="73"/>
      <c r="B242" s="380"/>
      <c r="C242" s="102" t="s">
        <v>69</v>
      </c>
      <c r="D242" s="266">
        <f t="shared" ref="D242:K242" si="89">SUM(D236:D241)</f>
        <v>17</v>
      </c>
      <c r="E242" s="267">
        <f t="shared" si="89"/>
        <v>16</v>
      </c>
      <c r="F242" s="268">
        <f t="shared" si="89"/>
        <v>2</v>
      </c>
      <c r="G242" s="268">
        <f t="shared" si="89"/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70">
        <f t="shared" si="89"/>
        <v>0</v>
      </c>
      <c r="L242" s="307">
        <v>60175.45</v>
      </c>
      <c r="M242" s="271">
        <f>SUM(M236:M241)</f>
        <v>1</v>
      </c>
      <c r="N242" s="269">
        <f>SUM(N236:N241)</f>
        <v>17</v>
      </c>
      <c r="O242" s="95"/>
      <c r="P242" s="96"/>
      <c r="Q242" s="105"/>
    </row>
    <row r="243" spans="1:20" ht="15.6" thickTop="1" thickBot="1">
      <c r="A243" s="73"/>
      <c r="B243" s="380"/>
      <c r="C243" s="92" t="s">
        <v>45</v>
      </c>
      <c r="D243" s="272">
        <f>SUM(D236:D241)</f>
        <v>17</v>
      </c>
      <c r="E243" s="272">
        <f>SUM(E236:E241)</f>
        <v>16</v>
      </c>
      <c r="F243" s="381">
        <f>SUM(F242:K242)</f>
        <v>2</v>
      </c>
      <c r="G243" s="382"/>
      <c r="H243" s="382"/>
      <c r="I243" s="382"/>
      <c r="J243" s="382"/>
      <c r="K243" s="383"/>
      <c r="L243" s="274">
        <f>L242</f>
        <v>60175.45</v>
      </c>
      <c r="M243" s="272">
        <f>SUM(M236:M241)</f>
        <v>1</v>
      </c>
      <c r="N243" s="272">
        <f>SUM(N236:N241)</f>
        <v>17</v>
      </c>
      <c r="O243" s="272">
        <f>SUM(O242)</f>
        <v>0</v>
      </c>
      <c r="P243" s="275">
        <f>SUM(P242)</f>
        <v>0</v>
      </c>
      <c r="Q243" s="93"/>
      <c r="T243" s="108">
        <f>$V$3+L11+L19+L27+L35+L43+L51+L59+L67+L75+L83+L91+L99+L107+L115+L123+L131+L139+L147+L155+L163+L171+L179+L187+L195+L203+L211+L219+L227+L235+L243</f>
        <v>4060928.9499999993</v>
      </c>
    </row>
    <row r="244" spans="1:20" ht="15.6" thickTop="1" thickBot="1">
      <c r="A244" s="73" t="str">
        <f ca="1">OFFSET('0'!$B$112,($A$1-1)*10,$B244-1)</f>
        <v>--</v>
      </c>
      <c r="B244" s="380">
        <f ca="1">OFFSET('0'!$B$111,($A$1-1)*10,30)</f>
        <v>31</v>
      </c>
      <c r="C244" s="106" t="s">
        <v>54</v>
      </c>
      <c r="D244" s="301">
        <v>0</v>
      </c>
      <c r="E244" s="302">
        <v>0</v>
      </c>
      <c r="F244" s="303"/>
      <c r="G244" s="303"/>
      <c r="H244" s="303"/>
      <c r="I244" s="303"/>
      <c r="J244" s="303"/>
      <c r="K244" s="303"/>
      <c r="L244" s="304"/>
      <c r="M244" s="302">
        <f t="shared" ref="M244:M249" si="90">SUM(D244-E244)</f>
        <v>0</v>
      </c>
      <c r="N244" s="305">
        <f t="shared" ref="N244:N249" si="91">SUM(E244,M244)</f>
        <v>0</v>
      </c>
      <c r="O244" s="305"/>
      <c r="P244" s="296"/>
      <c r="Q244" s="103"/>
    </row>
    <row r="245" spans="1:20" s="88" customFormat="1" ht="15.6" thickTop="1" thickBot="1">
      <c r="A245" s="74"/>
      <c r="B245" s="380"/>
      <c r="C245" s="104" t="s">
        <v>56</v>
      </c>
      <c r="D245" s="284">
        <v>25</v>
      </c>
      <c r="E245" s="285">
        <v>23</v>
      </c>
      <c r="F245" s="286">
        <v>4</v>
      </c>
      <c r="G245" s="286"/>
      <c r="H245" s="286"/>
      <c r="I245" s="286"/>
      <c r="J245" s="286">
        <v>3</v>
      </c>
      <c r="K245" s="286"/>
      <c r="L245" s="295">
        <v>7157</v>
      </c>
      <c r="M245" s="285">
        <f t="shared" si="90"/>
        <v>2</v>
      </c>
      <c r="N245" s="269">
        <f t="shared" si="91"/>
        <v>25</v>
      </c>
      <c r="O245" s="269"/>
      <c r="P245" s="296"/>
      <c r="Q245" s="110"/>
    </row>
    <row r="246" spans="1:20" s="88" customFormat="1" ht="15.6" thickTop="1" thickBot="1">
      <c r="A246" s="74"/>
      <c r="B246" s="380"/>
      <c r="C246" s="104" t="s">
        <v>55</v>
      </c>
      <c r="D246" s="284">
        <v>22</v>
      </c>
      <c r="E246" s="285">
        <v>22</v>
      </c>
      <c r="F246" s="286">
        <v>6</v>
      </c>
      <c r="G246" s="286"/>
      <c r="H246" s="286"/>
      <c r="I246" s="286"/>
      <c r="J246" s="286">
        <v>3</v>
      </c>
      <c r="K246" s="286"/>
      <c r="L246" s="295"/>
      <c r="M246" s="285">
        <f t="shared" si="90"/>
        <v>0</v>
      </c>
      <c r="N246" s="269">
        <f t="shared" si="91"/>
        <v>22</v>
      </c>
      <c r="O246" s="269"/>
      <c r="P246" s="294"/>
      <c r="Q246" s="110"/>
    </row>
    <row r="247" spans="1:20" s="88" customFormat="1" ht="15.6" thickTop="1" thickBot="1">
      <c r="A247" s="74"/>
      <c r="B247" s="380"/>
      <c r="C247" s="106" t="s">
        <v>60</v>
      </c>
      <c r="D247" s="284">
        <v>8</v>
      </c>
      <c r="E247" s="285">
        <v>8</v>
      </c>
      <c r="F247" s="286">
        <v>5</v>
      </c>
      <c r="G247" s="286"/>
      <c r="H247" s="286"/>
      <c r="I247" s="286"/>
      <c r="J247" s="286"/>
      <c r="K247" s="286"/>
      <c r="L247" s="295"/>
      <c r="M247" s="285">
        <f t="shared" si="90"/>
        <v>0</v>
      </c>
      <c r="N247" s="269">
        <f t="shared" si="91"/>
        <v>8</v>
      </c>
      <c r="O247" s="269"/>
      <c r="P247" s="294"/>
      <c r="Q247" s="110"/>
    </row>
    <row r="248" spans="1:20" ht="15.6" thickTop="1" thickBot="1">
      <c r="A248" s="360" t="s">
        <v>216</v>
      </c>
      <c r="B248" s="380"/>
      <c r="C248" s="106"/>
      <c r="D248" s="361">
        <v>58</v>
      </c>
      <c r="E248" s="362">
        <v>58</v>
      </c>
      <c r="F248" s="363"/>
      <c r="G248" s="363"/>
      <c r="H248" s="363"/>
      <c r="I248" s="363">
        <v>3</v>
      </c>
      <c r="J248" s="363">
        <v>5</v>
      </c>
      <c r="K248" s="363"/>
      <c r="L248" s="289"/>
      <c r="M248" s="267">
        <f t="shared" si="90"/>
        <v>0</v>
      </c>
      <c r="N248" s="269">
        <f t="shared" si="91"/>
        <v>58</v>
      </c>
      <c r="O248" s="269"/>
      <c r="P248" s="290"/>
      <c r="Q248" s="105"/>
    </row>
    <row r="249" spans="1:20" ht="15.6" thickTop="1" thickBot="1">
      <c r="A249" s="360" t="s">
        <v>215</v>
      </c>
      <c r="B249" s="380"/>
      <c r="C249" s="106"/>
      <c r="D249" s="361">
        <v>-4</v>
      </c>
      <c r="E249" s="362">
        <v>-4</v>
      </c>
      <c r="F249" s="363"/>
      <c r="G249" s="363"/>
      <c r="H249" s="363"/>
      <c r="I249" s="363"/>
      <c r="J249" s="363"/>
      <c r="K249" s="363"/>
      <c r="L249" s="291"/>
      <c r="M249" s="267">
        <f t="shared" si="90"/>
        <v>0</v>
      </c>
      <c r="N249" s="269">
        <f t="shared" si="91"/>
        <v>-4</v>
      </c>
      <c r="O249" s="269"/>
      <c r="P249" s="290"/>
      <c r="Q249" s="105"/>
    </row>
    <row r="250" spans="1:20" ht="15.6" thickTop="1" thickBot="1">
      <c r="A250" s="73"/>
      <c r="B250" s="380"/>
      <c r="C250" s="102" t="s">
        <v>69</v>
      </c>
      <c r="D250" s="266">
        <f t="shared" ref="D250:K250" si="92">SUM(D244:D249)</f>
        <v>109</v>
      </c>
      <c r="E250" s="267">
        <f t="shared" si="92"/>
        <v>107</v>
      </c>
      <c r="F250" s="268">
        <f t="shared" si="92"/>
        <v>15</v>
      </c>
      <c r="G250" s="268">
        <f t="shared" si="92"/>
        <v>0</v>
      </c>
      <c r="H250" s="268">
        <f t="shared" si="92"/>
        <v>0</v>
      </c>
      <c r="I250" s="268">
        <f t="shared" si="92"/>
        <v>3</v>
      </c>
      <c r="J250" s="268">
        <f t="shared" si="92"/>
        <v>11</v>
      </c>
      <c r="K250" s="270">
        <f t="shared" si="92"/>
        <v>0</v>
      </c>
      <c r="L250" s="307">
        <v>58635.96</v>
      </c>
      <c r="M250" s="271">
        <f>SUM(M244:M249)</f>
        <v>2</v>
      </c>
      <c r="N250" s="269">
        <f>SUM(N244:N249)</f>
        <v>109</v>
      </c>
      <c r="O250" s="95">
        <v>99</v>
      </c>
      <c r="P250" s="96">
        <v>214</v>
      </c>
      <c r="Q250" s="105"/>
    </row>
    <row r="251" spans="1:20" ht="15.6" thickTop="1" thickBot="1">
      <c r="A251" s="73"/>
      <c r="B251" s="380"/>
      <c r="C251" s="92" t="s">
        <v>45</v>
      </c>
      <c r="D251" s="272">
        <f>SUM(D244:D249)</f>
        <v>109</v>
      </c>
      <c r="E251" s="272">
        <f>SUM(E244:E249)</f>
        <v>107</v>
      </c>
      <c r="F251" s="381">
        <f>SUM(F250:K250)</f>
        <v>29</v>
      </c>
      <c r="G251" s="382"/>
      <c r="H251" s="382"/>
      <c r="I251" s="382"/>
      <c r="J251" s="382"/>
      <c r="K251" s="383"/>
      <c r="L251" s="274">
        <f>L250</f>
        <v>58635.96</v>
      </c>
      <c r="M251" s="272">
        <f>SUM(M244:M249)</f>
        <v>2</v>
      </c>
      <c r="N251" s="272">
        <f>SUM(N244:N249)</f>
        <v>109</v>
      </c>
      <c r="O251" s="272">
        <f>SUM(O250)</f>
        <v>99</v>
      </c>
      <c r="P251" s="322">
        <f>SUM(P250)</f>
        <v>214</v>
      </c>
      <c r="Q251" s="93"/>
      <c r="T251" s="108">
        <f>$V$3+L11+L19+L27+L35+L43+L51+L59+L67+L75+L83+L91+L99+L107+L115+L123+L131+L139+L147+L155+L163+L171+L179+L187+L195+L203+L211+L219+L227+L235+L243+L251</f>
        <v>4119564.9099999992</v>
      </c>
    </row>
    <row r="252" spans="1:20" ht="15" thickTop="1"/>
    <row r="253" spans="1:20">
      <c r="C253" s="94" t="s">
        <v>31</v>
      </c>
      <c r="D253" s="117">
        <f>SUM(D250,D242,D234,D226,D218,D210,D202,D194,D186,D178,D170,D162,D154,D146,D138,D130,D122,D114,D106,D98,D90,D82,D74,D66,D58,D50,D42,D34,D26,D18,D10)</f>
        <v>1695</v>
      </c>
      <c r="E253" s="298">
        <f t="shared" ref="E253:P253" si="93">SUM(E250,E242,E234,E226,E218,E210,E202,E194,E186,E178,E170,E162,E154,E146,E138,E130,E122,E114,E106,E98,E90,E82,E74,E66,E58,E50,E42,E34,E26,E18,E10)</f>
        <v>1636</v>
      </c>
      <c r="F253" s="299">
        <f t="shared" si="93"/>
        <v>271</v>
      </c>
      <c r="G253" s="299">
        <f t="shared" si="93"/>
        <v>0</v>
      </c>
      <c r="H253" s="299">
        <f t="shared" si="93"/>
        <v>1</v>
      </c>
      <c r="I253" s="299">
        <f t="shared" si="93"/>
        <v>60</v>
      </c>
      <c r="J253" s="299">
        <f t="shared" si="93"/>
        <v>125</v>
      </c>
      <c r="K253" s="299">
        <f t="shared" si="93"/>
        <v>0</v>
      </c>
      <c r="L253" s="300">
        <f t="shared" si="93"/>
        <v>3079849.3899999992</v>
      </c>
      <c r="M253" s="298">
        <f t="shared" si="93"/>
        <v>59</v>
      </c>
      <c r="N253" s="117">
        <f t="shared" si="93"/>
        <v>1695</v>
      </c>
      <c r="O253" s="117">
        <f t="shared" si="93"/>
        <v>99</v>
      </c>
      <c r="P253" s="321">
        <f t="shared" si="93"/>
        <v>214</v>
      </c>
    </row>
    <row r="254" spans="1:20">
      <c r="C254" s="94" t="s">
        <v>57</v>
      </c>
      <c r="D254" s="287">
        <f>D253</f>
        <v>1695</v>
      </c>
      <c r="E254" s="287">
        <f>E253</f>
        <v>1636</v>
      </c>
      <c r="F254" s="377">
        <f>SUM(F251,F243,F235,F227,F219,F211,F203,F195,F187,F179,F171,F163,F155,F147,F139,F131,F123,F115,F107,F99,F91,F83,F75,F67,F59,F51,F43,F35,F27,F19,F11)</f>
        <v>457</v>
      </c>
      <c r="G254" s="378"/>
      <c r="H254" s="378"/>
      <c r="I254" s="378"/>
      <c r="J254" s="378"/>
      <c r="K254" s="379"/>
      <c r="L254" s="288">
        <f>L253</f>
        <v>3079849.3899999992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352" priority="32">
      <formula>$A12&lt;&gt;"--"</formula>
    </cfRule>
  </conditionalFormatting>
  <conditionalFormatting sqref="B20:B27">
    <cfRule type="expression" dxfId="351" priority="31">
      <formula>$A20&lt;&gt;"--"</formula>
    </cfRule>
  </conditionalFormatting>
  <conditionalFormatting sqref="B28:B35">
    <cfRule type="expression" dxfId="350" priority="30">
      <formula>$A28&lt;&gt;"--"</formula>
    </cfRule>
  </conditionalFormatting>
  <conditionalFormatting sqref="B36:B43">
    <cfRule type="expression" dxfId="349" priority="29">
      <formula>$A36&lt;&gt;"--"</formula>
    </cfRule>
  </conditionalFormatting>
  <conditionalFormatting sqref="B44:B51">
    <cfRule type="expression" dxfId="348" priority="28">
      <formula>$A44&lt;&gt;"--"</formula>
    </cfRule>
  </conditionalFormatting>
  <conditionalFormatting sqref="B52:B59">
    <cfRule type="expression" dxfId="347" priority="27">
      <formula>$A52&lt;&gt;"--"</formula>
    </cfRule>
  </conditionalFormatting>
  <conditionalFormatting sqref="B60:B67">
    <cfRule type="expression" dxfId="346" priority="26">
      <formula>$A60&lt;&gt;"--"</formula>
    </cfRule>
  </conditionalFormatting>
  <conditionalFormatting sqref="B68:B75">
    <cfRule type="expression" dxfId="345" priority="25">
      <formula>$A68&lt;&gt;"--"</formula>
    </cfRule>
  </conditionalFormatting>
  <conditionalFormatting sqref="B76:B83">
    <cfRule type="expression" dxfId="344" priority="24">
      <formula>$A76&lt;&gt;"--"</formula>
    </cfRule>
  </conditionalFormatting>
  <conditionalFormatting sqref="B84:B91">
    <cfRule type="expression" dxfId="343" priority="23">
      <formula>$A84&lt;&gt;"--"</formula>
    </cfRule>
  </conditionalFormatting>
  <conditionalFormatting sqref="B92:B99">
    <cfRule type="expression" dxfId="342" priority="22">
      <formula>$A92&lt;&gt;"--"</formula>
    </cfRule>
  </conditionalFormatting>
  <conditionalFormatting sqref="B100:B107">
    <cfRule type="expression" dxfId="341" priority="21">
      <formula>$A100&lt;&gt;"--"</formula>
    </cfRule>
  </conditionalFormatting>
  <conditionalFormatting sqref="B108:B115">
    <cfRule type="expression" dxfId="340" priority="20">
      <formula>$A108&lt;&gt;"--"</formula>
    </cfRule>
  </conditionalFormatting>
  <conditionalFormatting sqref="B116:B123">
    <cfRule type="expression" dxfId="339" priority="19">
      <formula>$A116&lt;&gt;"--"</formula>
    </cfRule>
  </conditionalFormatting>
  <conditionalFormatting sqref="B124:B131">
    <cfRule type="expression" dxfId="338" priority="18">
      <formula>$A124&lt;&gt;"--"</formula>
    </cfRule>
  </conditionalFormatting>
  <conditionalFormatting sqref="B132:B139">
    <cfRule type="expression" dxfId="337" priority="17">
      <formula>$A132&lt;&gt;"--"</formula>
    </cfRule>
  </conditionalFormatting>
  <conditionalFormatting sqref="B140:B147">
    <cfRule type="expression" dxfId="336" priority="16">
      <formula>$A140&lt;&gt;"--"</formula>
    </cfRule>
  </conditionalFormatting>
  <conditionalFormatting sqref="B148:B155">
    <cfRule type="expression" dxfId="335" priority="15">
      <formula>$A148&lt;&gt;"--"</formula>
    </cfRule>
  </conditionalFormatting>
  <conditionalFormatting sqref="B156:B163">
    <cfRule type="expression" dxfId="334" priority="14">
      <formula>$A156&lt;&gt;"--"</formula>
    </cfRule>
  </conditionalFormatting>
  <conditionalFormatting sqref="B164:B171">
    <cfRule type="expression" dxfId="333" priority="13">
      <formula>$A164&lt;&gt;"--"</formula>
    </cfRule>
  </conditionalFormatting>
  <conditionalFormatting sqref="B172:B179">
    <cfRule type="expression" dxfId="332" priority="12">
      <formula>$A172&lt;&gt;"--"</formula>
    </cfRule>
  </conditionalFormatting>
  <conditionalFormatting sqref="B180:B187">
    <cfRule type="expression" dxfId="331" priority="11">
      <formula>$A180&lt;&gt;"--"</formula>
    </cfRule>
  </conditionalFormatting>
  <conditionalFormatting sqref="B188:B195">
    <cfRule type="expression" dxfId="330" priority="10">
      <formula>$A188&lt;&gt;"--"</formula>
    </cfRule>
  </conditionalFormatting>
  <conditionalFormatting sqref="B196:B203">
    <cfRule type="expression" dxfId="329" priority="9">
      <formula>$A196&lt;&gt;"--"</formula>
    </cfRule>
  </conditionalFormatting>
  <conditionalFormatting sqref="B204:B211">
    <cfRule type="expression" dxfId="328" priority="8">
      <formula>$A204&lt;&gt;"--"</formula>
    </cfRule>
  </conditionalFormatting>
  <conditionalFormatting sqref="B212:B219">
    <cfRule type="expression" dxfId="327" priority="7">
      <formula>$A212&lt;&gt;"--"</formula>
    </cfRule>
  </conditionalFormatting>
  <conditionalFormatting sqref="B220:B227">
    <cfRule type="expression" dxfId="326" priority="6">
      <formula>$A220&lt;&gt;"--"</formula>
    </cfRule>
  </conditionalFormatting>
  <conditionalFormatting sqref="B228:B251">
    <cfRule type="expression" dxfId="325" priority="5">
      <formula>$A228&lt;&gt;"--"</formula>
    </cfRule>
  </conditionalFormatting>
  <conditionalFormatting sqref="B236:B243">
    <cfRule type="expression" dxfId="324" priority="4">
      <formula>$A236&lt;&gt;"--"</formula>
    </cfRule>
  </conditionalFormatting>
  <conditionalFormatting sqref="B244:B251">
    <cfRule type="expression" dxfId="323" priority="3">
      <formula>$A244&lt;&gt;"--"</formula>
    </cfRule>
  </conditionalFormatting>
  <conditionalFormatting sqref="B4:B11">
    <cfRule type="expression" dxfId="322" priority="2">
      <formula>$A4&lt;&gt;"--"</formula>
    </cfRule>
  </conditionalFormatting>
  <conditionalFormatting sqref="B228:B251">
    <cfRule type="cellIs" dxfId="321" priority="1" operator="lessThan">
      <formula>0</formula>
    </cfRule>
  </conditionalFormatting>
  <dataValidations count="1">
    <dataValidation type="list" allowBlank="1" showInputMessage="1" showErrorMessage="1" sqref="C244:C249 C236:C241 C228:C233 C220:C225 C212:C217 C204:C209 C196:C201 C188:C193 C180:C185 C172:C177 C164:C169 C156:C161 C148:C153 C140:C145 C132:C137 C124:C129 C116:C121 C108:C113 C100:C105 C92:C97 C84:C89 C76:C81 C68:C73 C60:C65 C52:C57 C44:C49 C36:C41 C28:C33 C20:C25 C12:C17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V259"/>
  <sheetViews>
    <sheetView topLeftCell="J1" workbookViewId="0">
      <selection activeCell="U5" sqref="U5:V17"/>
    </sheetView>
  </sheetViews>
  <sheetFormatPr defaultColWidth="8.88671875" defaultRowHeight="14.4"/>
  <cols>
    <col min="1" max="2" width="8.88671875" style="119"/>
    <col min="3" max="3" width="22.109375" style="120" customWidth="1"/>
    <col min="4" max="11" width="15.109375" style="119"/>
    <col min="12" max="12" width="12.88671875" style="66" customWidth="1"/>
    <col min="13" max="14" width="10.109375" style="121" customWidth="1"/>
    <col min="15" max="16" width="10.109375" style="120" customWidth="1"/>
    <col min="17" max="17" width="22" style="120" customWidth="1"/>
    <col min="18" max="19" width="15.109375" style="119"/>
    <col min="20" max="20" width="26" style="120" customWidth="1"/>
    <col min="21" max="21" width="8.88671875" style="119"/>
    <col min="22" max="22" width="13.44140625" style="119" customWidth="1"/>
    <col min="23" max="16384" width="8.88671875" style="119"/>
  </cols>
  <sheetData>
    <row r="1" spans="1:22">
      <c r="A1" s="119">
        <v>4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B3" s="385"/>
      <c r="C3" s="385"/>
      <c r="D3" s="385"/>
      <c r="E3" s="385"/>
      <c r="F3" s="122" t="s">
        <v>10</v>
      </c>
      <c r="G3" s="122" t="s">
        <v>11</v>
      </c>
      <c r="H3" s="122" t="s">
        <v>12</v>
      </c>
      <c r="I3" s="122" t="s">
        <v>13</v>
      </c>
      <c r="J3" s="122" t="s">
        <v>14</v>
      </c>
      <c r="K3" s="122" t="s">
        <v>44</v>
      </c>
      <c r="L3" s="387"/>
      <c r="M3" s="385"/>
      <c r="N3" s="388"/>
      <c r="O3" s="388"/>
      <c r="P3" s="389"/>
      <c r="Q3" s="390"/>
      <c r="T3" s="384"/>
      <c r="U3" s="119" t="s">
        <v>168</v>
      </c>
      <c r="V3" s="82">
        <f>SUM('Bendras metų'!V6:V8)</f>
        <v>4119564.9099999992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137" t="s">
        <v>60</v>
      </c>
      <c r="D4" s="301">
        <v>14</v>
      </c>
      <c r="E4" s="302">
        <v>12</v>
      </c>
      <c r="F4" s="303">
        <v>6</v>
      </c>
      <c r="G4" s="303"/>
      <c r="H4" s="303"/>
      <c r="I4" s="303"/>
      <c r="J4" s="303">
        <v>4</v>
      </c>
      <c r="K4" s="303"/>
      <c r="L4" s="304"/>
      <c r="M4" s="302">
        <f t="shared" ref="M4:M10" si="0">SUM(D4-E4)</f>
        <v>2</v>
      </c>
      <c r="N4" s="305">
        <f t="shared" ref="N4:N10" si="1">SUM(E4,M4)</f>
        <v>14</v>
      </c>
      <c r="O4" s="305"/>
      <c r="P4" s="306"/>
      <c r="Q4" s="140"/>
      <c r="T4" s="384"/>
    </row>
    <row r="5" spans="1:22">
      <c r="A5" s="73"/>
      <c r="B5" s="392"/>
      <c r="C5" s="141" t="s">
        <v>158</v>
      </c>
      <c r="D5" s="266">
        <v>5</v>
      </c>
      <c r="E5" s="267">
        <v>5</v>
      </c>
      <c r="F5" s="268"/>
      <c r="G5" s="268"/>
      <c r="H5" s="268"/>
      <c r="I5" s="268">
        <v>1</v>
      </c>
      <c r="J5" s="268"/>
      <c r="K5" s="268"/>
      <c r="L5" s="289"/>
      <c r="M5" s="267">
        <f t="shared" si="0"/>
        <v>0</v>
      </c>
      <c r="N5" s="269">
        <f t="shared" si="1"/>
        <v>5</v>
      </c>
      <c r="O5" s="269"/>
      <c r="P5" s="290"/>
      <c r="Q5" s="142"/>
    </row>
    <row r="6" spans="1:22">
      <c r="A6" s="73"/>
      <c r="B6" s="392"/>
      <c r="C6" s="141" t="s">
        <v>160</v>
      </c>
      <c r="D6" s="266">
        <v>1</v>
      </c>
      <c r="E6" s="267">
        <v>1</v>
      </c>
      <c r="F6" s="268"/>
      <c r="G6" s="268"/>
      <c r="H6" s="268"/>
      <c r="I6" s="268"/>
      <c r="J6" s="268"/>
      <c r="K6" s="268"/>
      <c r="L6" s="289"/>
      <c r="M6" s="267">
        <f t="shared" si="0"/>
        <v>0</v>
      </c>
      <c r="N6" s="269">
        <f t="shared" si="1"/>
        <v>1</v>
      </c>
      <c r="O6" s="269"/>
      <c r="P6" s="290"/>
      <c r="Q6" s="142"/>
      <c r="V6" s="86"/>
    </row>
    <row r="7" spans="1:22">
      <c r="A7" s="73"/>
      <c r="B7" s="392"/>
      <c r="C7" s="143" t="s">
        <v>48</v>
      </c>
      <c r="D7" s="266">
        <v>4</v>
      </c>
      <c r="E7" s="267">
        <v>3</v>
      </c>
      <c r="F7" s="268"/>
      <c r="G7" s="268"/>
      <c r="H7" s="268"/>
      <c r="I7" s="268"/>
      <c r="J7" s="268"/>
      <c r="K7" s="268"/>
      <c r="L7" s="289"/>
      <c r="M7" s="267">
        <f t="shared" si="0"/>
        <v>1</v>
      </c>
      <c r="N7" s="269">
        <f t="shared" si="1"/>
        <v>4</v>
      </c>
      <c r="O7" s="269"/>
      <c r="P7" s="290"/>
      <c r="Q7" s="142"/>
      <c r="V7" s="86"/>
    </row>
    <row r="8" spans="1:22">
      <c r="A8" s="73"/>
      <c r="B8" s="392"/>
      <c r="C8" s="143" t="s">
        <v>48</v>
      </c>
      <c r="D8" s="266">
        <v>17</v>
      </c>
      <c r="E8" s="267">
        <v>16</v>
      </c>
      <c r="F8" s="268">
        <v>4</v>
      </c>
      <c r="G8" s="268"/>
      <c r="H8" s="268"/>
      <c r="I8" s="268"/>
      <c r="J8" s="268"/>
      <c r="K8" s="268"/>
      <c r="L8" s="291"/>
      <c r="M8" s="267">
        <f t="shared" si="0"/>
        <v>1</v>
      </c>
      <c r="N8" s="269">
        <f t="shared" si="1"/>
        <v>17</v>
      </c>
      <c r="O8" s="269"/>
      <c r="P8" s="290"/>
      <c r="Q8" s="142"/>
      <c r="V8" s="86"/>
    </row>
    <row r="9" spans="1:22">
      <c r="A9" s="73"/>
      <c r="B9" s="392"/>
      <c r="C9" s="75" t="s">
        <v>55</v>
      </c>
      <c r="D9" s="266">
        <v>23</v>
      </c>
      <c r="E9" s="267">
        <v>23</v>
      </c>
      <c r="F9" s="268">
        <v>4</v>
      </c>
      <c r="G9" s="268"/>
      <c r="H9" s="268"/>
      <c r="I9" s="268"/>
      <c r="J9" s="268">
        <v>3</v>
      </c>
      <c r="K9" s="270"/>
      <c r="L9" s="291"/>
      <c r="M9" s="267">
        <f t="shared" si="0"/>
        <v>0</v>
      </c>
      <c r="N9" s="269">
        <f t="shared" si="1"/>
        <v>23</v>
      </c>
      <c r="O9" s="269"/>
      <c r="P9" s="290"/>
      <c r="Q9" s="142"/>
    </row>
    <row r="10" spans="1:22" ht="15" thickBot="1">
      <c r="A10" s="73"/>
      <c r="B10" s="392"/>
      <c r="C10" s="75" t="s">
        <v>60</v>
      </c>
      <c r="D10" s="266"/>
      <c r="E10" s="267"/>
      <c r="F10" s="268"/>
      <c r="G10" s="268"/>
      <c r="H10" s="268"/>
      <c r="I10" s="268"/>
      <c r="J10" s="268"/>
      <c r="K10" s="268"/>
      <c r="L10" s="291"/>
      <c r="M10" s="267">
        <f t="shared" si="0"/>
        <v>0</v>
      </c>
      <c r="N10" s="269">
        <f t="shared" si="1"/>
        <v>0</v>
      </c>
      <c r="O10" s="269"/>
      <c r="P10" s="290"/>
      <c r="Q10" s="142"/>
    </row>
    <row r="11" spans="1:22" ht="15" thickBot="1">
      <c r="A11" s="73"/>
      <c r="B11" s="392"/>
      <c r="C11" s="144" t="s">
        <v>69</v>
      </c>
      <c r="D11" s="266">
        <f>SUM(D4:D10)</f>
        <v>64</v>
      </c>
      <c r="E11" s="267">
        <f>SUM(E4:E10)</f>
        <v>60</v>
      </c>
      <c r="F11" s="278">
        <f>SUM(F4:F10)</f>
        <v>14</v>
      </c>
      <c r="G11" s="278">
        <f t="shared" ref="G11:K11" si="2">SUM(G4:G10)</f>
        <v>0</v>
      </c>
      <c r="H11" s="278">
        <f t="shared" si="2"/>
        <v>0</v>
      </c>
      <c r="I11" s="278">
        <f t="shared" si="2"/>
        <v>1</v>
      </c>
      <c r="J11" s="278">
        <f t="shared" si="2"/>
        <v>7</v>
      </c>
      <c r="K11" s="278">
        <f t="shared" si="2"/>
        <v>0</v>
      </c>
      <c r="L11" s="307">
        <v>84414.55</v>
      </c>
      <c r="M11" s="271">
        <f>SUM(M4:M10)</f>
        <v>4</v>
      </c>
      <c r="N11" s="269">
        <f>SUM(N4:N10)</f>
        <v>64</v>
      </c>
      <c r="O11" s="129">
        <v>6</v>
      </c>
      <c r="P11" s="130">
        <v>15</v>
      </c>
      <c r="Q11" s="142"/>
    </row>
    <row r="12" spans="1:22" ht="15" thickBot="1">
      <c r="A12" s="73"/>
      <c r="B12" s="393"/>
      <c r="C12" s="124" t="s">
        <v>45</v>
      </c>
      <c r="D12" s="272">
        <f>SUM(D4:D10)</f>
        <v>64</v>
      </c>
      <c r="E12" s="272">
        <f>SUM(E4:E10)</f>
        <v>60</v>
      </c>
      <c r="F12" s="381">
        <f>SUM(F11:K11)</f>
        <v>22</v>
      </c>
      <c r="G12" s="382"/>
      <c r="H12" s="382"/>
      <c r="I12" s="382"/>
      <c r="J12" s="382"/>
      <c r="K12" s="383"/>
      <c r="L12" s="274">
        <f>L11</f>
        <v>84414.55</v>
      </c>
      <c r="M12" s="272">
        <f>SUM(M4:M10)</f>
        <v>4</v>
      </c>
      <c r="N12" s="272">
        <f>SUM(N4:N10)</f>
        <v>64</v>
      </c>
      <c r="O12" s="272">
        <f>SUM(O11)</f>
        <v>6</v>
      </c>
      <c r="P12" s="275">
        <f>SUM(P11)</f>
        <v>15</v>
      </c>
      <c r="Q12" s="125"/>
      <c r="T12" s="145">
        <f>$V$3+L12</f>
        <v>4203979.459999999</v>
      </c>
    </row>
    <row r="13" spans="1:22" ht="15" thickTop="1">
      <c r="A13" s="73" t="str">
        <f ca="1">OFFSET('0'!$B$112,($A$1-1)*10,$B13-1)</f>
        <v>--</v>
      </c>
      <c r="B13" s="391">
        <f ca="1">OFFSET('0'!$B$111,($A$1-1)*10,1)</f>
        <v>2</v>
      </c>
      <c r="C13" s="75" t="s">
        <v>60</v>
      </c>
      <c r="D13" s="266">
        <v>1</v>
      </c>
      <c r="E13" s="267">
        <v>1</v>
      </c>
      <c r="F13" s="268">
        <v>1</v>
      </c>
      <c r="G13" s="286"/>
      <c r="H13" s="286"/>
      <c r="I13" s="286"/>
      <c r="J13" s="286"/>
      <c r="K13" s="286"/>
      <c r="L13" s="295"/>
      <c r="M13" s="285">
        <f t="shared" ref="M13:M20" si="3">SUM(D13-E13)</f>
        <v>0</v>
      </c>
      <c r="N13" s="305">
        <f>SUM(E13,M13)</f>
        <v>1</v>
      </c>
      <c r="O13" s="305"/>
      <c r="P13" s="292"/>
      <c r="Q13" s="147"/>
    </row>
    <row r="14" spans="1:22" ht="17.25" customHeight="1">
      <c r="A14" s="73"/>
      <c r="B14" s="392"/>
      <c r="C14" s="141" t="s">
        <v>160</v>
      </c>
      <c r="D14" s="266">
        <v>3</v>
      </c>
      <c r="E14" s="267">
        <v>3</v>
      </c>
      <c r="F14" s="268">
        <v>1</v>
      </c>
      <c r="G14" s="268"/>
      <c r="H14" s="268"/>
      <c r="I14" s="268">
        <v>2</v>
      </c>
      <c r="J14" s="268">
        <v>1</v>
      </c>
      <c r="K14" s="268"/>
      <c r="L14" s="289">
        <v>1100</v>
      </c>
      <c r="M14" s="267">
        <f t="shared" si="3"/>
        <v>0</v>
      </c>
      <c r="N14" s="269">
        <f>SUM(E14,M14)</f>
        <v>3</v>
      </c>
      <c r="O14" s="269"/>
      <c r="P14" s="290"/>
      <c r="Q14" s="142"/>
    </row>
    <row r="15" spans="1:22">
      <c r="A15" s="73"/>
      <c r="B15" s="392"/>
      <c r="C15" s="141" t="s">
        <v>158</v>
      </c>
      <c r="D15" s="266">
        <v>5</v>
      </c>
      <c r="E15" s="267">
        <v>5</v>
      </c>
      <c r="F15" s="268"/>
      <c r="G15" s="268"/>
      <c r="H15" s="268"/>
      <c r="I15" s="268"/>
      <c r="J15" s="268"/>
      <c r="K15" s="268"/>
      <c r="L15" s="289"/>
      <c r="M15" s="267">
        <f t="shared" si="3"/>
        <v>0</v>
      </c>
      <c r="N15" s="269">
        <f>SUM(E15,M15)</f>
        <v>5</v>
      </c>
      <c r="O15" s="269"/>
      <c r="P15" s="290"/>
      <c r="Q15" s="142"/>
    </row>
    <row r="16" spans="1:22">
      <c r="A16" s="73"/>
      <c r="B16" s="392"/>
      <c r="C16" s="143" t="s">
        <v>164</v>
      </c>
      <c r="D16" s="276">
        <v>8</v>
      </c>
      <c r="E16" s="277">
        <v>8</v>
      </c>
      <c r="F16" s="278"/>
      <c r="G16" s="278"/>
      <c r="H16" s="278"/>
      <c r="I16" s="278"/>
      <c r="J16" s="278"/>
      <c r="K16" s="278"/>
      <c r="L16" s="291">
        <v>11000</v>
      </c>
      <c r="M16" s="277">
        <f t="shared" si="3"/>
        <v>0</v>
      </c>
      <c r="N16" s="269">
        <f>SUM(E16,M16)</f>
        <v>8</v>
      </c>
      <c r="O16" s="269"/>
      <c r="P16" s="290"/>
      <c r="Q16" s="142"/>
    </row>
    <row r="17" spans="1:22">
      <c r="A17" s="73"/>
      <c r="B17" s="392"/>
      <c r="C17" s="143" t="s">
        <v>169</v>
      </c>
      <c r="D17" s="276">
        <v>3</v>
      </c>
      <c r="E17" s="277">
        <v>2</v>
      </c>
      <c r="F17" s="278">
        <v>1</v>
      </c>
      <c r="G17" s="278"/>
      <c r="H17" s="278"/>
      <c r="I17" s="278"/>
      <c r="J17" s="278">
        <v>1</v>
      </c>
      <c r="K17" s="278"/>
      <c r="L17" s="291">
        <v>230140</v>
      </c>
      <c r="M17" s="277">
        <f t="shared" si="3"/>
        <v>1</v>
      </c>
      <c r="N17" s="279">
        <f>SUM(E17,M17)</f>
        <v>3</v>
      </c>
      <c r="O17" s="279"/>
      <c r="P17" s="292"/>
      <c r="Q17" s="148"/>
    </row>
    <row r="18" spans="1:22">
      <c r="A18" s="73"/>
      <c r="B18" s="392"/>
      <c r="C18" s="143" t="s">
        <v>48</v>
      </c>
      <c r="D18" s="276">
        <v>13</v>
      </c>
      <c r="E18" s="277">
        <v>13</v>
      </c>
      <c r="F18" s="278">
        <v>1</v>
      </c>
      <c r="G18" s="278"/>
      <c r="H18" s="278"/>
      <c r="I18" s="278">
        <v>1</v>
      </c>
      <c r="J18" s="278"/>
      <c r="K18" s="278"/>
      <c r="L18" s="291">
        <v>22673</v>
      </c>
      <c r="M18" s="277">
        <f t="shared" si="3"/>
        <v>0</v>
      </c>
      <c r="N18" s="279">
        <f t="shared" ref="N18:N19" si="4">SUM(E18,M18)</f>
        <v>13</v>
      </c>
      <c r="O18" s="279"/>
      <c r="P18" s="292"/>
      <c r="Q18" s="148"/>
    </row>
    <row r="19" spans="1:22">
      <c r="A19" s="73"/>
      <c r="B19" s="392"/>
      <c r="C19" s="143" t="s">
        <v>46</v>
      </c>
      <c r="D19" s="276">
        <v>14</v>
      </c>
      <c r="E19" s="277">
        <v>13</v>
      </c>
      <c r="F19" s="278"/>
      <c r="G19" s="278"/>
      <c r="H19" s="278"/>
      <c r="I19" s="278"/>
      <c r="J19" s="278"/>
      <c r="K19" s="278"/>
      <c r="L19" s="291">
        <v>20461.43</v>
      </c>
      <c r="M19" s="277">
        <f t="shared" si="3"/>
        <v>1</v>
      </c>
      <c r="N19" s="279">
        <f t="shared" si="4"/>
        <v>14</v>
      </c>
      <c r="O19" s="279"/>
      <c r="P19" s="292"/>
      <c r="Q19" s="148"/>
    </row>
    <row r="20" spans="1:22" ht="15" thickBot="1">
      <c r="A20" s="73"/>
      <c r="B20" s="392"/>
      <c r="C20" s="143" t="s">
        <v>64</v>
      </c>
      <c r="D20" s="276">
        <v>16</v>
      </c>
      <c r="E20" s="277">
        <v>16</v>
      </c>
      <c r="F20" s="278">
        <v>3</v>
      </c>
      <c r="G20" s="278"/>
      <c r="H20" s="278"/>
      <c r="I20" s="278"/>
      <c r="J20" s="278"/>
      <c r="K20" s="278"/>
      <c r="L20" s="291">
        <v>277972.71000000002</v>
      </c>
      <c r="M20" s="277">
        <f t="shared" si="3"/>
        <v>0</v>
      </c>
      <c r="N20" s="279">
        <f>SUM(E20,M20)</f>
        <v>16</v>
      </c>
      <c r="O20" s="279"/>
      <c r="P20" s="292"/>
      <c r="Q20" s="148"/>
      <c r="U20" s="83"/>
      <c r="V20" s="84"/>
    </row>
    <row r="21" spans="1:22" ht="15" thickBot="1">
      <c r="A21" s="73"/>
      <c r="B21" s="392"/>
      <c r="C21" s="144" t="s">
        <v>69</v>
      </c>
      <c r="D21" s="276">
        <f>SUM(D13:D20)</f>
        <v>63</v>
      </c>
      <c r="E21" s="277">
        <f>SUM(E13:E20)</f>
        <v>61</v>
      </c>
      <c r="F21" s="278">
        <f t="shared" ref="F21:L21" si="5">SUM(F13:F20)</f>
        <v>7</v>
      </c>
      <c r="G21" s="278">
        <f t="shared" si="5"/>
        <v>0</v>
      </c>
      <c r="H21" s="278">
        <f t="shared" si="5"/>
        <v>0</v>
      </c>
      <c r="I21" s="278">
        <f t="shared" si="5"/>
        <v>3</v>
      </c>
      <c r="J21" s="278">
        <f t="shared" si="5"/>
        <v>2</v>
      </c>
      <c r="K21" s="278">
        <f t="shared" si="5"/>
        <v>0</v>
      </c>
      <c r="L21" s="307">
        <f t="shared" si="5"/>
        <v>563347.14</v>
      </c>
      <c r="M21" s="309">
        <f>SUM(M13:M20)</f>
        <v>2</v>
      </c>
      <c r="N21" s="280">
        <f>SUM(N13:N20)</f>
        <v>63</v>
      </c>
      <c r="O21" s="149">
        <v>9</v>
      </c>
      <c r="P21" s="150">
        <v>6</v>
      </c>
      <c r="Q21" s="148"/>
      <c r="U21" s="85"/>
      <c r="V21" s="85"/>
    </row>
    <row r="22" spans="1:22" ht="15" thickBot="1">
      <c r="A22" s="73"/>
      <c r="B22" s="393"/>
      <c r="C22" s="124" t="s">
        <v>45</v>
      </c>
      <c r="D22" s="272">
        <f>SUM(D13:D20)</f>
        <v>63</v>
      </c>
      <c r="E22" s="272">
        <f>SUM(E13:E20)</f>
        <v>61</v>
      </c>
      <c r="F22" s="381">
        <f>SUM(F21:K21)</f>
        <v>12</v>
      </c>
      <c r="G22" s="382"/>
      <c r="H22" s="382"/>
      <c r="I22" s="382"/>
      <c r="J22" s="382"/>
      <c r="K22" s="383"/>
      <c r="L22" s="274">
        <f>L21</f>
        <v>563347.14</v>
      </c>
      <c r="M22" s="272">
        <f>SUM(M13:M20)</f>
        <v>2</v>
      </c>
      <c r="N22" s="272">
        <f>SUM(N13:N20)</f>
        <v>63</v>
      </c>
      <c r="O22" s="272">
        <f>SUM(O21)</f>
        <v>9</v>
      </c>
      <c r="P22" s="272">
        <f>SUM(P21)</f>
        <v>6</v>
      </c>
      <c r="Q22" s="125"/>
      <c r="T22" s="145">
        <f>$V$3+L12+L22</f>
        <v>4767326.5999999987</v>
      </c>
    </row>
    <row r="23" spans="1:22" ht="15.6" thickTop="1" thickBot="1">
      <c r="A23" s="73" t="str">
        <f ca="1">OFFSET('0'!$B$112,($A$1-1)*10,$B23-1)</f>
        <v>--</v>
      </c>
      <c r="B23" s="380">
        <f ca="1">OFFSET('0'!$B$111,($A$1-1)*10,2)</f>
        <v>3</v>
      </c>
      <c r="C23" s="143" t="s">
        <v>64</v>
      </c>
      <c r="D23" s="301">
        <v>3</v>
      </c>
      <c r="E23" s="302">
        <v>3</v>
      </c>
      <c r="F23" s="303"/>
      <c r="G23" s="303"/>
      <c r="H23" s="303"/>
      <c r="I23" s="303"/>
      <c r="J23" s="303"/>
      <c r="K23" s="303"/>
      <c r="L23" s="304"/>
      <c r="M23" s="302">
        <f t="shared" ref="M23:M30" si="6">SUM(D23-E23)</f>
        <v>0</v>
      </c>
      <c r="N23" s="305">
        <f>SUM(E23,M23)</f>
        <v>3</v>
      </c>
      <c r="O23" s="305"/>
      <c r="P23" s="306"/>
      <c r="Q23" s="140"/>
    </row>
    <row r="24" spans="1:22" ht="15.6" thickTop="1" thickBot="1">
      <c r="A24" s="73"/>
      <c r="B24" s="380"/>
      <c r="C24" s="143" t="s">
        <v>164</v>
      </c>
      <c r="D24" s="266">
        <v>9</v>
      </c>
      <c r="E24" s="267">
        <v>9</v>
      </c>
      <c r="F24" s="268"/>
      <c r="G24" s="268"/>
      <c r="H24" s="268"/>
      <c r="I24" s="268"/>
      <c r="J24" s="268">
        <v>1</v>
      </c>
      <c r="K24" s="268"/>
      <c r="L24" s="289">
        <v>23</v>
      </c>
      <c r="M24" s="267">
        <f t="shared" si="6"/>
        <v>0</v>
      </c>
      <c r="N24" s="269">
        <f>SUM(E24,M24)</f>
        <v>9</v>
      </c>
      <c r="O24" s="269"/>
      <c r="P24" s="290"/>
      <c r="Q24" s="142"/>
    </row>
    <row r="25" spans="1:22" ht="15.6" thickTop="1" thickBot="1">
      <c r="A25" s="73"/>
      <c r="B25" s="380"/>
      <c r="C25" s="141" t="s">
        <v>158</v>
      </c>
      <c r="D25" s="266">
        <v>10</v>
      </c>
      <c r="E25" s="267">
        <v>9</v>
      </c>
      <c r="F25" s="268">
        <v>2</v>
      </c>
      <c r="G25" s="268"/>
      <c r="H25" s="268"/>
      <c r="I25" s="268">
        <v>1</v>
      </c>
      <c r="J25" s="268">
        <v>1</v>
      </c>
      <c r="K25" s="268"/>
      <c r="L25" s="289">
        <v>200</v>
      </c>
      <c r="M25" s="267">
        <f t="shared" si="6"/>
        <v>1</v>
      </c>
      <c r="N25" s="269">
        <f>SUM(E25,M25)</f>
        <v>10</v>
      </c>
      <c r="O25" s="269"/>
      <c r="P25" s="290"/>
      <c r="Q25" s="142"/>
    </row>
    <row r="26" spans="1:22" ht="15.6" thickTop="1" thickBot="1">
      <c r="A26" s="73"/>
      <c r="B26" s="380"/>
      <c r="C26" s="141" t="s">
        <v>160</v>
      </c>
      <c r="D26" s="266">
        <v>3</v>
      </c>
      <c r="E26" s="267">
        <v>3</v>
      </c>
      <c r="F26" s="268"/>
      <c r="G26" s="268"/>
      <c r="H26" s="268"/>
      <c r="I26" s="268"/>
      <c r="J26" s="268"/>
      <c r="K26" s="268"/>
      <c r="L26" s="289"/>
      <c r="M26" s="267">
        <f t="shared" si="6"/>
        <v>0</v>
      </c>
      <c r="N26" s="269">
        <f>SUM(E26,M26)</f>
        <v>3</v>
      </c>
      <c r="O26" s="269"/>
      <c r="P26" s="290"/>
      <c r="Q26" s="142"/>
    </row>
    <row r="27" spans="1:22" ht="15.6" thickTop="1" thickBot="1">
      <c r="A27" s="73"/>
      <c r="B27" s="380"/>
      <c r="C27" s="143" t="s">
        <v>56</v>
      </c>
      <c r="D27" s="266">
        <v>9</v>
      </c>
      <c r="E27" s="267">
        <v>9</v>
      </c>
      <c r="F27" s="268">
        <v>3</v>
      </c>
      <c r="G27" s="268"/>
      <c r="H27" s="268"/>
      <c r="I27" s="268">
        <v>1</v>
      </c>
      <c r="J27" s="268"/>
      <c r="K27" s="268"/>
      <c r="L27" s="289">
        <v>10173</v>
      </c>
      <c r="M27" s="267">
        <f t="shared" si="6"/>
        <v>0</v>
      </c>
      <c r="N27" s="269">
        <f>SUM(E27,M27)</f>
        <v>9</v>
      </c>
      <c r="O27" s="269"/>
      <c r="P27" s="293"/>
      <c r="Q27" s="148"/>
    </row>
    <row r="28" spans="1:22" ht="15.6" thickTop="1" thickBot="1">
      <c r="A28" s="73"/>
      <c r="B28" s="380"/>
      <c r="C28" s="143" t="s">
        <v>50</v>
      </c>
      <c r="D28" s="266">
        <v>15</v>
      </c>
      <c r="E28" s="267">
        <v>15</v>
      </c>
      <c r="F28" s="268">
        <v>3</v>
      </c>
      <c r="G28" s="268"/>
      <c r="H28" s="268"/>
      <c r="I28" s="268">
        <v>1</v>
      </c>
      <c r="J28" s="268"/>
      <c r="K28" s="268"/>
      <c r="L28" s="289">
        <v>13090.98</v>
      </c>
      <c r="M28" s="267">
        <f t="shared" si="6"/>
        <v>0</v>
      </c>
      <c r="N28" s="269">
        <f t="shared" ref="N28:N29" si="7">SUM(E28,M28)</f>
        <v>15</v>
      </c>
      <c r="O28" s="269"/>
      <c r="P28" s="293"/>
      <c r="Q28" s="148"/>
    </row>
    <row r="29" spans="1:22" ht="15.6" thickTop="1" thickBot="1">
      <c r="A29" s="73"/>
      <c r="B29" s="380"/>
      <c r="C29" s="143" t="s">
        <v>169</v>
      </c>
      <c r="D29" s="276">
        <v>9</v>
      </c>
      <c r="E29" s="277">
        <v>9</v>
      </c>
      <c r="F29" s="278">
        <v>1</v>
      </c>
      <c r="G29" s="278"/>
      <c r="H29" s="278"/>
      <c r="I29" s="278"/>
      <c r="J29" s="278"/>
      <c r="K29" s="278"/>
      <c r="L29" s="291">
        <v>65</v>
      </c>
      <c r="M29" s="277">
        <f t="shared" si="6"/>
        <v>0</v>
      </c>
      <c r="N29" s="269">
        <f t="shared" si="7"/>
        <v>9</v>
      </c>
      <c r="O29" s="269"/>
      <c r="P29" s="293"/>
      <c r="Q29" s="148"/>
    </row>
    <row r="30" spans="1:22" ht="15.6" thickTop="1" thickBot="1">
      <c r="A30" s="73"/>
      <c r="B30" s="380"/>
      <c r="C30" s="143" t="s">
        <v>54</v>
      </c>
      <c r="D30" s="276">
        <v>8</v>
      </c>
      <c r="E30" s="277">
        <v>8</v>
      </c>
      <c r="F30" s="278">
        <v>3</v>
      </c>
      <c r="G30" s="278"/>
      <c r="H30" s="278"/>
      <c r="I30" s="278"/>
      <c r="J30" s="278">
        <v>2</v>
      </c>
      <c r="K30" s="278"/>
      <c r="L30" s="291">
        <v>330</v>
      </c>
      <c r="M30" s="277">
        <f t="shared" si="6"/>
        <v>0</v>
      </c>
      <c r="N30" s="269">
        <f>SUM(E30,M30)</f>
        <v>8</v>
      </c>
      <c r="O30" s="269"/>
      <c r="P30" s="293"/>
      <c r="Q30" s="148"/>
    </row>
    <row r="31" spans="1:22" ht="15.6" thickTop="1" thickBot="1">
      <c r="A31" s="73"/>
      <c r="B31" s="380"/>
      <c r="C31" s="144" t="s">
        <v>69</v>
      </c>
      <c r="D31" s="276">
        <f>SUM(D23:D30)</f>
        <v>66</v>
      </c>
      <c r="E31" s="277">
        <f>SUM(E23:E30)</f>
        <v>65</v>
      </c>
      <c r="F31" s="278">
        <f t="shared" ref="F31:K31" si="8">SUM(F23:F30)</f>
        <v>12</v>
      </c>
      <c r="G31" s="278">
        <f t="shared" si="8"/>
        <v>0</v>
      </c>
      <c r="H31" s="278">
        <f t="shared" si="8"/>
        <v>0</v>
      </c>
      <c r="I31" s="278">
        <f t="shared" si="8"/>
        <v>3</v>
      </c>
      <c r="J31" s="278">
        <f t="shared" si="8"/>
        <v>4</v>
      </c>
      <c r="K31" s="278">
        <f t="shared" si="8"/>
        <v>0</v>
      </c>
      <c r="L31" s="307">
        <v>240993.72</v>
      </c>
      <c r="M31" s="309">
        <f>SUM(M23:M30)</f>
        <v>1</v>
      </c>
      <c r="N31" s="280">
        <f>SUM(N23:N30)</f>
        <v>66</v>
      </c>
      <c r="O31" s="149">
        <v>5</v>
      </c>
      <c r="P31" s="150">
        <v>5</v>
      </c>
      <c r="Q31" s="148"/>
    </row>
    <row r="32" spans="1:22" ht="15.6" thickTop="1" thickBot="1">
      <c r="A32" s="73"/>
      <c r="B32" s="380"/>
      <c r="C32" s="132" t="s">
        <v>45</v>
      </c>
      <c r="D32" s="281">
        <f>SUM(D23:D30)</f>
        <v>66</v>
      </c>
      <c r="E32" s="281">
        <f>SUM(E23:E30)</f>
        <v>65</v>
      </c>
      <c r="F32" s="381">
        <f>SUM(F31:K31)</f>
        <v>19</v>
      </c>
      <c r="G32" s="382"/>
      <c r="H32" s="382"/>
      <c r="I32" s="382"/>
      <c r="J32" s="382"/>
      <c r="K32" s="383"/>
      <c r="L32" s="282">
        <f>L31</f>
        <v>240993.72</v>
      </c>
      <c r="M32" s="272">
        <f>SUM(M23:M30)</f>
        <v>1</v>
      </c>
      <c r="N32" s="272">
        <f>SUM(N23:N30)</f>
        <v>66</v>
      </c>
      <c r="O32" s="272">
        <f>SUM(O31)</f>
        <v>5</v>
      </c>
      <c r="P32" s="272">
        <f>SUM(P31)</f>
        <v>5</v>
      </c>
      <c r="Q32" s="133"/>
      <c r="T32" s="145">
        <f>$V$3++L12+L22+L32</f>
        <v>5008320.3199999984</v>
      </c>
    </row>
    <row r="33" spans="1:20" ht="15.6" thickTop="1" thickBot="1">
      <c r="A33" s="73" t="str">
        <f ca="1">OFFSET('0'!$B$112,($A$1-1)*10,$B33-1)</f>
        <v>--</v>
      </c>
      <c r="B33" s="380">
        <f ca="1">OFFSET('0'!$B$111,($A$1-1)*10,3)</f>
        <v>4</v>
      </c>
      <c r="C33" s="143" t="s">
        <v>54</v>
      </c>
      <c r="D33" s="301">
        <v>2</v>
      </c>
      <c r="E33" s="302">
        <v>2</v>
      </c>
      <c r="F33" s="303">
        <v>1</v>
      </c>
      <c r="G33" s="303"/>
      <c r="H33" s="303"/>
      <c r="I33" s="303"/>
      <c r="J33" s="303"/>
      <c r="K33" s="303"/>
      <c r="L33" s="304">
        <v>1280</v>
      </c>
      <c r="M33" s="302">
        <f t="shared" ref="M33:M38" si="9">SUM(D33-E33)</f>
        <v>0</v>
      </c>
      <c r="N33" s="305">
        <f t="shared" ref="N33:N38" si="10">SUM(E33,M33)</f>
        <v>2</v>
      </c>
      <c r="O33" s="305"/>
      <c r="P33" s="306"/>
      <c r="Q33" s="140"/>
    </row>
    <row r="34" spans="1:20" ht="17.25" customHeight="1" thickTop="1" thickBot="1">
      <c r="A34" s="73"/>
      <c r="B34" s="380"/>
      <c r="C34" s="141" t="s">
        <v>158</v>
      </c>
      <c r="D34" s="266">
        <v>11</v>
      </c>
      <c r="E34" s="267">
        <v>11</v>
      </c>
      <c r="F34" s="268">
        <v>1</v>
      </c>
      <c r="G34" s="268"/>
      <c r="H34" s="268"/>
      <c r="I34" s="268"/>
      <c r="J34" s="268">
        <v>1</v>
      </c>
      <c r="K34" s="268"/>
      <c r="L34" s="289">
        <v>1300</v>
      </c>
      <c r="M34" s="267">
        <f t="shared" si="9"/>
        <v>0</v>
      </c>
      <c r="N34" s="269">
        <f t="shared" si="10"/>
        <v>11</v>
      </c>
      <c r="O34" s="269"/>
      <c r="P34" s="290"/>
      <c r="Q34" s="142"/>
    </row>
    <row r="35" spans="1:20" ht="17.25" customHeight="1" thickTop="1" thickBot="1">
      <c r="A35" s="73"/>
      <c r="B35" s="380"/>
      <c r="C35" s="143" t="s">
        <v>169</v>
      </c>
      <c r="D35" s="266">
        <v>7</v>
      </c>
      <c r="E35" s="267">
        <v>7</v>
      </c>
      <c r="F35" s="268">
        <v>1</v>
      </c>
      <c r="G35" s="268"/>
      <c r="H35" s="268"/>
      <c r="I35" s="268">
        <v>1</v>
      </c>
      <c r="J35" s="268"/>
      <c r="K35" s="268"/>
      <c r="L35" s="289">
        <v>838</v>
      </c>
      <c r="M35" s="267">
        <f t="shared" si="9"/>
        <v>0</v>
      </c>
      <c r="N35" s="269">
        <f t="shared" si="10"/>
        <v>7</v>
      </c>
      <c r="O35" s="269"/>
      <c r="P35" s="290"/>
      <c r="Q35" s="142"/>
    </row>
    <row r="36" spans="1:20" ht="17.25" customHeight="1" thickTop="1" thickBot="1">
      <c r="A36" s="73"/>
      <c r="B36" s="380"/>
      <c r="C36" s="143" t="s">
        <v>49</v>
      </c>
      <c r="D36" s="266">
        <v>14</v>
      </c>
      <c r="E36" s="267">
        <v>13</v>
      </c>
      <c r="F36" s="268">
        <v>1</v>
      </c>
      <c r="G36" s="268"/>
      <c r="H36" s="268"/>
      <c r="I36" s="268"/>
      <c r="J36" s="268">
        <v>1</v>
      </c>
      <c r="K36" s="268"/>
      <c r="L36" s="289"/>
      <c r="M36" s="267">
        <f t="shared" si="9"/>
        <v>1</v>
      </c>
      <c r="N36" s="269">
        <f t="shared" si="10"/>
        <v>14</v>
      </c>
      <c r="O36" s="269"/>
      <c r="P36" s="290"/>
      <c r="Q36" s="142"/>
    </row>
    <row r="37" spans="1:20" ht="15.6" thickTop="1" thickBot="1">
      <c r="A37" s="73"/>
      <c r="B37" s="380"/>
      <c r="C37" s="143" t="s">
        <v>50</v>
      </c>
      <c r="D37" s="266">
        <v>16</v>
      </c>
      <c r="E37" s="267">
        <v>15</v>
      </c>
      <c r="F37" s="268">
        <v>1</v>
      </c>
      <c r="G37" s="268"/>
      <c r="H37" s="268"/>
      <c r="I37" s="268"/>
      <c r="J37" s="268"/>
      <c r="K37" s="268"/>
      <c r="L37" s="289">
        <v>6860</v>
      </c>
      <c r="M37" s="267">
        <f t="shared" si="9"/>
        <v>1</v>
      </c>
      <c r="N37" s="269">
        <f t="shared" si="10"/>
        <v>16</v>
      </c>
      <c r="O37" s="269"/>
      <c r="P37" s="290"/>
      <c r="Q37" s="142"/>
    </row>
    <row r="38" spans="1:20" ht="15.6" thickTop="1" thickBot="1">
      <c r="A38" s="73"/>
      <c r="B38" s="380"/>
      <c r="C38" s="143" t="s">
        <v>53</v>
      </c>
      <c r="D38" s="266">
        <v>6</v>
      </c>
      <c r="E38" s="267">
        <v>5</v>
      </c>
      <c r="F38" s="268"/>
      <c r="G38" s="268"/>
      <c r="H38" s="268"/>
      <c r="I38" s="268"/>
      <c r="J38" s="268"/>
      <c r="K38" s="268"/>
      <c r="L38" s="291"/>
      <c r="M38" s="267">
        <f t="shared" si="9"/>
        <v>1</v>
      </c>
      <c r="N38" s="269">
        <f t="shared" si="10"/>
        <v>6</v>
      </c>
      <c r="O38" s="269"/>
      <c r="P38" s="290"/>
      <c r="Q38" s="142"/>
    </row>
    <row r="39" spans="1:20" ht="15.6" thickTop="1" thickBot="1">
      <c r="A39" s="73"/>
      <c r="B39" s="380"/>
      <c r="C39" s="144" t="s">
        <v>69</v>
      </c>
      <c r="D39" s="266">
        <f>SUM(D33:D38)</f>
        <v>56</v>
      </c>
      <c r="E39" s="267">
        <f>SUM(E33:E38)</f>
        <v>53</v>
      </c>
      <c r="F39" s="268">
        <f t="shared" ref="F39:K39" si="11">SUM(F33:F38)</f>
        <v>5</v>
      </c>
      <c r="G39" s="268">
        <f t="shared" si="11"/>
        <v>0</v>
      </c>
      <c r="H39" s="268">
        <f t="shared" si="11"/>
        <v>0</v>
      </c>
      <c r="I39" s="268">
        <f t="shared" si="11"/>
        <v>1</v>
      </c>
      <c r="J39" s="268">
        <f t="shared" si="11"/>
        <v>2</v>
      </c>
      <c r="K39" s="268">
        <f t="shared" si="11"/>
        <v>0</v>
      </c>
      <c r="L39" s="307">
        <v>56684.25</v>
      </c>
      <c r="M39" s="271">
        <f>SUM(M33:M38)</f>
        <v>3</v>
      </c>
      <c r="N39" s="269">
        <f>SUM(N33:N38)</f>
        <v>56</v>
      </c>
      <c r="O39" s="129">
        <v>4</v>
      </c>
      <c r="P39" s="130">
        <v>6</v>
      </c>
      <c r="Q39" s="142"/>
    </row>
    <row r="40" spans="1:20" ht="15.6" thickTop="1" thickBot="1">
      <c r="A40" s="73"/>
      <c r="B40" s="380"/>
      <c r="C40" s="124" t="s">
        <v>45</v>
      </c>
      <c r="D40" s="272">
        <f>SUM(D33:D38)</f>
        <v>56</v>
      </c>
      <c r="E40" s="272">
        <f>SUM(E33:E38)</f>
        <v>53</v>
      </c>
      <c r="F40" s="381">
        <f>SUM(F39:K39)</f>
        <v>8</v>
      </c>
      <c r="G40" s="382"/>
      <c r="H40" s="382"/>
      <c r="I40" s="382"/>
      <c r="J40" s="382"/>
      <c r="K40" s="383"/>
      <c r="L40" s="274">
        <f>L39</f>
        <v>56684.25</v>
      </c>
      <c r="M40" s="272">
        <f>SUM(M33:M38)</f>
        <v>3</v>
      </c>
      <c r="N40" s="272">
        <f>SUM(N33:N38)</f>
        <v>56</v>
      </c>
      <c r="O40" s="272">
        <f>SUM(O39)</f>
        <v>4</v>
      </c>
      <c r="P40" s="275">
        <f>SUM(P39)</f>
        <v>6</v>
      </c>
      <c r="Q40" s="125"/>
      <c r="T40" s="145">
        <f>$V$3+L12+L22+L32+L40</f>
        <v>5065004.5699999984</v>
      </c>
    </row>
    <row r="41" spans="1:20" ht="15.6" thickTop="1" thickBot="1">
      <c r="A41" s="73" t="str">
        <f ca="1">OFFSET('0'!$B$112,($A$1-1)*10,$B41-1)</f>
        <v>SS</v>
      </c>
      <c r="B41" s="380">
        <f ca="1">OFFSET('0'!$B$111,($A$1-1)*10,4)</f>
        <v>5</v>
      </c>
      <c r="C41" s="143" t="s">
        <v>53</v>
      </c>
      <c r="D41" s="301">
        <v>2</v>
      </c>
      <c r="E41" s="302">
        <v>2</v>
      </c>
      <c r="F41" s="303"/>
      <c r="G41" s="303"/>
      <c r="H41" s="303"/>
      <c r="I41" s="303"/>
      <c r="J41" s="303"/>
      <c r="K41" s="303"/>
      <c r="L41" s="304"/>
      <c r="M41" s="302">
        <f t="shared" ref="M41:M46" si="12">SUM(D41-E41)</f>
        <v>0</v>
      </c>
      <c r="N41" s="305">
        <f>SUM(E41,M41)</f>
        <v>2</v>
      </c>
      <c r="O41" s="305"/>
      <c r="P41" s="306"/>
      <c r="Q41" s="140"/>
    </row>
    <row r="42" spans="1:20" ht="15.6" thickTop="1" thickBot="1">
      <c r="A42" s="73"/>
      <c r="B42" s="380"/>
      <c r="C42" s="141" t="s">
        <v>158</v>
      </c>
      <c r="D42" s="266">
        <v>4</v>
      </c>
      <c r="E42" s="267">
        <v>4</v>
      </c>
      <c r="F42" s="268">
        <v>3</v>
      </c>
      <c r="G42" s="268"/>
      <c r="H42" s="268"/>
      <c r="I42" s="268">
        <v>1</v>
      </c>
      <c r="J42" s="268">
        <v>2</v>
      </c>
      <c r="K42" s="268"/>
      <c r="L42" s="289">
        <v>5075</v>
      </c>
      <c r="M42" s="267">
        <f t="shared" si="12"/>
        <v>0</v>
      </c>
      <c r="N42" s="269">
        <f>SUM(E42,M42)</f>
        <v>4</v>
      </c>
      <c r="O42" s="269"/>
      <c r="P42" s="290"/>
      <c r="Q42" s="142"/>
    </row>
    <row r="43" spans="1:20" ht="15.6" thickTop="1" thickBot="1">
      <c r="A43" s="73"/>
      <c r="B43" s="380"/>
      <c r="C43" s="143" t="s">
        <v>169</v>
      </c>
      <c r="D43" s="266">
        <v>5</v>
      </c>
      <c r="E43" s="267">
        <v>5</v>
      </c>
      <c r="F43" s="268"/>
      <c r="G43" s="268"/>
      <c r="H43" s="268"/>
      <c r="I43" s="268"/>
      <c r="J43" s="268"/>
      <c r="K43" s="268"/>
      <c r="L43" s="289">
        <v>2600</v>
      </c>
      <c r="M43" s="267">
        <f t="shared" si="12"/>
        <v>0</v>
      </c>
      <c r="N43" s="269">
        <f>SUM(E43,M43)</f>
        <v>5</v>
      </c>
      <c r="O43" s="269"/>
      <c r="P43" s="290"/>
      <c r="Q43" s="142"/>
    </row>
    <row r="44" spans="1:20" ht="15.6" thickTop="1" thickBot="1">
      <c r="A44" s="73"/>
      <c r="B44" s="380"/>
      <c r="C44" s="143" t="s">
        <v>55</v>
      </c>
      <c r="D44" s="266">
        <v>8</v>
      </c>
      <c r="E44" s="267">
        <v>8</v>
      </c>
      <c r="F44" s="268">
        <v>2</v>
      </c>
      <c r="G44" s="268"/>
      <c r="H44" s="268"/>
      <c r="I44" s="268"/>
      <c r="J44" s="268">
        <v>1</v>
      </c>
      <c r="K44" s="268"/>
      <c r="L44" s="289"/>
      <c r="M44" s="267">
        <f t="shared" si="12"/>
        <v>0</v>
      </c>
      <c r="N44" s="269">
        <f t="shared" ref="N44:N46" si="13">SUM(E44,M44)</f>
        <v>8</v>
      </c>
      <c r="O44" s="269"/>
      <c r="P44" s="290"/>
      <c r="Q44" s="142"/>
    </row>
    <row r="45" spans="1:20" ht="15.6" thickTop="1" thickBot="1">
      <c r="A45" s="73"/>
      <c r="B45" s="380"/>
      <c r="C45" s="143" t="s">
        <v>51</v>
      </c>
      <c r="D45" s="266">
        <v>3</v>
      </c>
      <c r="E45" s="267">
        <v>2</v>
      </c>
      <c r="F45" s="268"/>
      <c r="G45" s="268"/>
      <c r="H45" s="268"/>
      <c r="I45" s="268"/>
      <c r="J45" s="268"/>
      <c r="K45" s="268"/>
      <c r="L45" s="289"/>
      <c r="M45" s="267">
        <f t="shared" si="12"/>
        <v>1</v>
      </c>
      <c r="N45" s="269">
        <f t="shared" si="13"/>
        <v>3</v>
      </c>
      <c r="O45" s="269"/>
      <c r="P45" s="290"/>
      <c r="Q45" s="142"/>
    </row>
    <row r="46" spans="1:20" ht="15.6" thickTop="1" thickBot="1">
      <c r="A46" s="73"/>
      <c r="B46" s="380"/>
      <c r="C46" s="143"/>
      <c r="D46" s="266"/>
      <c r="E46" s="267"/>
      <c r="F46" s="268"/>
      <c r="G46" s="268"/>
      <c r="H46" s="268"/>
      <c r="I46" s="268"/>
      <c r="J46" s="268"/>
      <c r="K46" s="268"/>
      <c r="L46" s="291"/>
      <c r="M46" s="267">
        <f t="shared" si="12"/>
        <v>0</v>
      </c>
      <c r="N46" s="269">
        <f t="shared" si="13"/>
        <v>0</v>
      </c>
      <c r="O46" s="269"/>
      <c r="P46" s="290"/>
      <c r="Q46" s="142"/>
    </row>
    <row r="47" spans="1:20" ht="15.6" thickTop="1" thickBot="1">
      <c r="A47" s="73"/>
      <c r="B47" s="380"/>
      <c r="C47" s="144" t="s">
        <v>69</v>
      </c>
      <c r="D47" s="266">
        <f>SUM(D41:D46)</f>
        <v>22</v>
      </c>
      <c r="E47" s="267">
        <f>SUM(E41:E46)</f>
        <v>21</v>
      </c>
      <c r="F47" s="268">
        <f t="shared" ref="F47:K47" si="14">SUM(F41:F46)</f>
        <v>5</v>
      </c>
      <c r="G47" s="268">
        <f t="shared" si="14"/>
        <v>0</v>
      </c>
      <c r="H47" s="268">
        <f t="shared" si="14"/>
        <v>0</v>
      </c>
      <c r="I47" s="268">
        <f t="shared" si="14"/>
        <v>1</v>
      </c>
      <c r="J47" s="268">
        <f t="shared" si="14"/>
        <v>3</v>
      </c>
      <c r="K47" s="268">
        <f t="shared" si="14"/>
        <v>0</v>
      </c>
      <c r="L47" s="307">
        <v>36271.85</v>
      </c>
      <c r="M47" s="271">
        <f>SUM(M41:M46)</f>
        <v>1</v>
      </c>
      <c r="N47" s="279">
        <f>SUM(N41:N46)</f>
        <v>22</v>
      </c>
      <c r="O47" s="131">
        <v>2</v>
      </c>
      <c r="P47" s="146">
        <v>6</v>
      </c>
      <c r="Q47" s="148"/>
    </row>
    <row r="48" spans="1:20" ht="15.6" thickTop="1" thickBot="1">
      <c r="A48" s="73"/>
      <c r="B48" s="380"/>
      <c r="C48" s="124" t="s">
        <v>45</v>
      </c>
      <c r="D48" s="272">
        <f>SUM(D41:D46)</f>
        <v>22</v>
      </c>
      <c r="E48" s="272">
        <f>SUM(E41:E46)</f>
        <v>21</v>
      </c>
      <c r="F48" s="381">
        <f>SUM(F47:K47)</f>
        <v>9</v>
      </c>
      <c r="G48" s="382"/>
      <c r="H48" s="382"/>
      <c r="I48" s="382"/>
      <c r="J48" s="382"/>
      <c r="K48" s="383"/>
      <c r="L48" s="274">
        <f>L47</f>
        <v>36271.85</v>
      </c>
      <c r="M48" s="272">
        <f>SUM(M41:M46)</f>
        <v>1</v>
      </c>
      <c r="N48" s="272">
        <f>SUM(N41:N46)</f>
        <v>22</v>
      </c>
      <c r="O48" s="272">
        <f>SUM(O47)</f>
        <v>2</v>
      </c>
      <c r="P48" s="272">
        <f>SUM(P47)</f>
        <v>6</v>
      </c>
      <c r="Q48" s="125"/>
      <c r="T48" s="145">
        <f>$V$3+L12+L22+L32+L40+L48</f>
        <v>5101276.4199999981</v>
      </c>
    </row>
    <row r="49" spans="1:20" ht="15.6" thickTop="1" thickBot="1">
      <c r="A49" s="73" t="str">
        <f ca="1">OFFSET('0'!$B$112,($A$1-1)*10,$B49-1)</f>
        <v>SK</v>
      </c>
      <c r="B49" s="380">
        <f ca="1">OFFSET('0'!$B$111,($A$1-1)*10,5)</f>
        <v>6</v>
      </c>
      <c r="C49" s="143" t="s">
        <v>51</v>
      </c>
      <c r="D49" s="301">
        <v>0</v>
      </c>
      <c r="E49" s="302">
        <v>0</v>
      </c>
      <c r="F49" s="303"/>
      <c r="G49" s="303"/>
      <c r="H49" s="303"/>
      <c r="I49" s="303"/>
      <c r="J49" s="303"/>
      <c r="K49" s="303"/>
      <c r="L49" s="304"/>
      <c r="M49" s="302">
        <f t="shared" ref="M49:M54" si="15">SUM(D49-E49)</f>
        <v>0</v>
      </c>
      <c r="N49" s="305">
        <f t="shared" ref="N49:N54" si="16">SUM(E49,M49)</f>
        <v>0</v>
      </c>
      <c r="O49" s="305"/>
      <c r="P49" s="306"/>
      <c r="Q49" s="140"/>
    </row>
    <row r="50" spans="1:20" ht="15.6" thickTop="1" thickBot="1">
      <c r="A50" s="73"/>
      <c r="B50" s="380"/>
      <c r="C50" s="141" t="s">
        <v>158</v>
      </c>
      <c r="D50" s="266">
        <v>3</v>
      </c>
      <c r="E50" s="267">
        <v>3</v>
      </c>
      <c r="F50" s="268"/>
      <c r="G50" s="268"/>
      <c r="H50" s="268"/>
      <c r="I50" s="268">
        <v>1</v>
      </c>
      <c r="J50" s="268"/>
      <c r="K50" s="268"/>
      <c r="L50" s="289">
        <v>3600</v>
      </c>
      <c r="M50" s="267">
        <f t="shared" si="15"/>
        <v>0</v>
      </c>
      <c r="N50" s="269">
        <f t="shared" si="16"/>
        <v>3</v>
      </c>
      <c r="O50" s="269"/>
      <c r="P50" s="290"/>
      <c r="Q50" s="142"/>
    </row>
    <row r="51" spans="1:20" ht="15.6" thickTop="1" thickBot="1">
      <c r="A51" s="73"/>
      <c r="B51" s="380"/>
      <c r="C51" s="143" t="s">
        <v>169</v>
      </c>
      <c r="D51" s="266">
        <v>4</v>
      </c>
      <c r="E51" s="267">
        <v>4</v>
      </c>
      <c r="F51" s="268"/>
      <c r="G51" s="268"/>
      <c r="H51" s="268"/>
      <c r="I51" s="268"/>
      <c r="J51" s="268"/>
      <c r="K51" s="268"/>
      <c r="L51" s="289"/>
      <c r="M51" s="267">
        <f t="shared" si="15"/>
        <v>0</v>
      </c>
      <c r="N51" s="269">
        <f t="shared" si="16"/>
        <v>4</v>
      </c>
      <c r="O51" s="269"/>
      <c r="P51" s="290"/>
      <c r="Q51" s="142"/>
    </row>
    <row r="52" spans="1:20" ht="15.6" thickTop="1" thickBot="1">
      <c r="A52" s="73"/>
      <c r="B52" s="380"/>
      <c r="C52" s="143" t="s">
        <v>49</v>
      </c>
      <c r="D52" s="266">
        <v>7</v>
      </c>
      <c r="E52" s="267">
        <v>7</v>
      </c>
      <c r="F52" s="268">
        <v>5</v>
      </c>
      <c r="G52" s="268"/>
      <c r="H52" s="268"/>
      <c r="I52" s="268">
        <v>1</v>
      </c>
      <c r="J52" s="268">
        <v>1</v>
      </c>
      <c r="K52" s="268"/>
      <c r="L52" s="289"/>
      <c r="M52" s="267">
        <f t="shared" si="15"/>
        <v>0</v>
      </c>
      <c r="N52" s="269">
        <f t="shared" si="16"/>
        <v>7</v>
      </c>
      <c r="O52" s="269"/>
      <c r="P52" s="290"/>
      <c r="Q52" s="142"/>
    </row>
    <row r="53" spans="1:20" ht="15.6" thickTop="1" thickBot="1">
      <c r="A53" s="73"/>
      <c r="B53" s="380"/>
      <c r="C53" s="143" t="s">
        <v>64</v>
      </c>
      <c r="D53" s="266">
        <v>5</v>
      </c>
      <c r="E53" s="267">
        <v>5</v>
      </c>
      <c r="F53" s="268">
        <v>11</v>
      </c>
      <c r="G53" s="268"/>
      <c r="H53" s="268"/>
      <c r="I53" s="268"/>
      <c r="J53" s="268">
        <v>2</v>
      </c>
      <c r="K53" s="268"/>
      <c r="L53" s="289"/>
      <c r="M53" s="267">
        <f t="shared" si="15"/>
        <v>0</v>
      </c>
      <c r="N53" s="269">
        <f t="shared" si="16"/>
        <v>5</v>
      </c>
      <c r="O53" s="279"/>
      <c r="P53" s="292"/>
      <c r="Q53" s="148"/>
    </row>
    <row r="54" spans="1:20" ht="15.6" thickTop="1" thickBot="1">
      <c r="A54" s="73"/>
      <c r="B54" s="380"/>
      <c r="C54" s="143"/>
      <c r="D54" s="266"/>
      <c r="E54" s="267"/>
      <c r="F54" s="268"/>
      <c r="G54" s="268"/>
      <c r="H54" s="268"/>
      <c r="I54" s="268"/>
      <c r="J54" s="268"/>
      <c r="K54" s="268"/>
      <c r="L54" s="291"/>
      <c r="M54" s="267">
        <f t="shared" si="15"/>
        <v>0</v>
      </c>
      <c r="N54" s="279">
        <f t="shared" si="16"/>
        <v>0</v>
      </c>
      <c r="O54" s="279"/>
      <c r="P54" s="292"/>
      <c r="Q54" s="148"/>
    </row>
    <row r="55" spans="1:20" ht="15.6" thickTop="1" thickBot="1">
      <c r="A55" s="73"/>
      <c r="B55" s="380"/>
      <c r="C55" s="144" t="s">
        <v>69</v>
      </c>
      <c r="D55" s="266">
        <f>SUM(D49:D54)</f>
        <v>19</v>
      </c>
      <c r="E55" s="267">
        <f>SUM(E49:E54)</f>
        <v>19</v>
      </c>
      <c r="F55" s="268">
        <f t="shared" ref="F55:K55" si="17">SUM(F49:F54)</f>
        <v>16</v>
      </c>
      <c r="G55" s="268">
        <f t="shared" si="17"/>
        <v>0</v>
      </c>
      <c r="H55" s="268">
        <f t="shared" si="17"/>
        <v>0</v>
      </c>
      <c r="I55" s="268">
        <f t="shared" si="17"/>
        <v>2</v>
      </c>
      <c r="J55" s="268">
        <f t="shared" si="17"/>
        <v>3</v>
      </c>
      <c r="K55" s="268">
        <f t="shared" si="17"/>
        <v>0</v>
      </c>
      <c r="L55" s="307">
        <v>23099</v>
      </c>
      <c r="M55" s="271">
        <f>SUM(M49:M54)</f>
        <v>0</v>
      </c>
      <c r="N55" s="280">
        <f>SUM(N49:N54)</f>
        <v>19</v>
      </c>
      <c r="O55" s="149">
        <v>3</v>
      </c>
      <c r="P55" s="150">
        <v>2</v>
      </c>
      <c r="Q55" s="148"/>
    </row>
    <row r="56" spans="1:20" ht="15.6" thickTop="1" thickBot="1">
      <c r="A56" s="73"/>
      <c r="B56" s="380"/>
      <c r="C56" s="132" t="s">
        <v>45</v>
      </c>
      <c r="D56" s="281">
        <f>SUM(D49:D54)</f>
        <v>19</v>
      </c>
      <c r="E56" s="281">
        <f>SUM(E49:E54)</f>
        <v>19</v>
      </c>
      <c r="F56" s="381">
        <f>SUM(F55:K55)</f>
        <v>21</v>
      </c>
      <c r="G56" s="382"/>
      <c r="H56" s="382"/>
      <c r="I56" s="382"/>
      <c r="J56" s="382"/>
      <c r="K56" s="383"/>
      <c r="L56" s="282">
        <f>L55</f>
        <v>23099</v>
      </c>
      <c r="M56" s="272">
        <f>SUM(M49:M54)</f>
        <v>0</v>
      </c>
      <c r="N56" s="272">
        <f>SUM(N49:N54)</f>
        <v>19</v>
      </c>
      <c r="O56" s="272">
        <f>SUM(O55)</f>
        <v>3</v>
      </c>
      <c r="P56" s="272">
        <f>SUM(P55)</f>
        <v>2</v>
      </c>
      <c r="Q56" s="133"/>
      <c r="T56" s="145">
        <f>$V$3+L12+L22+L32+L40+L48+L56</f>
        <v>5124375.4199999981</v>
      </c>
    </row>
    <row r="57" spans="1:20" ht="15.6" thickTop="1" thickBot="1">
      <c r="A57" s="73" t="str">
        <f ca="1">OFFSET('0'!$B$112,($A$1-1)*10,$B57-1)</f>
        <v>--</v>
      </c>
      <c r="B57" s="380">
        <f ca="1">OFFSET('0'!$B$111,($A$1-1)*10,6)</f>
        <v>7</v>
      </c>
      <c r="C57" s="143" t="s">
        <v>64</v>
      </c>
      <c r="D57" s="301">
        <v>0</v>
      </c>
      <c r="E57" s="302"/>
      <c r="F57" s="303"/>
      <c r="G57" s="303"/>
      <c r="H57" s="303"/>
      <c r="I57" s="303"/>
      <c r="J57" s="303"/>
      <c r="K57" s="303"/>
      <c r="L57" s="304"/>
      <c r="M57" s="302">
        <f t="shared" ref="M57:M62" si="18">SUM(D57-E57)</f>
        <v>0</v>
      </c>
      <c r="N57" s="305">
        <f t="shared" ref="N57:N62" si="19">SUM(E57,M57)</f>
        <v>0</v>
      </c>
      <c r="O57" s="305"/>
      <c r="P57" s="306"/>
      <c r="Q57" s="140"/>
    </row>
    <row r="58" spans="1:20" ht="15.6" thickTop="1" thickBot="1">
      <c r="A58" s="73"/>
      <c r="B58" s="380"/>
      <c r="C58" s="141" t="s">
        <v>160</v>
      </c>
      <c r="D58" s="266">
        <v>14</v>
      </c>
      <c r="E58" s="267">
        <v>14</v>
      </c>
      <c r="F58" s="268">
        <v>1</v>
      </c>
      <c r="G58" s="268"/>
      <c r="H58" s="268"/>
      <c r="I58" s="268"/>
      <c r="J58" s="268">
        <v>1</v>
      </c>
      <c r="K58" s="268"/>
      <c r="L58" s="289">
        <v>54031.09</v>
      </c>
      <c r="M58" s="267">
        <f t="shared" si="18"/>
        <v>0</v>
      </c>
      <c r="N58" s="269">
        <f t="shared" si="19"/>
        <v>14</v>
      </c>
      <c r="O58" s="269"/>
      <c r="P58" s="290"/>
      <c r="Q58" s="142"/>
    </row>
    <row r="59" spans="1:20" ht="15.6" thickTop="1" thickBot="1">
      <c r="A59" s="73"/>
      <c r="B59" s="380"/>
      <c r="C59" s="141" t="s">
        <v>46</v>
      </c>
      <c r="D59" s="266">
        <v>22</v>
      </c>
      <c r="E59" s="267">
        <v>22</v>
      </c>
      <c r="F59" s="268">
        <v>1</v>
      </c>
      <c r="G59" s="268"/>
      <c r="H59" s="268"/>
      <c r="I59" s="268">
        <v>1</v>
      </c>
      <c r="J59" s="268">
        <v>2</v>
      </c>
      <c r="K59" s="268"/>
      <c r="L59" s="289"/>
      <c r="M59" s="267">
        <f t="shared" si="18"/>
        <v>0</v>
      </c>
      <c r="N59" s="269">
        <f t="shared" si="19"/>
        <v>22</v>
      </c>
      <c r="O59" s="269"/>
      <c r="P59" s="290"/>
      <c r="Q59" s="142"/>
    </row>
    <row r="60" spans="1:20" ht="15.6" thickTop="1" thickBot="1">
      <c r="A60" s="73"/>
      <c r="B60" s="380"/>
      <c r="C60" s="143" t="s">
        <v>164</v>
      </c>
      <c r="D60" s="266">
        <v>24</v>
      </c>
      <c r="E60" s="267">
        <v>24</v>
      </c>
      <c r="F60" s="268">
        <v>1</v>
      </c>
      <c r="G60" s="268"/>
      <c r="H60" s="268"/>
      <c r="I60" s="268"/>
      <c r="J60" s="268">
        <v>2</v>
      </c>
      <c r="K60" s="268"/>
      <c r="L60" s="289"/>
      <c r="M60" s="267">
        <f t="shared" si="18"/>
        <v>0</v>
      </c>
      <c r="N60" s="269">
        <f t="shared" si="19"/>
        <v>24</v>
      </c>
      <c r="O60" s="269"/>
      <c r="P60" s="290"/>
      <c r="Q60" s="142"/>
    </row>
    <row r="61" spans="1:20" ht="15.6" thickTop="1" thickBot="1">
      <c r="A61" s="73"/>
      <c r="B61" s="380"/>
      <c r="C61" s="143" t="s">
        <v>56</v>
      </c>
      <c r="D61" s="266">
        <v>17</v>
      </c>
      <c r="E61" s="267">
        <v>17</v>
      </c>
      <c r="F61" s="268">
        <v>2</v>
      </c>
      <c r="G61" s="268"/>
      <c r="H61" s="268"/>
      <c r="I61" s="268">
        <v>1</v>
      </c>
      <c r="J61" s="268"/>
      <c r="K61" s="268"/>
      <c r="L61" s="289"/>
      <c r="M61" s="267">
        <f t="shared" si="18"/>
        <v>0</v>
      </c>
      <c r="N61" s="269">
        <f t="shared" si="19"/>
        <v>17</v>
      </c>
      <c r="O61" s="279"/>
      <c r="P61" s="292"/>
      <c r="Q61" s="148"/>
    </row>
    <row r="62" spans="1:20" ht="15.6" thickTop="1" thickBot="1">
      <c r="A62" s="73"/>
      <c r="B62" s="380"/>
      <c r="C62" s="143" t="s">
        <v>51</v>
      </c>
      <c r="D62" s="266">
        <v>13</v>
      </c>
      <c r="E62" s="267">
        <v>12</v>
      </c>
      <c r="F62" s="268">
        <v>2</v>
      </c>
      <c r="G62" s="268"/>
      <c r="H62" s="268"/>
      <c r="I62" s="268">
        <v>1</v>
      </c>
      <c r="J62" s="268"/>
      <c r="K62" s="268"/>
      <c r="L62" s="291"/>
      <c r="M62" s="267">
        <f t="shared" si="18"/>
        <v>1</v>
      </c>
      <c r="N62" s="279">
        <f t="shared" si="19"/>
        <v>13</v>
      </c>
      <c r="O62" s="279"/>
      <c r="P62" s="292"/>
      <c r="Q62" s="148"/>
    </row>
    <row r="63" spans="1:20" ht="15.6" thickTop="1" thickBot="1">
      <c r="A63" s="73"/>
      <c r="B63" s="380"/>
      <c r="C63" s="144" t="s">
        <v>69</v>
      </c>
      <c r="D63" s="266">
        <f>SUM(D57:D62)</f>
        <v>90</v>
      </c>
      <c r="E63" s="267">
        <f>SUM(E57:E62)</f>
        <v>89</v>
      </c>
      <c r="F63" s="268">
        <f t="shared" ref="F63:K63" si="20">SUM(F57:F62)</f>
        <v>7</v>
      </c>
      <c r="G63" s="268">
        <f t="shared" si="20"/>
        <v>0</v>
      </c>
      <c r="H63" s="268">
        <f t="shared" si="20"/>
        <v>0</v>
      </c>
      <c r="I63" s="268">
        <f t="shared" si="20"/>
        <v>3</v>
      </c>
      <c r="J63" s="268">
        <f t="shared" si="20"/>
        <v>5</v>
      </c>
      <c r="K63" s="268">
        <f t="shared" si="20"/>
        <v>0</v>
      </c>
      <c r="L63" s="307">
        <v>119688.53</v>
      </c>
      <c r="M63" s="271">
        <f>SUM(M57:M62)</f>
        <v>1</v>
      </c>
      <c r="N63" s="280">
        <f>SUM(N57:N62)</f>
        <v>90</v>
      </c>
      <c r="O63" s="149">
        <v>5</v>
      </c>
      <c r="P63" s="150">
        <v>7</v>
      </c>
      <c r="Q63" s="148"/>
    </row>
    <row r="64" spans="1:20" ht="15.6" thickTop="1" thickBot="1">
      <c r="A64" s="73"/>
      <c r="B64" s="380"/>
      <c r="C64" s="124" t="s">
        <v>45</v>
      </c>
      <c r="D64" s="272">
        <f>SUM(D57:D62)</f>
        <v>90</v>
      </c>
      <c r="E64" s="272">
        <f>SUM(E57:E62)</f>
        <v>89</v>
      </c>
      <c r="F64" s="381">
        <f>SUM(F63:K63)</f>
        <v>15</v>
      </c>
      <c r="G64" s="382"/>
      <c r="H64" s="382"/>
      <c r="I64" s="382"/>
      <c r="J64" s="382"/>
      <c r="K64" s="383"/>
      <c r="L64" s="283">
        <f>L63</f>
        <v>119688.53</v>
      </c>
      <c r="M64" s="272">
        <f>SUM(M57:M62)</f>
        <v>1</v>
      </c>
      <c r="N64" s="272">
        <f>SUM(N57:N62)</f>
        <v>90</v>
      </c>
      <c r="O64" s="272">
        <f>SUM(O63)</f>
        <v>5</v>
      </c>
      <c r="P64" s="272">
        <f>SUM(P63)</f>
        <v>7</v>
      </c>
      <c r="Q64" s="125"/>
      <c r="T64" s="145">
        <f>$V$3+L12+L22+L32+L40+L48+L56+L64</f>
        <v>5244063.9499999983</v>
      </c>
    </row>
    <row r="65" spans="1:20" ht="15.6" thickTop="1" thickBot="1">
      <c r="A65" s="73" t="str">
        <f ca="1">OFFSET('0'!$B$112,($A$1-1)*10,$B65-1)</f>
        <v>--</v>
      </c>
      <c r="B65" s="380">
        <f ca="1">OFFSET('0'!$B$111,($A$1-1)*10,7)</f>
        <v>8</v>
      </c>
      <c r="C65" s="143" t="s">
        <v>51</v>
      </c>
      <c r="D65" s="301">
        <v>5</v>
      </c>
      <c r="E65" s="302">
        <v>5</v>
      </c>
      <c r="F65" s="303"/>
      <c r="G65" s="303"/>
      <c r="H65" s="303"/>
      <c r="I65" s="303"/>
      <c r="J65" s="303"/>
      <c r="K65" s="303"/>
      <c r="L65" s="304"/>
      <c r="M65" s="302">
        <f t="shared" ref="M65:M70" si="21">SUM(D65-E65)</f>
        <v>0</v>
      </c>
      <c r="N65" s="305">
        <f t="shared" ref="N65:N70" si="22">SUM(E65,M65)</f>
        <v>5</v>
      </c>
      <c r="O65" s="305"/>
      <c r="P65" s="306"/>
      <c r="Q65" s="140"/>
    </row>
    <row r="66" spans="1:20" ht="15.6" thickTop="1" thickBot="1">
      <c r="A66" s="73"/>
      <c r="B66" s="380"/>
      <c r="C66" s="141" t="s">
        <v>46</v>
      </c>
      <c r="D66" s="266">
        <v>14</v>
      </c>
      <c r="E66" s="267">
        <v>14</v>
      </c>
      <c r="F66" s="268">
        <v>5</v>
      </c>
      <c r="G66" s="268">
        <v>6</v>
      </c>
      <c r="H66" s="268"/>
      <c r="I66" s="268"/>
      <c r="J66" s="268">
        <v>3</v>
      </c>
      <c r="K66" s="268"/>
      <c r="L66" s="289"/>
      <c r="M66" s="267">
        <f t="shared" si="21"/>
        <v>0</v>
      </c>
      <c r="N66" s="269">
        <f t="shared" si="22"/>
        <v>14</v>
      </c>
      <c r="O66" s="269"/>
      <c r="P66" s="290"/>
      <c r="Q66" s="142"/>
    </row>
    <row r="67" spans="1:20" ht="15.6" thickTop="1" thickBot="1">
      <c r="A67" s="73"/>
      <c r="B67" s="380"/>
      <c r="C67" s="141" t="s">
        <v>50</v>
      </c>
      <c r="D67" s="266">
        <v>15</v>
      </c>
      <c r="E67" s="267">
        <v>14</v>
      </c>
      <c r="F67" s="268">
        <v>3</v>
      </c>
      <c r="G67" s="268">
        <v>3</v>
      </c>
      <c r="H67" s="268"/>
      <c r="I67" s="268"/>
      <c r="J67" s="268"/>
      <c r="K67" s="268"/>
      <c r="L67" s="289">
        <v>8472</v>
      </c>
      <c r="M67" s="267">
        <f t="shared" si="21"/>
        <v>1</v>
      </c>
      <c r="N67" s="269">
        <f t="shared" si="22"/>
        <v>15</v>
      </c>
      <c r="O67" s="269"/>
      <c r="P67" s="290"/>
      <c r="Q67" s="142"/>
    </row>
    <row r="68" spans="1:20" ht="15.6" thickTop="1" thickBot="1">
      <c r="A68" s="73"/>
      <c r="B68" s="380"/>
      <c r="C68" s="143" t="s">
        <v>164</v>
      </c>
      <c r="D68" s="266">
        <v>16</v>
      </c>
      <c r="E68" s="267">
        <v>15</v>
      </c>
      <c r="F68" s="268">
        <v>1</v>
      </c>
      <c r="G68" s="268">
        <v>6</v>
      </c>
      <c r="H68" s="268"/>
      <c r="I68" s="268">
        <v>1</v>
      </c>
      <c r="J68" s="268"/>
      <c r="K68" s="268"/>
      <c r="L68" s="289">
        <v>1</v>
      </c>
      <c r="M68" s="267">
        <f t="shared" si="21"/>
        <v>1</v>
      </c>
      <c r="N68" s="269">
        <f t="shared" si="22"/>
        <v>16</v>
      </c>
      <c r="O68" s="269"/>
      <c r="P68" s="290"/>
      <c r="Q68" s="142"/>
    </row>
    <row r="69" spans="1:20" ht="15.6" thickTop="1" thickBot="1">
      <c r="A69" s="73"/>
      <c r="B69" s="380"/>
      <c r="C69" s="143" t="s">
        <v>56</v>
      </c>
      <c r="D69" s="266">
        <v>13</v>
      </c>
      <c r="E69" s="267">
        <v>13</v>
      </c>
      <c r="F69" s="268"/>
      <c r="G69" s="268">
        <v>2</v>
      </c>
      <c r="H69" s="268"/>
      <c r="I69" s="268">
        <v>1</v>
      </c>
      <c r="J69" s="268">
        <v>1</v>
      </c>
      <c r="K69" s="268"/>
      <c r="L69" s="289"/>
      <c r="M69" s="267">
        <f t="shared" si="21"/>
        <v>0</v>
      </c>
      <c r="N69" s="269">
        <f t="shared" si="22"/>
        <v>13</v>
      </c>
      <c r="O69" s="279"/>
      <c r="P69" s="292"/>
      <c r="Q69" s="148"/>
    </row>
    <row r="70" spans="1:20" ht="15.6" thickTop="1" thickBot="1">
      <c r="A70" s="73"/>
      <c r="B70" s="380"/>
      <c r="C70" s="143" t="s">
        <v>161</v>
      </c>
      <c r="D70" s="266">
        <v>11</v>
      </c>
      <c r="E70" s="267">
        <v>11</v>
      </c>
      <c r="F70" s="268">
        <v>6</v>
      </c>
      <c r="G70" s="268">
        <v>1</v>
      </c>
      <c r="H70" s="268"/>
      <c r="I70" s="268"/>
      <c r="J70" s="268"/>
      <c r="K70" s="268"/>
      <c r="L70" s="291"/>
      <c r="M70" s="267">
        <f t="shared" si="21"/>
        <v>0</v>
      </c>
      <c r="N70" s="279">
        <f t="shared" si="22"/>
        <v>11</v>
      </c>
      <c r="O70" s="279"/>
      <c r="P70" s="292"/>
      <c r="Q70" s="148"/>
    </row>
    <row r="71" spans="1:20" ht="15.6" thickTop="1" thickBot="1">
      <c r="A71" s="73"/>
      <c r="B71" s="380"/>
      <c r="C71" s="144" t="s">
        <v>69</v>
      </c>
      <c r="D71" s="266">
        <f>SUM(D65:D70)</f>
        <v>74</v>
      </c>
      <c r="E71" s="267">
        <f>SUM(E65:E70)</f>
        <v>72</v>
      </c>
      <c r="F71" s="268">
        <f t="shared" ref="F71:K71" si="23">SUM(F65:F70)</f>
        <v>15</v>
      </c>
      <c r="G71" s="268">
        <f t="shared" si="23"/>
        <v>18</v>
      </c>
      <c r="H71" s="268">
        <f t="shared" si="23"/>
        <v>0</v>
      </c>
      <c r="I71" s="268">
        <f t="shared" si="23"/>
        <v>2</v>
      </c>
      <c r="J71" s="268">
        <f t="shared" si="23"/>
        <v>4</v>
      </c>
      <c r="K71" s="268">
        <f t="shared" si="23"/>
        <v>0</v>
      </c>
      <c r="L71" s="307">
        <v>38737.25</v>
      </c>
      <c r="M71" s="271">
        <f>SUM(M65:M70)</f>
        <v>2</v>
      </c>
      <c r="N71" s="280">
        <f>SUM(N65:N70)</f>
        <v>74</v>
      </c>
      <c r="O71" s="149">
        <v>3</v>
      </c>
      <c r="P71" s="150">
        <v>6</v>
      </c>
      <c r="Q71" s="148"/>
    </row>
    <row r="72" spans="1:20" ht="15.6" thickTop="1" thickBot="1">
      <c r="A72" s="73"/>
      <c r="B72" s="380"/>
      <c r="C72" s="124" t="s">
        <v>45</v>
      </c>
      <c r="D72" s="272">
        <f>SUM(D65:D70)</f>
        <v>74</v>
      </c>
      <c r="E72" s="272">
        <f>SUM(E65:E70)</f>
        <v>72</v>
      </c>
      <c r="F72" s="381">
        <f>SUM(F71:K71)</f>
        <v>39</v>
      </c>
      <c r="G72" s="382"/>
      <c r="H72" s="382"/>
      <c r="I72" s="382"/>
      <c r="J72" s="382"/>
      <c r="K72" s="383"/>
      <c r="L72" s="274">
        <f>L71</f>
        <v>38737.25</v>
      </c>
      <c r="M72" s="272">
        <f>SUM(M65:M70)</f>
        <v>2</v>
      </c>
      <c r="N72" s="272">
        <f>SUM(N65:N70)</f>
        <v>74</v>
      </c>
      <c r="O72" s="272">
        <f>SUM(O71)</f>
        <v>3</v>
      </c>
      <c r="P72" s="272">
        <f>SUM(P71)</f>
        <v>6</v>
      </c>
      <c r="Q72" s="125"/>
      <c r="T72" s="145">
        <f>$V$3+L12+L22+L32+L40+L48+L56+L64+L72</f>
        <v>5282801.1999999983</v>
      </c>
    </row>
    <row r="73" spans="1:20" ht="15.6" thickTop="1" thickBot="1">
      <c r="A73" s="73" t="str">
        <f ca="1">OFFSET('0'!$B$112,($A$1-1)*10,$B73-1)</f>
        <v>--</v>
      </c>
      <c r="B73" s="380">
        <f ca="1">OFFSET('0'!$B$111,($A$1-1)*10,8)</f>
        <v>9</v>
      </c>
      <c r="C73" s="143" t="s">
        <v>161</v>
      </c>
      <c r="D73" s="301">
        <v>1</v>
      </c>
      <c r="E73" s="302">
        <v>1</v>
      </c>
      <c r="F73" s="303">
        <v>1</v>
      </c>
      <c r="G73" s="303"/>
      <c r="H73" s="303"/>
      <c r="I73" s="303"/>
      <c r="J73" s="303"/>
      <c r="K73" s="303"/>
      <c r="L73" s="304"/>
      <c r="M73" s="302">
        <f t="shared" ref="M73:M78" si="24">SUM(D73-E73)</f>
        <v>0</v>
      </c>
      <c r="N73" s="305">
        <f>SUM(E73,M73)</f>
        <v>1</v>
      </c>
      <c r="O73" s="305"/>
      <c r="P73" s="306"/>
      <c r="Q73" s="140"/>
    </row>
    <row r="74" spans="1:20" ht="15.6" thickTop="1" thickBot="1">
      <c r="A74" s="73"/>
      <c r="B74" s="380"/>
      <c r="C74" s="141" t="s">
        <v>46</v>
      </c>
      <c r="D74" s="266">
        <v>18</v>
      </c>
      <c r="E74" s="267">
        <v>18</v>
      </c>
      <c r="F74" s="268">
        <v>3</v>
      </c>
      <c r="G74" s="268">
        <v>8</v>
      </c>
      <c r="H74" s="268"/>
      <c r="I74" s="268"/>
      <c r="J74" s="268"/>
      <c r="K74" s="268"/>
      <c r="L74" s="289"/>
      <c r="M74" s="267">
        <f t="shared" si="24"/>
        <v>0</v>
      </c>
      <c r="N74" s="269">
        <f>SUM(E74,M74)</f>
        <v>18</v>
      </c>
      <c r="O74" s="269"/>
      <c r="P74" s="290"/>
      <c r="Q74" s="142"/>
    </row>
    <row r="75" spans="1:20" ht="15.6" thickTop="1" thickBot="1">
      <c r="A75" s="73"/>
      <c r="B75" s="380"/>
      <c r="C75" s="141" t="s">
        <v>50</v>
      </c>
      <c r="D75" s="266">
        <v>19</v>
      </c>
      <c r="E75" s="267">
        <v>18</v>
      </c>
      <c r="F75" s="268">
        <v>2</v>
      </c>
      <c r="G75" s="268">
        <v>6</v>
      </c>
      <c r="H75" s="268"/>
      <c r="I75" s="268">
        <v>2</v>
      </c>
      <c r="J75" s="268">
        <v>1</v>
      </c>
      <c r="K75" s="268"/>
      <c r="L75" s="289"/>
      <c r="M75" s="267">
        <f t="shared" si="24"/>
        <v>1</v>
      </c>
      <c r="N75" s="269">
        <f>SUM(E75,M75)</f>
        <v>19</v>
      </c>
      <c r="O75" s="269"/>
      <c r="P75" s="290"/>
      <c r="Q75" s="142"/>
    </row>
    <row r="76" spans="1:20" ht="15.6" thickTop="1" thickBot="1">
      <c r="A76" s="73"/>
      <c r="B76" s="380"/>
      <c r="C76" s="143" t="s">
        <v>49</v>
      </c>
      <c r="D76" s="266">
        <v>17</v>
      </c>
      <c r="E76" s="267">
        <v>15</v>
      </c>
      <c r="F76" s="268">
        <v>3</v>
      </c>
      <c r="G76" s="268">
        <v>14</v>
      </c>
      <c r="H76" s="268"/>
      <c r="I76" s="268">
        <v>1</v>
      </c>
      <c r="J76" s="268">
        <v>1</v>
      </c>
      <c r="K76" s="268"/>
      <c r="L76" s="289"/>
      <c r="M76" s="267">
        <f t="shared" si="24"/>
        <v>2</v>
      </c>
      <c r="N76" s="269">
        <f>SUM(E76,M76)</f>
        <v>17</v>
      </c>
      <c r="O76" s="269"/>
      <c r="P76" s="290"/>
      <c r="Q76" s="142"/>
    </row>
    <row r="77" spans="1:20" ht="15.6" thickTop="1" thickBot="1">
      <c r="A77" s="73"/>
      <c r="B77" s="380"/>
      <c r="C77" s="143" t="s">
        <v>56</v>
      </c>
      <c r="D77" s="266">
        <v>16</v>
      </c>
      <c r="E77" s="267">
        <v>16</v>
      </c>
      <c r="F77" s="268">
        <v>3</v>
      </c>
      <c r="G77" s="268">
        <v>7</v>
      </c>
      <c r="H77" s="268"/>
      <c r="I77" s="268"/>
      <c r="J77" s="268">
        <v>2</v>
      </c>
      <c r="K77" s="268"/>
      <c r="L77" s="289"/>
      <c r="M77" s="267">
        <f t="shared" si="24"/>
        <v>0</v>
      </c>
      <c r="N77" s="269">
        <f t="shared" ref="N77:N78" si="25">SUM(E77,M77)</f>
        <v>16</v>
      </c>
      <c r="O77" s="269"/>
      <c r="P77" s="290"/>
      <c r="Q77" s="142"/>
    </row>
    <row r="78" spans="1:20" ht="15.6" thickTop="1" thickBot="1">
      <c r="A78" s="73"/>
      <c r="B78" s="380"/>
      <c r="C78" s="143" t="s">
        <v>163</v>
      </c>
      <c r="D78" s="266">
        <v>14</v>
      </c>
      <c r="E78" s="267">
        <v>13</v>
      </c>
      <c r="F78" s="268"/>
      <c r="G78" s="268">
        <v>4</v>
      </c>
      <c r="H78" s="268"/>
      <c r="I78" s="268">
        <v>2</v>
      </c>
      <c r="J78" s="268">
        <v>2</v>
      </c>
      <c r="K78" s="268"/>
      <c r="L78" s="291"/>
      <c r="M78" s="267">
        <f t="shared" si="24"/>
        <v>1</v>
      </c>
      <c r="N78" s="269">
        <f t="shared" si="25"/>
        <v>14</v>
      </c>
      <c r="O78" s="269"/>
      <c r="P78" s="290"/>
      <c r="Q78" s="142"/>
    </row>
    <row r="79" spans="1:20" ht="15.6" thickTop="1" thickBot="1">
      <c r="A79" s="73"/>
      <c r="B79" s="380"/>
      <c r="C79" s="144" t="s">
        <v>69</v>
      </c>
      <c r="D79" s="266">
        <f>SUM(D73:D78)</f>
        <v>85</v>
      </c>
      <c r="E79" s="267">
        <f>SUM(E73:E78)</f>
        <v>81</v>
      </c>
      <c r="F79" s="268">
        <f t="shared" ref="F79:K79" si="26">SUM(F73:F78)</f>
        <v>12</v>
      </c>
      <c r="G79" s="268">
        <f t="shared" si="26"/>
        <v>39</v>
      </c>
      <c r="H79" s="268">
        <f t="shared" si="26"/>
        <v>0</v>
      </c>
      <c r="I79" s="268">
        <f t="shared" si="26"/>
        <v>5</v>
      </c>
      <c r="J79" s="268">
        <f t="shared" si="26"/>
        <v>6</v>
      </c>
      <c r="K79" s="268">
        <f t="shared" si="26"/>
        <v>0</v>
      </c>
      <c r="L79" s="307">
        <v>80976.7</v>
      </c>
      <c r="M79" s="271">
        <f>SUM(M73:M78)</f>
        <v>4</v>
      </c>
      <c r="N79" s="269">
        <f>SUM(N73:N78)</f>
        <v>85</v>
      </c>
      <c r="O79" s="129"/>
      <c r="P79" s="130"/>
      <c r="Q79" s="142"/>
    </row>
    <row r="80" spans="1:20" ht="15.6" thickTop="1" thickBot="1">
      <c r="A80" s="73"/>
      <c r="B80" s="380"/>
      <c r="C80" s="124" t="s">
        <v>45</v>
      </c>
      <c r="D80" s="272">
        <f>SUM(D73:D78)</f>
        <v>85</v>
      </c>
      <c r="E80" s="272">
        <f>SUM(E73:E78)</f>
        <v>81</v>
      </c>
      <c r="F80" s="381">
        <f>SUM(F79:K79)</f>
        <v>62</v>
      </c>
      <c r="G80" s="382"/>
      <c r="H80" s="382"/>
      <c r="I80" s="382"/>
      <c r="J80" s="382"/>
      <c r="K80" s="383"/>
      <c r="L80" s="274">
        <f>L79</f>
        <v>80976.7</v>
      </c>
      <c r="M80" s="272">
        <f>SUM(M73:M78)</f>
        <v>4</v>
      </c>
      <c r="N80" s="272">
        <f>SUM(N73:N78)</f>
        <v>85</v>
      </c>
      <c r="O80" s="272">
        <f>SUM(O79)</f>
        <v>0</v>
      </c>
      <c r="P80" s="275">
        <f>SUM(P79)</f>
        <v>0</v>
      </c>
      <c r="Q80" s="125"/>
      <c r="T80" s="145">
        <f>$V$3+L12+L22+L32+L40+L48+L56+L64+L72+L80</f>
        <v>5363777.8999999985</v>
      </c>
    </row>
    <row r="81" spans="1:20" ht="15.6" thickTop="1" thickBot="1">
      <c r="A81" s="73" t="str">
        <f ca="1">OFFSET('0'!$B$112,($A$1-1)*10,$B81-1)</f>
        <v>--</v>
      </c>
      <c r="B81" s="380">
        <f ca="1">OFFSET('0'!$B$111,($A$1-1)*10,9)</f>
        <v>10</v>
      </c>
      <c r="C81" s="143" t="s">
        <v>163</v>
      </c>
      <c r="D81" s="301">
        <v>1</v>
      </c>
      <c r="E81" s="302">
        <v>1</v>
      </c>
      <c r="F81" s="303"/>
      <c r="G81" s="303"/>
      <c r="H81" s="303"/>
      <c r="I81" s="303"/>
      <c r="J81" s="303"/>
      <c r="K81" s="303"/>
      <c r="L81" s="304"/>
      <c r="M81" s="302">
        <f t="shared" ref="M81:M86" si="27">SUM(D81-E81)</f>
        <v>0</v>
      </c>
      <c r="N81" s="305">
        <f t="shared" ref="N81:N86" si="28">SUM(E81,M81)</f>
        <v>1</v>
      </c>
      <c r="O81" s="305"/>
      <c r="P81" s="306"/>
      <c r="Q81" s="140"/>
    </row>
    <row r="82" spans="1:20" ht="15.6" thickTop="1" thickBot="1">
      <c r="A82" s="73"/>
      <c r="B82" s="380"/>
      <c r="C82" s="141" t="s">
        <v>55</v>
      </c>
      <c r="D82" s="266">
        <v>16</v>
      </c>
      <c r="E82" s="267">
        <v>15</v>
      </c>
      <c r="F82" s="268">
        <v>1</v>
      </c>
      <c r="G82" s="268">
        <v>12</v>
      </c>
      <c r="H82" s="268"/>
      <c r="I82" s="268"/>
      <c r="J82" s="268">
        <v>2</v>
      </c>
      <c r="K82" s="268"/>
      <c r="L82" s="289"/>
      <c r="M82" s="267">
        <f t="shared" si="27"/>
        <v>1</v>
      </c>
      <c r="N82" s="269">
        <f t="shared" si="28"/>
        <v>16</v>
      </c>
      <c r="O82" s="269"/>
      <c r="P82" s="290"/>
      <c r="Q82" s="142"/>
    </row>
    <row r="83" spans="1:20" ht="15.6" thickTop="1" thickBot="1">
      <c r="A83" s="73"/>
      <c r="B83" s="380"/>
      <c r="C83" s="141" t="s">
        <v>158</v>
      </c>
      <c r="D83" s="266">
        <v>22</v>
      </c>
      <c r="E83" s="267">
        <v>22</v>
      </c>
      <c r="F83" s="268">
        <v>2</v>
      </c>
      <c r="G83" s="268">
        <v>12</v>
      </c>
      <c r="H83" s="268"/>
      <c r="I83" s="268">
        <v>2</v>
      </c>
      <c r="J83" s="268">
        <v>2</v>
      </c>
      <c r="K83" s="268"/>
      <c r="L83" s="289">
        <v>4978</v>
      </c>
      <c r="M83" s="267">
        <f t="shared" si="27"/>
        <v>0</v>
      </c>
      <c r="N83" s="269">
        <f t="shared" si="28"/>
        <v>22</v>
      </c>
      <c r="O83" s="269"/>
      <c r="P83" s="290"/>
      <c r="Q83" s="142"/>
    </row>
    <row r="84" spans="1:20" ht="15.6" thickTop="1" thickBot="1">
      <c r="A84" s="73"/>
      <c r="B84" s="380"/>
      <c r="C84" s="143" t="s">
        <v>49</v>
      </c>
      <c r="D84" s="266">
        <v>15</v>
      </c>
      <c r="E84" s="267">
        <v>15</v>
      </c>
      <c r="F84" s="268">
        <v>4</v>
      </c>
      <c r="G84" s="268">
        <v>12</v>
      </c>
      <c r="H84" s="268"/>
      <c r="I84" s="268"/>
      <c r="J84" s="268"/>
      <c r="K84" s="268"/>
      <c r="L84" s="289"/>
      <c r="M84" s="267">
        <f t="shared" si="27"/>
        <v>0</v>
      </c>
      <c r="N84" s="269">
        <f t="shared" si="28"/>
        <v>15</v>
      </c>
      <c r="O84" s="269"/>
      <c r="P84" s="290"/>
      <c r="Q84" s="142"/>
    </row>
    <row r="85" spans="1:20" ht="15.6" thickTop="1" thickBot="1">
      <c r="A85" s="73"/>
      <c r="B85" s="380"/>
      <c r="C85" s="75" t="s">
        <v>169</v>
      </c>
      <c r="D85" s="266">
        <v>16</v>
      </c>
      <c r="E85" s="267">
        <v>16</v>
      </c>
      <c r="F85" s="268">
        <v>4</v>
      </c>
      <c r="G85" s="268">
        <v>4</v>
      </c>
      <c r="H85" s="268"/>
      <c r="I85" s="268"/>
      <c r="J85" s="268"/>
      <c r="K85" s="268"/>
      <c r="L85" s="289"/>
      <c r="M85" s="267">
        <f t="shared" si="27"/>
        <v>0</v>
      </c>
      <c r="N85" s="269">
        <f t="shared" si="28"/>
        <v>16</v>
      </c>
      <c r="O85" s="279"/>
      <c r="P85" s="294"/>
      <c r="Q85" s="142"/>
    </row>
    <row r="86" spans="1:20" ht="15.6" thickTop="1" thickBot="1">
      <c r="A86" s="73"/>
      <c r="B86" s="380"/>
      <c r="C86" s="143" t="s">
        <v>59</v>
      </c>
      <c r="D86" s="266">
        <v>19</v>
      </c>
      <c r="E86" s="267">
        <v>19</v>
      </c>
      <c r="F86" s="268">
        <v>4</v>
      </c>
      <c r="G86" s="268">
        <v>3</v>
      </c>
      <c r="H86" s="268"/>
      <c r="I86" s="268">
        <v>1</v>
      </c>
      <c r="J86" s="268"/>
      <c r="K86" s="268"/>
      <c r="L86" s="291">
        <v>6615.81</v>
      </c>
      <c r="M86" s="267">
        <f t="shared" si="27"/>
        <v>0</v>
      </c>
      <c r="N86" s="279">
        <f t="shared" si="28"/>
        <v>19</v>
      </c>
      <c r="O86" s="279"/>
      <c r="P86" s="294"/>
      <c r="Q86" s="142"/>
    </row>
    <row r="87" spans="1:20" ht="15.6" thickTop="1" thickBot="1">
      <c r="A87" s="73"/>
      <c r="B87" s="380"/>
      <c r="C87" s="144" t="s">
        <v>69</v>
      </c>
      <c r="D87" s="266">
        <f>SUM(D81:D86)</f>
        <v>89</v>
      </c>
      <c r="E87" s="267">
        <f>SUM(E81:E86)</f>
        <v>88</v>
      </c>
      <c r="F87" s="268">
        <f t="shared" ref="F87:K87" si="29">SUM(F81:F86)</f>
        <v>15</v>
      </c>
      <c r="G87" s="268">
        <f t="shared" si="29"/>
        <v>43</v>
      </c>
      <c r="H87" s="268">
        <f t="shared" si="29"/>
        <v>0</v>
      </c>
      <c r="I87" s="268">
        <f t="shared" si="29"/>
        <v>3</v>
      </c>
      <c r="J87" s="268">
        <f t="shared" si="29"/>
        <v>4</v>
      </c>
      <c r="K87" s="268">
        <f t="shared" si="29"/>
        <v>0</v>
      </c>
      <c r="L87" s="307">
        <v>64813.120000000003</v>
      </c>
      <c r="M87" s="271">
        <f>SUM(M81:M86)</f>
        <v>1</v>
      </c>
      <c r="N87" s="269">
        <f>SUM(N81:N86)</f>
        <v>89</v>
      </c>
      <c r="O87" s="129">
        <v>1</v>
      </c>
      <c r="P87" s="130">
        <v>6</v>
      </c>
      <c r="Q87" s="142"/>
    </row>
    <row r="88" spans="1:20" ht="15.6" thickTop="1" thickBot="1">
      <c r="A88" s="73"/>
      <c r="B88" s="380"/>
      <c r="C88" s="124" t="s">
        <v>45</v>
      </c>
      <c r="D88" s="272">
        <f>SUM(D81:D86)</f>
        <v>89</v>
      </c>
      <c r="E88" s="272">
        <f>SUM(E81:E86)</f>
        <v>88</v>
      </c>
      <c r="F88" s="381">
        <f>SUM(F87:K87)</f>
        <v>65</v>
      </c>
      <c r="G88" s="382"/>
      <c r="H88" s="382"/>
      <c r="I88" s="382"/>
      <c r="J88" s="382"/>
      <c r="K88" s="383"/>
      <c r="L88" s="274">
        <f>L87</f>
        <v>64813.120000000003</v>
      </c>
      <c r="M88" s="272">
        <f>SUM(M81:M86)</f>
        <v>1</v>
      </c>
      <c r="N88" s="272">
        <f>SUM(N81:N86)</f>
        <v>89</v>
      </c>
      <c r="O88" s="272">
        <f>SUM(O87)</f>
        <v>1</v>
      </c>
      <c r="P88" s="275">
        <f>SUM(P87)</f>
        <v>6</v>
      </c>
      <c r="Q88" s="125"/>
      <c r="T88" s="145">
        <f>$V$3+L12+L22+L32+L40+L48+L56+L64+L72+L80+L88</f>
        <v>5428591.0199999986</v>
      </c>
    </row>
    <row r="89" spans="1:20" ht="15.6" thickTop="1" thickBot="1">
      <c r="A89" s="73" t="str">
        <f ca="1">OFFSET('0'!$B$112,($A$1-1)*10,$B89-1)</f>
        <v>--</v>
      </c>
      <c r="B89" s="380">
        <f ca="1">OFFSET('0'!$B$111,($A$1-1)*10,10)</f>
        <v>11</v>
      </c>
      <c r="C89" s="143" t="s">
        <v>59</v>
      </c>
      <c r="D89" s="301">
        <v>3</v>
      </c>
      <c r="E89" s="302">
        <v>3</v>
      </c>
      <c r="F89" s="303"/>
      <c r="G89" s="303"/>
      <c r="H89" s="303"/>
      <c r="I89" s="303"/>
      <c r="J89" s="303"/>
      <c r="K89" s="303"/>
      <c r="L89" s="304">
        <v>8700</v>
      </c>
      <c r="M89" s="302">
        <f t="shared" ref="M89:M94" si="30">SUM(D89-E89)</f>
        <v>0</v>
      </c>
      <c r="N89" s="305">
        <f t="shared" ref="N89:N94" si="31">SUM(E89,M89)</f>
        <v>3</v>
      </c>
      <c r="O89" s="305"/>
      <c r="P89" s="306"/>
      <c r="Q89" s="140"/>
    </row>
    <row r="90" spans="1:20" ht="15.6" thickTop="1" thickBot="1">
      <c r="A90" s="73"/>
      <c r="B90" s="380"/>
      <c r="C90" s="141" t="s">
        <v>55</v>
      </c>
      <c r="D90" s="266">
        <v>17</v>
      </c>
      <c r="E90" s="267">
        <v>17</v>
      </c>
      <c r="F90" s="268">
        <v>1</v>
      </c>
      <c r="G90" s="268">
        <v>12</v>
      </c>
      <c r="H90" s="268"/>
      <c r="I90" s="268">
        <v>1</v>
      </c>
      <c r="J90" s="268">
        <v>1</v>
      </c>
      <c r="K90" s="268"/>
      <c r="L90" s="289"/>
      <c r="M90" s="267">
        <f t="shared" si="30"/>
        <v>0</v>
      </c>
      <c r="N90" s="269">
        <f t="shared" si="31"/>
        <v>17</v>
      </c>
      <c r="O90" s="269"/>
      <c r="P90" s="290"/>
      <c r="Q90" s="142"/>
    </row>
    <row r="91" spans="1:20" ht="15.6" thickTop="1" thickBot="1">
      <c r="A91" s="73"/>
      <c r="B91" s="380"/>
      <c r="C91" s="141" t="s">
        <v>158</v>
      </c>
      <c r="D91" s="266">
        <v>25</v>
      </c>
      <c r="E91" s="267">
        <v>25</v>
      </c>
      <c r="F91" s="268">
        <v>1</v>
      </c>
      <c r="G91" s="268">
        <v>21</v>
      </c>
      <c r="H91" s="268"/>
      <c r="I91" s="268">
        <v>3</v>
      </c>
      <c r="J91" s="268">
        <v>1</v>
      </c>
      <c r="K91" s="268"/>
      <c r="L91" s="289">
        <v>20160</v>
      </c>
      <c r="M91" s="267">
        <f t="shared" si="30"/>
        <v>0</v>
      </c>
      <c r="N91" s="269">
        <f t="shared" si="31"/>
        <v>25</v>
      </c>
      <c r="O91" s="269"/>
      <c r="P91" s="290"/>
      <c r="Q91" s="142"/>
    </row>
    <row r="92" spans="1:20" ht="15.6" thickTop="1" thickBot="1">
      <c r="A92" s="73"/>
      <c r="B92" s="380"/>
      <c r="C92" s="143" t="s">
        <v>48</v>
      </c>
      <c r="D92" s="266">
        <v>20</v>
      </c>
      <c r="E92" s="267">
        <v>18</v>
      </c>
      <c r="F92" s="268">
        <v>6</v>
      </c>
      <c r="G92" s="268">
        <v>8</v>
      </c>
      <c r="H92" s="268"/>
      <c r="I92" s="268">
        <v>1</v>
      </c>
      <c r="J92" s="268"/>
      <c r="K92" s="268"/>
      <c r="L92" s="289">
        <v>2700.8</v>
      </c>
      <c r="M92" s="267">
        <f t="shared" si="30"/>
        <v>2</v>
      </c>
      <c r="N92" s="269">
        <f t="shared" si="31"/>
        <v>20</v>
      </c>
      <c r="O92" s="269"/>
      <c r="P92" s="290"/>
      <c r="Q92" s="142"/>
    </row>
    <row r="93" spans="1:20" ht="15.6" thickTop="1" thickBot="1">
      <c r="A93" s="73"/>
      <c r="B93" s="380"/>
      <c r="C93" s="143" t="s">
        <v>49</v>
      </c>
      <c r="D93" s="266">
        <v>20</v>
      </c>
      <c r="E93" s="267">
        <v>19</v>
      </c>
      <c r="F93" s="268">
        <v>2</v>
      </c>
      <c r="G93" s="268">
        <v>9</v>
      </c>
      <c r="H93" s="268"/>
      <c r="I93" s="268"/>
      <c r="J93" s="268">
        <v>1</v>
      </c>
      <c r="K93" s="268"/>
      <c r="L93" s="289"/>
      <c r="M93" s="267">
        <f t="shared" si="30"/>
        <v>1</v>
      </c>
      <c r="N93" s="269">
        <f t="shared" si="31"/>
        <v>20</v>
      </c>
      <c r="O93" s="269"/>
      <c r="P93" s="290"/>
      <c r="Q93" s="142"/>
    </row>
    <row r="94" spans="1:20" ht="15.6" thickTop="1" thickBot="1">
      <c r="A94" s="73"/>
      <c r="B94" s="380"/>
      <c r="C94" s="143" t="s">
        <v>170</v>
      </c>
      <c r="D94" s="266">
        <v>6</v>
      </c>
      <c r="E94" s="267">
        <v>6</v>
      </c>
      <c r="F94" s="268">
        <v>2</v>
      </c>
      <c r="G94" s="268"/>
      <c r="H94" s="268"/>
      <c r="I94" s="268">
        <v>2</v>
      </c>
      <c r="J94" s="268">
        <v>1</v>
      </c>
      <c r="K94" s="268"/>
      <c r="L94" s="291"/>
      <c r="M94" s="267">
        <f t="shared" si="30"/>
        <v>0</v>
      </c>
      <c r="N94" s="279">
        <f t="shared" si="31"/>
        <v>6</v>
      </c>
      <c r="O94" s="279"/>
      <c r="P94" s="294"/>
      <c r="Q94" s="142"/>
    </row>
    <row r="95" spans="1:20" ht="15.6" thickTop="1" thickBot="1">
      <c r="A95" s="73"/>
      <c r="B95" s="380"/>
      <c r="C95" s="144" t="s">
        <v>69</v>
      </c>
      <c r="D95" s="266">
        <f>SUM(D89:D94)</f>
        <v>91</v>
      </c>
      <c r="E95" s="267">
        <f>SUM(E89:E94)</f>
        <v>88</v>
      </c>
      <c r="F95" s="268">
        <f t="shared" ref="F95:K95" si="32">SUM(F89:F94)</f>
        <v>12</v>
      </c>
      <c r="G95" s="268">
        <f t="shared" si="32"/>
        <v>50</v>
      </c>
      <c r="H95" s="268">
        <f t="shared" si="32"/>
        <v>0</v>
      </c>
      <c r="I95" s="268">
        <f t="shared" si="32"/>
        <v>7</v>
      </c>
      <c r="J95" s="268">
        <f t="shared" si="32"/>
        <v>4</v>
      </c>
      <c r="K95" s="268">
        <f t="shared" si="32"/>
        <v>0</v>
      </c>
      <c r="L95" s="307">
        <v>160812.06</v>
      </c>
      <c r="M95" s="271">
        <f>SUM(M89:M94)</f>
        <v>3</v>
      </c>
      <c r="N95" s="269">
        <f>SUM(N89:N94)</f>
        <v>91</v>
      </c>
      <c r="O95" s="129">
        <v>2</v>
      </c>
      <c r="P95" s="130">
        <v>6</v>
      </c>
      <c r="Q95" s="142"/>
    </row>
    <row r="96" spans="1:20" ht="15.6" thickTop="1" thickBot="1">
      <c r="A96" s="73"/>
      <c r="B96" s="380"/>
      <c r="C96" s="124" t="s">
        <v>45</v>
      </c>
      <c r="D96" s="272">
        <f>SUM(D89:D94)</f>
        <v>91</v>
      </c>
      <c r="E96" s="272">
        <f>SUM(E89:E94)</f>
        <v>88</v>
      </c>
      <c r="F96" s="381">
        <f>SUM(F95:K95)</f>
        <v>73</v>
      </c>
      <c r="G96" s="382"/>
      <c r="H96" s="382"/>
      <c r="I96" s="382"/>
      <c r="J96" s="382"/>
      <c r="K96" s="383"/>
      <c r="L96" s="274">
        <f>L95</f>
        <v>160812.06</v>
      </c>
      <c r="M96" s="272">
        <f>SUM(M89:M94)</f>
        <v>3</v>
      </c>
      <c r="N96" s="272">
        <f>SUM(N89:N94)</f>
        <v>91</v>
      </c>
      <c r="O96" s="272">
        <f>SUM(O95)</f>
        <v>2</v>
      </c>
      <c r="P96" s="275">
        <f>SUM(P95)</f>
        <v>6</v>
      </c>
      <c r="Q96" s="125"/>
      <c r="T96" s="145">
        <f>$V$3+L12+L22+L32+L40+L48+L56+L64+L72+L80+L88+L96</f>
        <v>5589403.0799999982</v>
      </c>
    </row>
    <row r="97" spans="1:20" ht="15.6" thickTop="1" thickBot="1">
      <c r="A97" s="73" t="str">
        <f ca="1">OFFSET('0'!$B$112,($A$1-1)*10,$B97-1)</f>
        <v>SS</v>
      </c>
      <c r="B97" s="380">
        <f ca="1">OFFSET('0'!$B$111,($A$1-1)*10,11)</f>
        <v>12</v>
      </c>
      <c r="C97" s="143" t="s">
        <v>170</v>
      </c>
      <c r="D97" s="301">
        <v>2</v>
      </c>
      <c r="E97" s="302">
        <v>2</v>
      </c>
      <c r="F97" s="303"/>
      <c r="G97" s="303"/>
      <c r="H97" s="303"/>
      <c r="I97" s="303">
        <v>1</v>
      </c>
      <c r="J97" s="303"/>
      <c r="K97" s="303"/>
      <c r="L97" s="304"/>
      <c r="M97" s="302">
        <f t="shared" ref="M97:M102" si="33">SUM(D97-E97)</f>
        <v>0</v>
      </c>
      <c r="N97" s="305">
        <f t="shared" ref="N97:N102" si="34">SUM(E97,M97)</f>
        <v>2</v>
      </c>
      <c r="O97" s="305"/>
      <c r="P97" s="306"/>
      <c r="Q97" s="140"/>
    </row>
    <row r="98" spans="1:20" ht="15.6" thickTop="1" thickBot="1">
      <c r="A98" s="73"/>
      <c r="B98" s="380"/>
      <c r="C98" s="141" t="s">
        <v>46</v>
      </c>
      <c r="D98" s="266">
        <v>14</v>
      </c>
      <c r="E98" s="267">
        <v>12</v>
      </c>
      <c r="F98" s="268">
        <v>2</v>
      </c>
      <c r="G98" s="268">
        <v>1</v>
      </c>
      <c r="H98" s="268"/>
      <c r="I98" s="268"/>
      <c r="J98" s="268"/>
      <c r="K98" s="268"/>
      <c r="L98" s="289"/>
      <c r="M98" s="267">
        <f t="shared" si="33"/>
        <v>2</v>
      </c>
      <c r="N98" s="269">
        <f t="shared" si="34"/>
        <v>14</v>
      </c>
      <c r="O98" s="269"/>
      <c r="P98" s="290"/>
      <c r="Q98" s="142"/>
    </row>
    <row r="99" spans="1:20" ht="15.6" thickTop="1" thickBot="1">
      <c r="A99" s="73"/>
      <c r="B99" s="380"/>
      <c r="C99" s="141" t="s">
        <v>48</v>
      </c>
      <c r="D99" s="266">
        <v>18</v>
      </c>
      <c r="E99" s="267">
        <v>17</v>
      </c>
      <c r="F99" s="268">
        <v>1</v>
      </c>
      <c r="G99" s="268">
        <v>1</v>
      </c>
      <c r="H99" s="268"/>
      <c r="I99" s="268">
        <v>5</v>
      </c>
      <c r="J99" s="268">
        <v>2</v>
      </c>
      <c r="K99" s="268"/>
      <c r="L99" s="289"/>
      <c r="M99" s="267">
        <f t="shared" si="33"/>
        <v>1</v>
      </c>
      <c r="N99" s="269">
        <f t="shared" si="34"/>
        <v>18</v>
      </c>
      <c r="O99" s="269"/>
      <c r="P99" s="290"/>
      <c r="Q99" s="142"/>
    </row>
    <row r="100" spans="1:20" ht="15.6" thickTop="1" thickBot="1">
      <c r="A100" s="73"/>
      <c r="B100" s="380"/>
      <c r="C100" s="143" t="s">
        <v>64</v>
      </c>
      <c r="D100" s="266">
        <v>4</v>
      </c>
      <c r="E100" s="267">
        <v>4</v>
      </c>
      <c r="F100" s="268">
        <v>2</v>
      </c>
      <c r="G100" s="268">
        <v>3</v>
      </c>
      <c r="H100" s="268"/>
      <c r="I100" s="268"/>
      <c r="J100" s="268">
        <v>1</v>
      </c>
      <c r="K100" s="268"/>
      <c r="L100" s="289"/>
      <c r="M100" s="267">
        <f t="shared" si="33"/>
        <v>0</v>
      </c>
      <c r="N100" s="269">
        <f t="shared" si="34"/>
        <v>4</v>
      </c>
      <c r="O100" s="269"/>
      <c r="P100" s="290"/>
      <c r="Q100" s="142"/>
    </row>
    <row r="101" spans="1:20" ht="15.6" thickTop="1" thickBot="1">
      <c r="A101" s="73"/>
      <c r="B101" s="380"/>
      <c r="C101" s="143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 t="shared" si="33"/>
        <v>0</v>
      </c>
      <c r="N101" s="269">
        <f t="shared" si="34"/>
        <v>0</v>
      </c>
      <c r="O101" s="269"/>
      <c r="P101" s="290"/>
      <c r="Q101" s="142"/>
    </row>
    <row r="102" spans="1:20" ht="15.6" thickTop="1" thickBot="1">
      <c r="A102" s="73"/>
      <c r="B102" s="380"/>
      <c r="C102" s="143"/>
      <c r="D102" s="266"/>
      <c r="E102" s="267"/>
      <c r="F102" s="268"/>
      <c r="G102" s="268"/>
      <c r="H102" s="268"/>
      <c r="I102" s="268"/>
      <c r="J102" s="268"/>
      <c r="K102" s="268"/>
      <c r="L102" s="291"/>
      <c r="M102" s="267">
        <f t="shared" si="33"/>
        <v>0</v>
      </c>
      <c r="N102" s="279">
        <f t="shared" si="34"/>
        <v>0</v>
      </c>
      <c r="O102" s="279"/>
      <c r="P102" s="294"/>
      <c r="Q102" s="142"/>
    </row>
    <row r="103" spans="1:20" ht="15.6" thickTop="1" thickBot="1">
      <c r="A103" s="73"/>
      <c r="B103" s="380"/>
      <c r="C103" s="144" t="s">
        <v>69</v>
      </c>
      <c r="D103" s="318">
        <f>SUM(D97:D102)</f>
        <v>38</v>
      </c>
      <c r="E103" s="319">
        <f>SUM(E97:E102)</f>
        <v>35</v>
      </c>
      <c r="F103" s="320">
        <f t="shared" ref="F103:K103" si="35">SUM(F97:F102)</f>
        <v>5</v>
      </c>
      <c r="G103" s="320">
        <f t="shared" si="35"/>
        <v>5</v>
      </c>
      <c r="H103" s="320">
        <f t="shared" si="35"/>
        <v>0</v>
      </c>
      <c r="I103" s="320">
        <f t="shared" si="35"/>
        <v>6</v>
      </c>
      <c r="J103" s="320">
        <f t="shared" si="35"/>
        <v>3</v>
      </c>
      <c r="K103" s="320">
        <f t="shared" si="35"/>
        <v>0</v>
      </c>
      <c r="L103" s="307">
        <v>70967</v>
      </c>
      <c r="M103" s="271">
        <f>SUM(M97:M102)</f>
        <v>3</v>
      </c>
      <c r="N103" s="269">
        <f>SUM(N97:N102)</f>
        <v>38</v>
      </c>
      <c r="O103" s="129">
        <v>2</v>
      </c>
      <c r="P103" s="130">
        <v>3</v>
      </c>
      <c r="Q103" s="142"/>
    </row>
    <row r="104" spans="1:20" ht="15.6" thickTop="1" thickBot="1">
      <c r="A104" s="73"/>
      <c r="B104" s="380"/>
      <c r="C104" s="124" t="s">
        <v>45</v>
      </c>
      <c r="D104" s="272">
        <f>SUM(D97:D102)</f>
        <v>38</v>
      </c>
      <c r="E104" s="272">
        <f>SUM(E97:E102)</f>
        <v>35</v>
      </c>
      <c r="F104" s="381">
        <f>SUM(F103:K103)</f>
        <v>19</v>
      </c>
      <c r="G104" s="382"/>
      <c r="H104" s="382"/>
      <c r="I104" s="382"/>
      <c r="J104" s="382"/>
      <c r="K104" s="383"/>
      <c r="L104" s="274">
        <f>L103</f>
        <v>70967</v>
      </c>
      <c r="M104" s="272">
        <f>SUM(M97:M102)</f>
        <v>3</v>
      </c>
      <c r="N104" s="272">
        <f>SUM(N97:N102)</f>
        <v>38</v>
      </c>
      <c r="O104" s="272">
        <f>SUM(O103)</f>
        <v>2</v>
      </c>
      <c r="P104" s="275">
        <f>SUM(P103)</f>
        <v>3</v>
      </c>
      <c r="Q104" s="125"/>
      <c r="T104" s="145">
        <f>$V$3+L12+L22+L32+L40+L48+L56+L64+L72+L80+L88+L96+L104</f>
        <v>5660370.0799999982</v>
      </c>
    </row>
    <row r="105" spans="1:20" ht="15.6" thickTop="1" thickBot="1">
      <c r="A105" s="73" t="str">
        <f ca="1">OFFSET('0'!$B$112,($A$1-1)*10,$B105-1)</f>
        <v>SK</v>
      </c>
      <c r="B105" s="380">
        <f ca="1">OFFSET('0'!$B$111,($A$1-1)*10,12)</f>
        <v>13</v>
      </c>
      <c r="C105" s="143" t="s">
        <v>64</v>
      </c>
      <c r="D105" s="301">
        <v>0</v>
      </c>
      <c r="E105" s="302"/>
      <c r="F105" s="303"/>
      <c r="G105" s="303"/>
      <c r="H105" s="303"/>
      <c r="I105" s="303"/>
      <c r="J105" s="303"/>
      <c r="K105" s="303"/>
      <c r="L105" s="304"/>
      <c r="M105" s="302">
        <f t="shared" ref="M105:M110" si="36">SUM(D105-E105)</f>
        <v>0</v>
      </c>
      <c r="N105" s="305">
        <f t="shared" ref="N105:N110" si="37">SUM(E105,M105)</f>
        <v>0</v>
      </c>
      <c r="O105" s="305"/>
      <c r="P105" s="306"/>
      <c r="Q105" s="140"/>
    </row>
    <row r="106" spans="1:20" ht="15.6" thickTop="1" thickBot="1">
      <c r="A106" s="73"/>
      <c r="B106" s="380"/>
      <c r="C106" s="141" t="s">
        <v>46</v>
      </c>
      <c r="D106" s="266">
        <v>10</v>
      </c>
      <c r="E106" s="267">
        <v>9</v>
      </c>
      <c r="F106" s="268">
        <v>5</v>
      </c>
      <c r="G106" s="268">
        <v>2</v>
      </c>
      <c r="H106" s="268"/>
      <c r="I106" s="268">
        <v>1</v>
      </c>
      <c r="J106" s="268">
        <v>2</v>
      </c>
      <c r="K106" s="268"/>
      <c r="L106" s="289"/>
      <c r="M106" s="267">
        <f t="shared" si="36"/>
        <v>1</v>
      </c>
      <c r="N106" s="269">
        <f t="shared" si="37"/>
        <v>10</v>
      </c>
      <c r="O106" s="269"/>
      <c r="P106" s="290"/>
      <c r="Q106" s="142"/>
    </row>
    <row r="107" spans="1:20" ht="15.6" thickTop="1" thickBot="1">
      <c r="A107" s="73"/>
      <c r="B107" s="380"/>
      <c r="C107" s="141" t="s">
        <v>160</v>
      </c>
      <c r="D107" s="266">
        <v>12</v>
      </c>
      <c r="E107" s="267">
        <v>12</v>
      </c>
      <c r="F107" s="268">
        <v>1</v>
      </c>
      <c r="G107" s="268">
        <v>1</v>
      </c>
      <c r="H107" s="268"/>
      <c r="I107" s="268">
        <v>1</v>
      </c>
      <c r="J107" s="268"/>
      <c r="K107" s="268"/>
      <c r="L107" s="289"/>
      <c r="M107" s="267">
        <f t="shared" si="36"/>
        <v>0</v>
      </c>
      <c r="N107" s="269">
        <f t="shared" si="37"/>
        <v>12</v>
      </c>
      <c r="O107" s="269"/>
      <c r="P107" s="290"/>
      <c r="Q107" s="142"/>
    </row>
    <row r="108" spans="1:20" ht="15.6" thickTop="1" thickBot="1">
      <c r="A108" s="73"/>
      <c r="B108" s="380"/>
      <c r="C108" s="143" t="s">
        <v>51</v>
      </c>
      <c r="D108" s="266">
        <v>4</v>
      </c>
      <c r="E108" s="267">
        <v>4</v>
      </c>
      <c r="F108" s="268"/>
      <c r="G108" s="268"/>
      <c r="H108" s="268"/>
      <c r="I108" s="268"/>
      <c r="J108" s="268">
        <v>1</v>
      </c>
      <c r="K108" s="268"/>
      <c r="L108" s="289"/>
      <c r="M108" s="267">
        <f t="shared" si="36"/>
        <v>0</v>
      </c>
      <c r="N108" s="269">
        <f t="shared" si="37"/>
        <v>4</v>
      </c>
      <c r="O108" s="269"/>
      <c r="P108" s="290"/>
      <c r="Q108" s="142"/>
    </row>
    <row r="109" spans="1:20" ht="15.6" thickTop="1" thickBot="1">
      <c r="A109" s="73"/>
      <c r="B109" s="380"/>
      <c r="C109" s="143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 t="shared" si="36"/>
        <v>0</v>
      </c>
      <c r="N109" s="269">
        <f t="shared" si="37"/>
        <v>0</v>
      </c>
      <c r="O109" s="269"/>
      <c r="P109" s="290"/>
      <c r="Q109" s="142"/>
    </row>
    <row r="110" spans="1:20" ht="15.6" thickTop="1" thickBot="1">
      <c r="A110" s="73"/>
      <c r="B110" s="380"/>
      <c r="C110" s="143"/>
      <c r="D110" s="266"/>
      <c r="E110" s="267"/>
      <c r="F110" s="268"/>
      <c r="G110" s="268"/>
      <c r="H110" s="268"/>
      <c r="I110" s="268"/>
      <c r="J110" s="268"/>
      <c r="K110" s="268"/>
      <c r="L110" s="291"/>
      <c r="M110" s="267">
        <f t="shared" si="36"/>
        <v>0</v>
      </c>
      <c r="N110" s="279">
        <f t="shared" si="37"/>
        <v>0</v>
      </c>
      <c r="O110" s="279"/>
      <c r="P110" s="294"/>
      <c r="Q110" s="142"/>
    </row>
    <row r="111" spans="1:20" ht="15.6" thickTop="1" thickBot="1">
      <c r="A111" s="73"/>
      <c r="B111" s="380"/>
      <c r="C111" s="151" t="s">
        <v>69</v>
      </c>
      <c r="D111" s="318">
        <f>SUM(D105:D110)</f>
        <v>26</v>
      </c>
      <c r="E111" s="319">
        <f>SUM(E105:E110)</f>
        <v>25</v>
      </c>
      <c r="F111" s="320">
        <f t="shared" ref="F111:K111" si="38">SUM(F105:F110)</f>
        <v>6</v>
      </c>
      <c r="G111" s="320">
        <f t="shared" si="38"/>
        <v>3</v>
      </c>
      <c r="H111" s="320">
        <f t="shared" si="38"/>
        <v>0</v>
      </c>
      <c r="I111" s="320">
        <f t="shared" si="38"/>
        <v>2</v>
      </c>
      <c r="J111" s="320">
        <f t="shared" si="38"/>
        <v>3</v>
      </c>
      <c r="K111" s="320">
        <f t="shared" si="38"/>
        <v>0</v>
      </c>
      <c r="L111" s="307">
        <v>3932</v>
      </c>
      <c r="M111" s="271">
        <f>SUM(M105:M110)</f>
        <v>1</v>
      </c>
      <c r="N111" s="269">
        <f>SUM(N105:N110)</f>
        <v>26</v>
      </c>
      <c r="O111" s="129"/>
      <c r="P111" s="130"/>
      <c r="Q111" s="142"/>
    </row>
    <row r="112" spans="1:20" ht="15.6" thickTop="1" thickBot="1">
      <c r="A112" s="73"/>
      <c r="B112" s="380"/>
      <c r="C112" s="124" t="s">
        <v>45</v>
      </c>
      <c r="D112" s="272">
        <f>SUM(D105:D110)</f>
        <v>26</v>
      </c>
      <c r="E112" s="272">
        <f>SUM(E105:E110)</f>
        <v>25</v>
      </c>
      <c r="F112" s="381">
        <f>SUM(F111:K111)</f>
        <v>14</v>
      </c>
      <c r="G112" s="382"/>
      <c r="H112" s="382"/>
      <c r="I112" s="382"/>
      <c r="J112" s="382"/>
      <c r="K112" s="383"/>
      <c r="L112" s="274">
        <f>L111</f>
        <v>3932</v>
      </c>
      <c r="M112" s="272">
        <f>SUM(M105:M110)</f>
        <v>1</v>
      </c>
      <c r="N112" s="272">
        <f>SUM(N105:N110)</f>
        <v>26</v>
      </c>
      <c r="O112" s="272">
        <f>SUM(O111)</f>
        <v>0</v>
      </c>
      <c r="P112" s="275">
        <f>SUM(P111)</f>
        <v>0</v>
      </c>
      <c r="Q112" s="125"/>
      <c r="T112" s="145">
        <f>$V$3+L12+L22+L32+L40+L48+L56+L64+L72+L80+L88+L96+L104+L112</f>
        <v>5664302.0799999982</v>
      </c>
    </row>
    <row r="113" spans="1:21" ht="15.6" thickTop="1" thickBot="1">
      <c r="A113" s="73" t="str">
        <f ca="1">OFFSET('0'!$B$112,($A$1-1)*10,$B113-1)</f>
        <v>--</v>
      </c>
      <c r="B113" s="380">
        <f ca="1">OFFSET('0'!$B$111,($A$1-1)*10,13)</f>
        <v>14</v>
      </c>
      <c r="C113" s="143" t="s">
        <v>51</v>
      </c>
      <c r="D113" s="301">
        <v>1</v>
      </c>
      <c r="E113" s="302">
        <v>1</v>
      </c>
      <c r="F113" s="303"/>
      <c r="G113" s="303"/>
      <c r="H113" s="303"/>
      <c r="I113" s="303"/>
      <c r="J113" s="303"/>
      <c r="K113" s="303"/>
      <c r="L113" s="304"/>
      <c r="M113" s="302">
        <f t="shared" ref="M113:M118" si="39">SUM(D113-E113)</f>
        <v>0</v>
      </c>
      <c r="N113" s="305">
        <f t="shared" ref="N113:N118" si="40">SUM(E113,M113)</f>
        <v>1</v>
      </c>
      <c r="O113" s="305"/>
      <c r="P113" s="306"/>
      <c r="Q113" s="140"/>
    </row>
    <row r="114" spans="1:21" ht="15.6" thickTop="1" thickBot="1">
      <c r="A114" s="73"/>
      <c r="B114" s="380"/>
      <c r="C114" s="141" t="s">
        <v>164</v>
      </c>
      <c r="D114" s="266">
        <v>25</v>
      </c>
      <c r="E114" s="267">
        <v>25</v>
      </c>
      <c r="F114" s="268">
        <v>3</v>
      </c>
      <c r="G114" s="268">
        <v>7</v>
      </c>
      <c r="H114" s="268"/>
      <c r="I114" s="268"/>
      <c r="J114" s="268">
        <v>1</v>
      </c>
      <c r="K114" s="268"/>
      <c r="L114" s="289"/>
      <c r="M114" s="267">
        <f t="shared" si="39"/>
        <v>0</v>
      </c>
      <c r="N114" s="269">
        <f t="shared" si="40"/>
        <v>25</v>
      </c>
      <c r="O114" s="269"/>
      <c r="P114" s="290"/>
      <c r="Q114" s="142"/>
    </row>
    <row r="115" spans="1:21" ht="15.6" thickTop="1" thickBot="1">
      <c r="A115" s="73"/>
      <c r="B115" s="380"/>
      <c r="C115" s="141" t="s">
        <v>160</v>
      </c>
      <c r="D115" s="266">
        <v>13</v>
      </c>
      <c r="E115" s="267">
        <v>12</v>
      </c>
      <c r="F115" s="268">
        <v>4</v>
      </c>
      <c r="G115" s="268">
        <v>6</v>
      </c>
      <c r="H115" s="268"/>
      <c r="I115" s="268"/>
      <c r="J115" s="268">
        <v>1</v>
      </c>
      <c r="K115" s="268"/>
      <c r="L115" s="289"/>
      <c r="M115" s="267">
        <f t="shared" si="39"/>
        <v>1</v>
      </c>
      <c r="N115" s="269">
        <f t="shared" si="40"/>
        <v>13</v>
      </c>
      <c r="O115" s="269"/>
      <c r="P115" s="290"/>
      <c r="Q115" s="142"/>
    </row>
    <row r="116" spans="1:21" ht="15.6" thickTop="1" thickBot="1">
      <c r="A116" s="73"/>
      <c r="B116" s="380"/>
      <c r="C116" s="143" t="s">
        <v>56</v>
      </c>
      <c r="D116" s="266">
        <v>17</v>
      </c>
      <c r="E116" s="267">
        <v>17</v>
      </c>
      <c r="F116" s="268">
        <v>3</v>
      </c>
      <c r="G116" s="268">
        <v>8</v>
      </c>
      <c r="H116" s="268"/>
      <c r="I116" s="268">
        <v>1</v>
      </c>
      <c r="J116" s="268">
        <v>2</v>
      </c>
      <c r="K116" s="268"/>
      <c r="L116" s="289"/>
      <c r="M116" s="267">
        <f t="shared" si="39"/>
        <v>0</v>
      </c>
      <c r="N116" s="269">
        <f t="shared" si="40"/>
        <v>17</v>
      </c>
      <c r="O116" s="269"/>
      <c r="P116" s="290"/>
      <c r="Q116" s="142"/>
    </row>
    <row r="117" spans="1:21" ht="15.6" thickTop="1" thickBot="1">
      <c r="A117" s="73"/>
      <c r="B117" s="380"/>
      <c r="C117" s="143" t="s">
        <v>50</v>
      </c>
      <c r="D117" s="266">
        <v>22</v>
      </c>
      <c r="E117" s="267">
        <v>22</v>
      </c>
      <c r="F117" s="268">
        <v>1</v>
      </c>
      <c r="G117" s="268">
        <v>6</v>
      </c>
      <c r="H117" s="268"/>
      <c r="I117" s="268">
        <v>1</v>
      </c>
      <c r="J117" s="268"/>
      <c r="K117" s="268"/>
      <c r="L117" s="289"/>
      <c r="M117" s="267">
        <f t="shared" si="39"/>
        <v>0</v>
      </c>
      <c r="N117" s="279">
        <f t="shared" si="40"/>
        <v>22</v>
      </c>
      <c r="O117" s="279"/>
      <c r="P117" s="294"/>
      <c r="Q117" s="142"/>
    </row>
    <row r="118" spans="1:21" ht="15.6" thickTop="1" thickBot="1">
      <c r="A118" s="73"/>
      <c r="B118" s="380"/>
      <c r="C118" s="143" t="s">
        <v>54</v>
      </c>
      <c r="D118" s="266">
        <v>12</v>
      </c>
      <c r="E118" s="267">
        <v>12</v>
      </c>
      <c r="F118" s="268">
        <v>6</v>
      </c>
      <c r="G118" s="268">
        <v>3</v>
      </c>
      <c r="H118" s="268"/>
      <c r="I118" s="268"/>
      <c r="J118" s="268">
        <v>3</v>
      </c>
      <c r="K118" s="268"/>
      <c r="L118" s="291"/>
      <c r="M118" s="267">
        <f t="shared" si="39"/>
        <v>0</v>
      </c>
      <c r="N118" s="269">
        <f t="shared" si="40"/>
        <v>12</v>
      </c>
      <c r="O118" s="269"/>
      <c r="P118" s="290"/>
      <c r="Q118" s="142"/>
    </row>
    <row r="119" spans="1:21" ht="15.6" thickTop="1" thickBot="1">
      <c r="A119" s="73"/>
      <c r="B119" s="380"/>
      <c r="C119" s="144" t="s">
        <v>69</v>
      </c>
      <c r="D119" s="318">
        <f>SUM(D113:D118)</f>
        <v>90</v>
      </c>
      <c r="E119" s="319">
        <f>SUM(E113:E118)</f>
        <v>89</v>
      </c>
      <c r="F119" s="320">
        <f t="shared" ref="F119:K119" si="41">SUM(F113:F118)</f>
        <v>17</v>
      </c>
      <c r="G119" s="320">
        <f t="shared" si="41"/>
        <v>30</v>
      </c>
      <c r="H119" s="320">
        <f t="shared" si="41"/>
        <v>0</v>
      </c>
      <c r="I119" s="320">
        <f t="shared" si="41"/>
        <v>2</v>
      </c>
      <c r="J119" s="320">
        <f t="shared" si="41"/>
        <v>7</v>
      </c>
      <c r="K119" s="320">
        <f t="shared" si="41"/>
        <v>0</v>
      </c>
      <c r="L119" s="307">
        <v>126487.52</v>
      </c>
      <c r="M119" s="271">
        <f>SUM(M113:M118)</f>
        <v>1</v>
      </c>
      <c r="N119" s="269">
        <f>SUM(N113:N118)</f>
        <v>90</v>
      </c>
      <c r="O119" s="129"/>
      <c r="P119" s="130"/>
      <c r="Q119" s="142"/>
    </row>
    <row r="120" spans="1:21" ht="15.6" thickTop="1" thickBot="1">
      <c r="A120" s="73"/>
      <c r="B120" s="380"/>
      <c r="C120" s="124" t="s">
        <v>45</v>
      </c>
      <c r="D120" s="272">
        <f>SUM(D113:D118)</f>
        <v>90</v>
      </c>
      <c r="E120" s="272">
        <f>SUM(E113:E118)</f>
        <v>89</v>
      </c>
      <c r="F120" s="381">
        <f>SUM(F119:K119)</f>
        <v>56</v>
      </c>
      <c r="G120" s="382"/>
      <c r="H120" s="382"/>
      <c r="I120" s="382"/>
      <c r="J120" s="382"/>
      <c r="K120" s="383"/>
      <c r="L120" s="274">
        <f>L119</f>
        <v>126487.52</v>
      </c>
      <c r="M120" s="272">
        <f>SUM(M113:M118)</f>
        <v>1</v>
      </c>
      <c r="N120" s="272">
        <f>SUM(N113:N118)</f>
        <v>90</v>
      </c>
      <c r="O120" s="272">
        <f>SUM(O119)</f>
        <v>0</v>
      </c>
      <c r="P120" s="275">
        <f>SUM(P119)</f>
        <v>0</v>
      </c>
      <c r="Q120" s="125"/>
      <c r="S120" s="134"/>
      <c r="T120" s="145">
        <f>$V$3+L12+L22+L32+L40+L48+L56+L64+L72+L80+L88+L96+L104+L112+L120</f>
        <v>5790789.5999999978</v>
      </c>
    </row>
    <row r="121" spans="1:21" ht="15.6" thickTop="1" thickBot="1">
      <c r="A121" s="73" t="str">
        <f ca="1">OFFSET('0'!$B$112,($A$1-1)*10,$B121-1)</f>
        <v>--</v>
      </c>
      <c r="B121" s="380">
        <f ca="1">OFFSET('0'!$B$111,($A$1-1)*10,14)</f>
        <v>15</v>
      </c>
      <c r="C121" s="143" t="s">
        <v>54</v>
      </c>
      <c r="D121" s="301">
        <v>2</v>
      </c>
      <c r="E121" s="302">
        <v>2</v>
      </c>
      <c r="F121" s="303">
        <v>1</v>
      </c>
      <c r="G121" s="303"/>
      <c r="H121" s="303"/>
      <c r="I121" s="303"/>
      <c r="J121" s="303"/>
      <c r="K121" s="303"/>
      <c r="L121" s="304"/>
      <c r="M121" s="302">
        <f t="shared" ref="M121:M126" si="42">SUM(D121-E121)</f>
        <v>0</v>
      </c>
      <c r="N121" s="305">
        <f t="shared" ref="N121:N126" si="43">SUM(E121,M121)</f>
        <v>2</v>
      </c>
      <c r="O121" s="305"/>
      <c r="P121" s="306"/>
      <c r="Q121" s="140"/>
    </row>
    <row r="122" spans="1:21" ht="15.6" thickTop="1" thickBot="1">
      <c r="A122" s="73"/>
      <c r="B122" s="380"/>
      <c r="C122" s="141" t="s">
        <v>164</v>
      </c>
      <c r="D122" s="266">
        <v>11</v>
      </c>
      <c r="E122" s="267">
        <v>11</v>
      </c>
      <c r="F122" s="268">
        <v>1</v>
      </c>
      <c r="G122" s="268">
        <v>3</v>
      </c>
      <c r="H122" s="268"/>
      <c r="I122" s="268"/>
      <c r="J122" s="268"/>
      <c r="K122" s="268"/>
      <c r="L122" s="289"/>
      <c r="M122" s="267">
        <f t="shared" si="42"/>
        <v>0</v>
      </c>
      <c r="N122" s="269">
        <f t="shared" si="43"/>
        <v>11</v>
      </c>
      <c r="O122" s="269"/>
      <c r="P122" s="290"/>
      <c r="Q122" s="142"/>
    </row>
    <row r="123" spans="1:21" ht="15.6" thickTop="1" thickBot="1">
      <c r="A123" s="73"/>
      <c r="B123" s="380"/>
      <c r="C123" s="141" t="s">
        <v>49</v>
      </c>
      <c r="D123" s="266">
        <v>11</v>
      </c>
      <c r="E123" s="267">
        <v>11</v>
      </c>
      <c r="F123" s="268">
        <v>1</v>
      </c>
      <c r="G123" s="268">
        <v>8</v>
      </c>
      <c r="H123" s="268"/>
      <c r="I123" s="268"/>
      <c r="J123" s="268"/>
      <c r="K123" s="268"/>
      <c r="L123" s="289"/>
      <c r="M123" s="267">
        <f t="shared" si="42"/>
        <v>0</v>
      </c>
      <c r="N123" s="269">
        <f t="shared" si="43"/>
        <v>11</v>
      </c>
      <c r="O123" s="269"/>
      <c r="P123" s="290"/>
      <c r="Q123" s="142"/>
      <c r="S123" s="134"/>
    </row>
    <row r="124" spans="1:21" ht="15.6" thickTop="1" thickBot="1">
      <c r="A124" s="73"/>
      <c r="B124" s="380"/>
      <c r="C124" s="143" t="s">
        <v>56</v>
      </c>
      <c r="D124" s="266">
        <v>10</v>
      </c>
      <c r="E124" s="267">
        <v>10</v>
      </c>
      <c r="F124" s="268">
        <v>4</v>
      </c>
      <c r="G124" s="268">
        <v>2</v>
      </c>
      <c r="H124" s="268"/>
      <c r="I124" s="268">
        <v>1</v>
      </c>
      <c r="J124" s="268">
        <v>1</v>
      </c>
      <c r="K124" s="268"/>
      <c r="L124" s="289"/>
      <c r="M124" s="267">
        <f t="shared" si="42"/>
        <v>0</v>
      </c>
      <c r="N124" s="269">
        <f t="shared" si="43"/>
        <v>10</v>
      </c>
      <c r="O124" s="269"/>
      <c r="P124" s="290"/>
      <c r="Q124" s="142"/>
      <c r="S124" s="134"/>
    </row>
    <row r="125" spans="1:21" ht="15.6" thickTop="1" thickBot="1">
      <c r="A125" s="73"/>
      <c r="B125" s="380"/>
      <c r="C125" s="143" t="s">
        <v>50</v>
      </c>
      <c r="D125" s="266">
        <v>15</v>
      </c>
      <c r="E125" s="267">
        <v>15</v>
      </c>
      <c r="F125" s="268"/>
      <c r="G125" s="268">
        <v>3</v>
      </c>
      <c r="H125" s="268"/>
      <c r="I125" s="268"/>
      <c r="J125" s="268"/>
      <c r="K125" s="268"/>
      <c r="L125" s="289">
        <v>53</v>
      </c>
      <c r="M125" s="267">
        <f t="shared" si="42"/>
        <v>0</v>
      </c>
      <c r="N125" s="269">
        <f t="shared" si="43"/>
        <v>15</v>
      </c>
      <c r="O125" s="269"/>
      <c r="P125" s="290"/>
      <c r="Q125" s="142"/>
      <c r="S125" s="134"/>
    </row>
    <row r="126" spans="1:21" ht="15.6" thickTop="1" thickBot="1">
      <c r="A126" s="73"/>
      <c r="B126" s="380"/>
      <c r="C126" s="143" t="s">
        <v>161</v>
      </c>
      <c r="D126" s="266">
        <v>6</v>
      </c>
      <c r="E126" s="267">
        <v>6</v>
      </c>
      <c r="F126" s="268">
        <v>1</v>
      </c>
      <c r="G126" s="268">
        <v>3</v>
      </c>
      <c r="H126" s="268"/>
      <c r="I126" s="268"/>
      <c r="J126" s="268">
        <v>2</v>
      </c>
      <c r="K126" s="268"/>
      <c r="L126" s="291"/>
      <c r="M126" s="267">
        <f t="shared" si="42"/>
        <v>0</v>
      </c>
      <c r="N126" s="269">
        <f t="shared" si="43"/>
        <v>6</v>
      </c>
      <c r="O126" s="269"/>
      <c r="P126" s="290"/>
      <c r="Q126" s="142"/>
      <c r="S126" s="134"/>
    </row>
    <row r="127" spans="1:21" ht="15.6" thickTop="1" thickBot="1">
      <c r="A127" s="73"/>
      <c r="B127" s="380"/>
      <c r="C127" s="144" t="s">
        <v>69</v>
      </c>
      <c r="D127" s="318">
        <f>SUM(D121:D126)</f>
        <v>55</v>
      </c>
      <c r="E127" s="319">
        <f>SUM(E121:E126)</f>
        <v>55</v>
      </c>
      <c r="F127" s="320">
        <f t="shared" ref="F127:K127" si="44">SUM(F121:F126)</f>
        <v>8</v>
      </c>
      <c r="G127" s="320">
        <f t="shared" si="44"/>
        <v>19</v>
      </c>
      <c r="H127" s="320">
        <f t="shared" si="44"/>
        <v>0</v>
      </c>
      <c r="I127" s="320">
        <f t="shared" si="44"/>
        <v>1</v>
      </c>
      <c r="J127" s="320">
        <f t="shared" si="44"/>
        <v>3</v>
      </c>
      <c r="K127" s="320">
        <f t="shared" si="44"/>
        <v>0</v>
      </c>
      <c r="L127" s="307">
        <v>141459.9</v>
      </c>
      <c r="M127" s="271">
        <f>SUM(M121:M126)</f>
        <v>0</v>
      </c>
      <c r="N127" s="269">
        <f>SUM(N121:N126)</f>
        <v>55</v>
      </c>
      <c r="O127" s="129"/>
      <c r="P127" s="130"/>
      <c r="Q127" s="142"/>
      <c r="S127" s="134"/>
    </row>
    <row r="128" spans="1:21" ht="15.6" thickTop="1" thickBot="1">
      <c r="A128" s="73"/>
      <c r="B128" s="380"/>
      <c r="C128" s="132" t="s">
        <v>45</v>
      </c>
      <c r="D128" s="281">
        <f>SUM(D121:D126)</f>
        <v>55</v>
      </c>
      <c r="E128" s="281">
        <f>SUM(E121:E126)</f>
        <v>55</v>
      </c>
      <c r="F128" s="381">
        <f>SUM(F127:K127)</f>
        <v>31</v>
      </c>
      <c r="G128" s="382"/>
      <c r="H128" s="382"/>
      <c r="I128" s="382"/>
      <c r="J128" s="382"/>
      <c r="K128" s="383"/>
      <c r="L128" s="282">
        <f>L127</f>
        <v>141459.9</v>
      </c>
      <c r="M128" s="272">
        <f>SUM(M121:M126)</f>
        <v>0</v>
      </c>
      <c r="N128" s="272">
        <f>SUM(N121:N126)</f>
        <v>55</v>
      </c>
      <c r="O128" s="272">
        <f>SUM(O127)</f>
        <v>0</v>
      </c>
      <c r="P128" s="310">
        <f>SUM(P127)</f>
        <v>0</v>
      </c>
      <c r="Q128" s="133"/>
      <c r="T128" s="145">
        <f>$V$3+L12+L22+L32+L40+L48+L56+L64+L72+L80+L88+L96+L104+L112+L120+L128</f>
        <v>5932249.4999999981</v>
      </c>
      <c r="U128" s="134"/>
    </row>
    <row r="129" spans="1:22" ht="15.6" thickTop="1" thickBot="1">
      <c r="A129" s="73" t="str">
        <f ca="1">OFFSET('0'!$B$112,($A$1-1)*10,$B129-1)</f>
        <v>--</v>
      </c>
      <c r="B129" s="380">
        <f ca="1">OFFSET('0'!$B$111,($A$1-1)*10,15)</f>
        <v>16</v>
      </c>
      <c r="C129" s="143" t="s">
        <v>161</v>
      </c>
      <c r="D129" s="301">
        <v>2</v>
      </c>
      <c r="E129" s="302">
        <v>2</v>
      </c>
      <c r="F129" s="303"/>
      <c r="G129" s="303"/>
      <c r="H129" s="303"/>
      <c r="I129" s="303"/>
      <c r="J129" s="303"/>
      <c r="K129" s="303"/>
      <c r="L129" s="304"/>
      <c r="M129" s="302">
        <f t="shared" ref="M129:M134" si="45">SUM(D129-E129)</f>
        <v>0</v>
      </c>
      <c r="N129" s="305">
        <f t="shared" ref="N129:N134" si="46">SUM(E129,M129)</f>
        <v>2</v>
      </c>
      <c r="O129" s="305"/>
      <c r="P129" s="306"/>
      <c r="Q129" s="140"/>
      <c r="V129" s="134"/>
    </row>
    <row r="130" spans="1:22" ht="15.6" thickTop="1" thickBot="1">
      <c r="A130" s="73"/>
      <c r="B130" s="380"/>
      <c r="C130" s="141" t="s">
        <v>49</v>
      </c>
      <c r="D130" s="266">
        <v>15</v>
      </c>
      <c r="E130" s="267">
        <v>15</v>
      </c>
      <c r="F130" s="268">
        <v>2</v>
      </c>
      <c r="G130" s="268">
        <v>8</v>
      </c>
      <c r="H130" s="268"/>
      <c r="I130" s="268"/>
      <c r="J130" s="268">
        <v>1</v>
      </c>
      <c r="K130" s="268"/>
      <c r="L130" s="289"/>
      <c r="M130" s="267">
        <f t="shared" si="45"/>
        <v>0</v>
      </c>
      <c r="N130" s="269">
        <f t="shared" si="46"/>
        <v>15</v>
      </c>
      <c r="O130" s="269"/>
      <c r="P130" s="290"/>
      <c r="Q130" s="142"/>
    </row>
    <row r="131" spans="1:22" ht="15.6" thickTop="1" thickBot="1">
      <c r="A131" s="73"/>
      <c r="B131" s="380"/>
      <c r="C131" s="141" t="s">
        <v>169</v>
      </c>
      <c r="D131" s="266">
        <v>15</v>
      </c>
      <c r="E131" s="267">
        <v>14</v>
      </c>
      <c r="F131" s="268"/>
      <c r="G131" s="268">
        <v>6</v>
      </c>
      <c r="H131" s="268"/>
      <c r="I131" s="268"/>
      <c r="J131" s="268"/>
      <c r="K131" s="268"/>
      <c r="L131" s="289"/>
      <c r="M131" s="267">
        <f t="shared" si="45"/>
        <v>1</v>
      </c>
      <c r="N131" s="269">
        <f t="shared" si="46"/>
        <v>15</v>
      </c>
      <c r="O131" s="269"/>
      <c r="P131" s="290"/>
      <c r="Q131" s="142"/>
    </row>
    <row r="132" spans="1:22" ht="15.6" thickTop="1" thickBot="1">
      <c r="A132" s="73"/>
      <c r="B132" s="380"/>
      <c r="C132" s="143" t="s">
        <v>158</v>
      </c>
      <c r="D132" s="266">
        <v>28</v>
      </c>
      <c r="E132" s="267">
        <v>27</v>
      </c>
      <c r="F132" s="268">
        <v>3</v>
      </c>
      <c r="G132" s="268">
        <v>22</v>
      </c>
      <c r="H132" s="268"/>
      <c r="I132" s="268">
        <v>1</v>
      </c>
      <c r="J132" s="268"/>
      <c r="K132" s="268"/>
      <c r="L132" s="289">
        <v>18310</v>
      </c>
      <c r="M132" s="267">
        <f t="shared" si="45"/>
        <v>1</v>
      </c>
      <c r="N132" s="269">
        <f t="shared" si="46"/>
        <v>28</v>
      </c>
      <c r="O132" s="269"/>
      <c r="P132" s="290"/>
      <c r="Q132" s="142"/>
    </row>
    <row r="133" spans="1:22" ht="15.6" thickTop="1" thickBot="1">
      <c r="A133" s="73"/>
      <c r="B133" s="380"/>
      <c r="C133" s="143" t="s">
        <v>50</v>
      </c>
      <c r="D133" s="266">
        <v>19</v>
      </c>
      <c r="E133" s="267">
        <v>19</v>
      </c>
      <c r="F133" s="268">
        <v>5</v>
      </c>
      <c r="G133" s="268">
        <v>3</v>
      </c>
      <c r="H133" s="268"/>
      <c r="I133" s="268">
        <v>1</v>
      </c>
      <c r="J133" s="268"/>
      <c r="K133" s="268"/>
      <c r="L133" s="289">
        <v>2762</v>
      </c>
      <c r="M133" s="267">
        <f t="shared" si="45"/>
        <v>0</v>
      </c>
      <c r="N133" s="279">
        <f t="shared" si="46"/>
        <v>19</v>
      </c>
      <c r="O133" s="279"/>
      <c r="P133" s="294"/>
      <c r="Q133" s="142"/>
    </row>
    <row r="134" spans="1:22" ht="15.6" thickTop="1" thickBot="1">
      <c r="A134" s="73"/>
      <c r="B134" s="380"/>
      <c r="C134" s="143" t="s">
        <v>53</v>
      </c>
      <c r="D134" s="266">
        <v>17</v>
      </c>
      <c r="E134" s="267">
        <v>17</v>
      </c>
      <c r="F134" s="268">
        <v>2</v>
      </c>
      <c r="G134" s="268">
        <v>2</v>
      </c>
      <c r="H134" s="268"/>
      <c r="I134" s="268">
        <v>1</v>
      </c>
      <c r="J134" s="268"/>
      <c r="K134" s="268"/>
      <c r="L134" s="291"/>
      <c r="M134" s="267">
        <f t="shared" si="45"/>
        <v>0</v>
      </c>
      <c r="N134" s="269">
        <f t="shared" si="46"/>
        <v>17</v>
      </c>
      <c r="O134" s="269"/>
      <c r="P134" s="290"/>
      <c r="Q134" s="142"/>
    </row>
    <row r="135" spans="1:22" ht="15.6" thickTop="1" thickBot="1">
      <c r="A135" s="73"/>
      <c r="B135" s="380"/>
      <c r="C135" s="144" t="s">
        <v>69</v>
      </c>
      <c r="D135" s="318">
        <f>SUM(D129:D134)</f>
        <v>96</v>
      </c>
      <c r="E135" s="319">
        <f>SUM(E129:E134)</f>
        <v>94</v>
      </c>
      <c r="F135" s="320">
        <f t="shared" ref="F135:K135" si="47">SUM(F129:F134)</f>
        <v>12</v>
      </c>
      <c r="G135" s="320">
        <f t="shared" si="47"/>
        <v>41</v>
      </c>
      <c r="H135" s="320">
        <f t="shared" si="47"/>
        <v>0</v>
      </c>
      <c r="I135" s="320">
        <f t="shared" si="47"/>
        <v>3</v>
      </c>
      <c r="J135" s="320">
        <f t="shared" si="47"/>
        <v>1</v>
      </c>
      <c r="K135" s="320">
        <f t="shared" si="47"/>
        <v>0</v>
      </c>
      <c r="L135" s="307">
        <v>37127.78</v>
      </c>
      <c r="M135" s="271">
        <f>SUM(M129:M134)</f>
        <v>2</v>
      </c>
      <c r="N135" s="269">
        <f>SUM(N129:N134)</f>
        <v>96</v>
      </c>
      <c r="O135" s="129">
        <v>1</v>
      </c>
      <c r="P135" s="130">
        <v>4</v>
      </c>
      <c r="Q135" s="142"/>
      <c r="S135" s="135"/>
    </row>
    <row r="136" spans="1:22" ht="15.6" thickTop="1" thickBot="1">
      <c r="A136" s="73"/>
      <c r="B136" s="380"/>
      <c r="C136" s="124" t="s">
        <v>45</v>
      </c>
      <c r="D136" s="272">
        <f>SUM(D129:D134)</f>
        <v>96</v>
      </c>
      <c r="E136" s="272">
        <f>SUM(E129:E134)</f>
        <v>94</v>
      </c>
      <c r="F136" s="381">
        <f>SUM(F135:K135)</f>
        <v>57</v>
      </c>
      <c r="G136" s="382"/>
      <c r="H136" s="382"/>
      <c r="I136" s="382"/>
      <c r="J136" s="382"/>
      <c r="K136" s="383"/>
      <c r="L136" s="274">
        <f>L135</f>
        <v>37127.78</v>
      </c>
      <c r="M136" s="272">
        <f>SUM(M129:M134)</f>
        <v>2</v>
      </c>
      <c r="N136" s="272">
        <f>SUM(N129:N134)</f>
        <v>96</v>
      </c>
      <c r="O136" s="272">
        <f>SUM(O135)</f>
        <v>1</v>
      </c>
      <c r="P136" s="275">
        <f>SUM(P135)</f>
        <v>4</v>
      </c>
      <c r="Q136" s="125"/>
      <c r="S136" s="134"/>
      <c r="T136" s="145">
        <f>$V$3+L12+L22+L32+L40+L48+L56+L64+L72+L80+L88+L96+L104+L112+L120+L128+L136</f>
        <v>5969377.2799999984</v>
      </c>
    </row>
    <row r="137" spans="1:22" ht="15.6" thickTop="1" thickBot="1">
      <c r="A137" s="73" t="str">
        <f ca="1">OFFSET('0'!$B$112,($A$1-1)*10,$B137-1)</f>
        <v>--</v>
      </c>
      <c r="B137" s="380">
        <f ca="1">OFFSET('0'!$B$111,($A$1-1)*10,16)</f>
        <v>17</v>
      </c>
      <c r="C137" s="143" t="s">
        <v>53</v>
      </c>
      <c r="D137" s="301">
        <v>0</v>
      </c>
      <c r="E137" s="302">
        <v>0</v>
      </c>
      <c r="F137" s="303"/>
      <c r="G137" s="303"/>
      <c r="H137" s="303"/>
      <c r="I137" s="303"/>
      <c r="J137" s="303"/>
      <c r="K137" s="303"/>
      <c r="L137" s="304"/>
      <c r="M137" s="302">
        <f t="shared" ref="M137:M142" si="48">SUM(D137-E137)</f>
        <v>0</v>
      </c>
      <c r="N137" s="305">
        <f t="shared" ref="N137:N142" si="49">SUM(E137,M137)</f>
        <v>0</v>
      </c>
      <c r="O137" s="305"/>
      <c r="P137" s="306"/>
      <c r="Q137" s="140"/>
    </row>
    <row r="138" spans="1:22" ht="15.6" thickTop="1" thickBot="1">
      <c r="A138" s="73"/>
      <c r="B138" s="380"/>
      <c r="C138" s="141" t="s">
        <v>48</v>
      </c>
      <c r="D138" s="284">
        <v>22</v>
      </c>
      <c r="E138" s="285">
        <v>19</v>
      </c>
      <c r="F138" s="286">
        <v>3</v>
      </c>
      <c r="G138" s="286"/>
      <c r="H138" s="286"/>
      <c r="I138" s="286">
        <v>4</v>
      </c>
      <c r="J138" s="286"/>
      <c r="K138" s="286"/>
      <c r="L138" s="295"/>
      <c r="M138" s="285">
        <f t="shared" si="48"/>
        <v>3</v>
      </c>
      <c r="N138" s="269">
        <f t="shared" si="49"/>
        <v>22</v>
      </c>
      <c r="O138" s="269"/>
      <c r="P138" s="294"/>
      <c r="Q138" s="147"/>
    </row>
    <row r="139" spans="1:22" ht="15.6" thickTop="1" thickBot="1">
      <c r="A139" s="73"/>
      <c r="B139" s="380"/>
      <c r="C139" s="141" t="s">
        <v>169</v>
      </c>
      <c r="D139" s="266">
        <v>10</v>
      </c>
      <c r="E139" s="267">
        <v>10</v>
      </c>
      <c r="F139" s="268">
        <v>1</v>
      </c>
      <c r="G139" s="268">
        <v>8</v>
      </c>
      <c r="H139" s="268"/>
      <c r="I139" s="268"/>
      <c r="J139" s="268"/>
      <c r="K139" s="268"/>
      <c r="L139" s="289"/>
      <c r="M139" s="267">
        <f t="shared" si="48"/>
        <v>0</v>
      </c>
      <c r="N139" s="269">
        <f t="shared" si="49"/>
        <v>10</v>
      </c>
      <c r="O139" s="269"/>
      <c r="P139" s="290"/>
      <c r="Q139" s="142"/>
    </row>
    <row r="140" spans="1:22" ht="15.6" thickTop="1" thickBot="1">
      <c r="A140" s="73"/>
      <c r="B140" s="380"/>
      <c r="C140" s="143" t="s">
        <v>55</v>
      </c>
      <c r="D140" s="266">
        <v>8</v>
      </c>
      <c r="E140" s="267">
        <v>8</v>
      </c>
      <c r="F140" s="268">
        <v>1</v>
      </c>
      <c r="G140" s="268">
        <v>6</v>
      </c>
      <c r="H140" s="268"/>
      <c r="I140" s="268"/>
      <c r="J140" s="268">
        <v>1</v>
      </c>
      <c r="K140" s="268"/>
      <c r="L140" s="289"/>
      <c r="M140" s="267">
        <f t="shared" si="48"/>
        <v>0</v>
      </c>
      <c r="N140" s="269">
        <f t="shared" si="49"/>
        <v>8</v>
      </c>
      <c r="O140" s="269"/>
      <c r="P140" s="290"/>
      <c r="Q140" s="142"/>
    </row>
    <row r="141" spans="1:22" ht="15.6" thickTop="1" thickBot="1">
      <c r="A141" s="73"/>
      <c r="B141" s="380"/>
      <c r="C141" s="143" t="s">
        <v>158</v>
      </c>
      <c r="D141" s="266">
        <v>15</v>
      </c>
      <c r="E141" s="267">
        <v>14</v>
      </c>
      <c r="F141" s="268">
        <v>2</v>
      </c>
      <c r="G141" s="268">
        <v>8</v>
      </c>
      <c r="H141" s="268"/>
      <c r="I141" s="268">
        <v>1</v>
      </c>
      <c r="J141" s="268">
        <v>1</v>
      </c>
      <c r="K141" s="268"/>
      <c r="L141" s="289">
        <v>16328</v>
      </c>
      <c r="M141" s="267">
        <f t="shared" si="48"/>
        <v>1</v>
      </c>
      <c r="N141" s="269">
        <f t="shared" si="49"/>
        <v>15</v>
      </c>
      <c r="O141" s="269"/>
      <c r="P141" s="290"/>
      <c r="Q141" s="142"/>
    </row>
    <row r="142" spans="1:22" ht="15.6" thickTop="1" thickBot="1">
      <c r="A142" s="73"/>
      <c r="B142" s="380"/>
      <c r="C142" s="143" t="s">
        <v>60</v>
      </c>
      <c r="D142" s="276">
        <v>9</v>
      </c>
      <c r="E142" s="277">
        <v>9</v>
      </c>
      <c r="F142" s="278">
        <v>2</v>
      </c>
      <c r="G142" s="278"/>
      <c r="H142" s="278"/>
      <c r="I142" s="278">
        <v>1</v>
      </c>
      <c r="J142" s="278">
        <v>1</v>
      </c>
      <c r="K142" s="278"/>
      <c r="L142" s="291"/>
      <c r="M142" s="277">
        <f t="shared" si="48"/>
        <v>0</v>
      </c>
      <c r="N142" s="280">
        <f t="shared" si="49"/>
        <v>9</v>
      </c>
      <c r="O142" s="280"/>
      <c r="P142" s="293"/>
      <c r="Q142" s="148"/>
    </row>
    <row r="143" spans="1:22" ht="15.6" thickTop="1" thickBot="1">
      <c r="A143" s="73"/>
      <c r="B143" s="380"/>
      <c r="C143" s="144" t="s">
        <v>69</v>
      </c>
      <c r="D143" s="333">
        <f>SUM(D137:D142)</f>
        <v>64</v>
      </c>
      <c r="E143" s="334">
        <f>SUM(E137:E142)</f>
        <v>60</v>
      </c>
      <c r="F143" s="335">
        <f t="shared" ref="F143:K143" si="50">SUM(F137:F142)</f>
        <v>9</v>
      </c>
      <c r="G143" s="335">
        <f t="shared" si="50"/>
        <v>22</v>
      </c>
      <c r="H143" s="335">
        <f t="shared" si="50"/>
        <v>0</v>
      </c>
      <c r="I143" s="335">
        <f t="shared" si="50"/>
        <v>6</v>
      </c>
      <c r="J143" s="335">
        <f t="shared" si="50"/>
        <v>3</v>
      </c>
      <c r="K143" s="335">
        <f t="shared" si="50"/>
        <v>0</v>
      </c>
      <c r="L143" s="307">
        <v>124618.83</v>
      </c>
      <c r="M143" s="309">
        <f>SUM(M137:M142)</f>
        <v>4</v>
      </c>
      <c r="N143" s="280">
        <f>SUM(N137:N142)</f>
        <v>64</v>
      </c>
      <c r="O143" s="149"/>
      <c r="P143" s="150"/>
      <c r="Q143" s="148"/>
    </row>
    <row r="144" spans="1:22" ht="15.6" thickTop="1" thickBot="1">
      <c r="A144" s="73"/>
      <c r="B144" s="380"/>
      <c r="C144" s="124" t="s">
        <v>45</v>
      </c>
      <c r="D144" s="272">
        <f>SUM(D137:D142)</f>
        <v>64</v>
      </c>
      <c r="E144" s="272">
        <f>SUM(E137:E142)</f>
        <v>60</v>
      </c>
      <c r="F144" s="381">
        <f>SUM(F143:K143)</f>
        <v>40</v>
      </c>
      <c r="G144" s="382"/>
      <c r="H144" s="382"/>
      <c r="I144" s="382"/>
      <c r="J144" s="382"/>
      <c r="K144" s="383"/>
      <c r="L144" s="274">
        <f>L143</f>
        <v>124618.83</v>
      </c>
      <c r="M144" s="272">
        <f>SUM(M137:M142)</f>
        <v>4</v>
      </c>
      <c r="N144" s="272">
        <f>SUM(N137:N142)</f>
        <v>64</v>
      </c>
      <c r="O144" s="272">
        <f>SUM(O143)</f>
        <v>0</v>
      </c>
      <c r="P144" s="275">
        <f>SUM(P143)</f>
        <v>0</v>
      </c>
      <c r="Q144" s="125"/>
      <c r="T144" s="145">
        <f>$V$3+L12+L22+L32+L40+L48+L56+L64+L72+L80+L88+L96+L104+L112+L120+L128+L136+L144</f>
        <v>6093996.1099999985</v>
      </c>
    </row>
    <row r="145" spans="1:20" ht="15.6" thickTop="1" thickBot="1">
      <c r="A145" s="73" t="str">
        <f ca="1">OFFSET('0'!$B$112,($A$1-1)*10,$B145-1)</f>
        <v>--</v>
      </c>
      <c r="B145" s="380">
        <f ca="1">OFFSET('0'!$B$111,($A$1-1)*10,17)</f>
        <v>18</v>
      </c>
      <c r="C145" s="143" t="s">
        <v>60</v>
      </c>
      <c r="D145" s="301">
        <v>4</v>
      </c>
      <c r="E145" s="302">
        <v>4</v>
      </c>
      <c r="F145" s="303">
        <v>3</v>
      </c>
      <c r="G145" s="303"/>
      <c r="H145" s="303"/>
      <c r="I145" s="303"/>
      <c r="J145" s="303"/>
      <c r="K145" s="303"/>
      <c r="L145" s="304"/>
      <c r="M145" s="302">
        <f t="shared" ref="M145:M150" si="51">SUM(D145-E145)</f>
        <v>0</v>
      </c>
      <c r="N145" s="305">
        <f t="shared" ref="N145:N150" si="52">SUM(E145,M145)</f>
        <v>4</v>
      </c>
      <c r="O145" s="305"/>
      <c r="P145" s="306"/>
      <c r="Q145" s="140"/>
    </row>
    <row r="146" spans="1:20" ht="15.6" thickTop="1" thickBot="1">
      <c r="A146" s="73"/>
      <c r="B146" s="380"/>
      <c r="C146" s="141" t="s">
        <v>48</v>
      </c>
      <c r="D146" s="284">
        <v>15</v>
      </c>
      <c r="E146" s="285">
        <v>14</v>
      </c>
      <c r="F146" s="286"/>
      <c r="G146" s="286">
        <v>4</v>
      </c>
      <c r="H146" s="286"/>
      <c r="I146" s="286">
        <v>1</v>
      </c>
      <c r="J146" s="286"/>
      <c r="K146" s="286"/>
      <c r="L146" s="295"/>
      <c r="M146" s="285">
        <f t="shared" si="51"/>
        <v>1</v>
      </c>
      <c r="N146" s="269">
        <f t="shared" si="52"/>
        <v>15</v>
      </c>
      <c r="O146" s="269"/>
      <c r="P146" s="294"/>
      <c r="Q146" s="147"/>
    </row>
    <row r="147" spans="1:20" ht="15.6" thickTop="1" thickBot="1">
      <c r="A147" s="73"/>
      <c r="B147" s="380"/>
      <c r="C147" s="141" t="s">
        <v>169</v>
      </c>
      <c r="D147" s="284">
        <v>12</v>
      </c>
      <c r="E147" s="285">
        <v>11</v>
      </c>
      <c r="F147" s="286">
        <v>1</v>
      </c>
      <c r="G147" s="286">
        <v>4</v>
      </c>
      <c r="H147" s="286"/>
      <c r="I147" s="286"/>
      <c r="J147" s="286"/>
      <c r="K147" s="286"/>
      <c r="L147" s="295"/>
      <c r="M147" s="285">
        <f t="shared" si="51"/>
        <v>1</v>
      </c>
      <c r="N147" s="269">
        <f t="shared" si="52"/>
        <v>12</v>
      </c>
      <c r="O147" s="269"/>
      <c r="P147" s="294"/>
      <c r="Q147" s="147"/>
    </row>
    <row r="148" spans="1:20" ht="15.6" thickTop="1" thickBot="1">
      <c r="A148" s="73"/>
      <c r="B148" s="380"/>
      <c r="C148" s="143" t="s">
        <v>55</v>
      </c>
      <c r="D148" s="266">
        <v>16</v>
      </c>
      <c r="E148" s="267">
        <v>15</v>
      </c>
      <c r="F148" s="268">
        <v>4</v>
      </c>
      <c r="G148" s="268">
        <v>6</v>
      </c>
      <c r="H148" s="268"/>
      <c r="I148" s="268"/>
      <c r="J148" s="268">
        <v>1</v>
      </c>
      <c r="K148" s="268"/>
      <c r="L148" s="289"/>
      <c r="M148" s="267">
        <f t="shared" si="51"/>
        <v>1</v>
      </c>
      <c r="N148" s="269">
        <f t="shared" si="52"/>
        <v>16</v>
      </c>
      <c r="O148" s="269"/>
      <c r="P148" s="290"/>
      <c r="Q148" s="142"/>
    </row>
    <row r="149" spans="1:20" s="120" customFormat="1" ht="15.6" thickTop="1" thickBot="1">
      <c r="A149" s="74"/>
      <c r="B149" s="380"/>
      <c r="C149" s="143" t="s">
        <v>46</v>
      </c>
      <c r="D149" s="266">
        <v>16</v>
      </c>
      <c r="E149" s="267">
        <v>15</v>
      </c>
      <c r="F149" s="268">
        <v>4</v>
      </c>
      <c r="G149" s="268">
        <v>10</v>
      </c>
      <c r="H149" s="268"/>
      <c r="I149" s="268">
        <v>1</v>
      </c>
      <c r="J149" s="268"/>
      <c r="K149" s="268"/>
      <c r="L149" s="289"/>
      <c r="M149" s="267">
        <f t="shared" si="51"/>
        <v>1</v>
      </c>
      <c r="N149" s="269">
        <f t="shared" si="52"/>
        <v>16</v>
      </c>
      <c r="O149" s="269"/>
      <c r="P149" s="290"/>
      <c r="Q149" s="142"/>
    </row>
    <row r="150" spans="1:20" s="120" customFormat="1" ht="15.6" thickTop="1" thickBot="1">
      <c r="A150" s="74"/>
      <c r="B150" s="380"/>
      <c r="C150" s="143" t="s">
        <v>157</v>
      </c>
      <c r="D150" s="266">
        <v>9</v>
      </c>
      <c r="E150" s="267">
        <v>8</v>
      </c>
      <c r="F150" s="268">
        <v>1</v>
      </c>
      <c r="G150" s="268"/>
      <c r="H150" s="268"/>
      <c r="I150" s="268">
        <v>2</v>
      </c>
      <c r="J150" s="268">
        <v>1</v>
      </c>
      <c r="K150" s="268"/>
      <c r="L150" s="289"/>
      <c r="M150" s="267">
        <f t="shared" si="51"/>
        <v>1</v>
      </c>
      <c r="N150" s="269">
        <f t="shared" si="52"/>
        <v>9</v>
      </c>
      <c r="O150" s="269"/>
      <c r="P150" s="290"/>
      <c r="Q150" s="142"/>
    </row>
    <row r="151" spans="1:20" ht="15.6" thickTop="1" thickBot="1">
      <c r="A151" s="73"/>
      <c r="B151" s="380"/>
      <c r="C151" s="144" t="s">
        <v>69</v>
      </c>
      <c r="D151" s="318">
        <f>SUM(D145:D150)</f>
        <v>72</v>
      </c>
      <c r="E151" s="319">
        <f>SUM(E145:E150)</f>
        <v>67</v>
      </c>
      <c r="F151" s="320">
        <f>SUM(F145:F150)</f>
        <v>13</v>
      </c>
      <c r="G151" s="320">
        <f t="shared" ref="G151:K151" si="53">SUM(G145:G150)</f>
        <v>24</v>
      </c>
      <c r="H151" s="320">
        <f t="shared" si="53"/>
        <v>0</v>
      </c>
      <c r="I151" s="320">
        <f t="shared" si="53"/>
        <v>4</v>
      </c>
      <c r="J151" s="320">
        <f t="shared" si="53"/>
        <v>2</v>
      </c>
      <c r="K151" s="320">
        <f t="shared" si="53"/>
        <v>0</v>
      </c>
      <c r="L151" s="307">
        <v>89385.9</v>
      </c>
      <c r="M151" s="271">
        <f>SUM(M145:M150)</f>
        <v>5</v>
      </c>
      <c r="N151" s="269">
        <f>SUM(N145:N150)</f>
        <v>72</v>
      </c>
      <c r="O151" s="129">
        <v>3</v>
      </c>
      <c r="P151" s="130">
        <v>7</v>
      </c>
      <c r="Q151" s="142"/>
    </row>
    <row r="152" spans="1:20" ht="15.6" thickTop="1" thickBot="1">
      <c r="A152" s="73"/>
      <c r="B152" s="380"/>
      <c r="C152" s="124" t="s">
        <v>45</v>
      </c>
      <c r="D152" s="272">
        <f>SUM(D145:D150)</f>
        <v>72</v>
      </c>
      <c r="E152" s="272">
        <f>SUM(E145:E150)</f>
        <v>67</v>
      </c>
      <c r="F152" s="381">
        <f>SUM(F151:K151)</f>
        <v>43</v>
      </c>
      <c r="G152" s="382"/>
      <c r="H152" s="382"/>
      <c r="I152" s="382"/>
      <c r="J152" s="382"/>
      <c r="K152" s="383"/>
      <c r="L152" s="274">
        <f>L151</f>
        <v>89385.9</v>
      </c>
      <c r="M152" s="272">
        <f>SUM(M145:M150)</f>
        <v>5</v>
      </c>
      <c r="N152" s="272">
        <f>SUM(N145:N150)</f>
        <v>72</v>
      </c>
      <c r="O152" s="272">
        <f>SUM(O151)</f>
        <v>3</v>
      </c>
      <c r="P152" s="275">
        <f>SUM(P151)</f>
        <v>7</v>
      </c>
      <c r="Q152" s="125"/>
      <c r="T152" s="145">
        <f>$V$3+L12+L22+L32+L40+L48+L56+L64+L72+L80+L88+L96+L104+L112+L120+L128+L136+L144+L152</f>
        <v>6183382.0099999988</v>
      </c>
    </row>
    <row r="153" spans="1:20" ht="15.6" thickTop="1" thickBot="1">
      <c r="A153" s="73" t="str">
        <f ca="1">OFFSET('0'!$B$112,($A$1-1)*10,$B153-1)</f>
        <v>SS</v>
      </c>
      <c r="B153" s="380">
        <f ca="1">OFFSET('0'!$B$111,($A$1-1)*10,18)</f>
        <v>19</v>
      </c>
      <c r="C153" s="143" t="s">
        <v>157</v>
      </c>
      <c r="D153" s="301">
        <v>2</v>
      </c>
      <c r="E153" s="302">
        <v>2</v>
      </c>
      <c r="F153" s="303"/>
      <c r="G153" s="303"/>
      <c r="H153" s="303"/>
      <c r="I153" s="303"/>
      <c r="J153" s="303"/>
      <c r="K153" s="303"/>
      <c r="L153" s="304"/>
      <c r="M153" s="302">
        <f t="shared" ref="M153:M158" si="54">SUM(D153-E153)</f>
        <v>0</v>
      </c>
      <c r="N153" s="305">
        <f t="shared" ref="N153:N158" si="55">SUM(E153,M153)</f>
        <v>2</v>
      </c>
      <c r="O153" s="305"/>
      <c r="P153" s="296"/>
      <c r="Q153" s="140"/>
    </row>
    <row r="154" spans="1:20" s="120" customFormat="1" ht="15.6" thickTop="1" thickBot="1">
      <c r="A154" s="74"/>
      <c r="B154" s="380"/>
      <c r="C154" s="141" t="s">
        <v>164</v>
      </c>
      <c r="D154" s="284">
        <v>10</v>
      </c>
      <c r="E154" s="285">
        <v>10</v>
      </c>
      <c r="F154" s="286">
        <v>4</v>
      </c>
      <c r="G154" s="286">
        <v>2</v>
      </c>
      <c r="H154" s="286"/>
      <c r="I154" s="286">
        <v>1</v>
      </c>
      <c r="J154" s="286"/>
      <c r="K154" s="286"/>
      <c r="L154" s="295"/>
      <c r="M154" s="285">
        <f t="shared" si="54"/>
        <v>0</v>
      </c>
      <c r="N154" s="269">
        <f t="shared" si="55"/>
        <v>10</v>
      </c>
      <c r="O154" s="269"/>
      <c r="P154" s="296"/>
      <c r="Q154" s="147"/>
    </row>
    <row r="155" spans="1:20" ht="15.6" thickTop="1" thickBot="1">
      <c r="A155" s="73"/>
      <c r="B155" s="380"/>
      <c r="C155" s="141" t="s">
        <v>46</v>
      </c>
      <c r="D155" s="284">
        <v>12</v>
      </c>
      <c r="E155" s="285">
        <v>12</v>
      </c>
      <c r="F155" s="286">
        <v>2</v>
      </c>
      <c r="G155" s="286">
        <v>4</v>
      </c>
      <c r="H155" s="286"/>
      <c r="I155" s="286"/>
      <c r="J155" s="286"/>
      <c r="K155" s="286"/>
      <c r="L155" s="295"/>
      <c r="M155" s="285">
        <f t="shared" si="54"/>
        <v>0</v>
      </c>
      <c r="N155" s="269">
        <f t="shared" si="55"/>
        <v>12</v>
      </c>
      <c r="O155" s="269"/>
      <c r="P155" s="294"/>
      <c r="Q155" s="147"/>
    </row>
    <row r="156" spans="1:20" ht="15.6" thickTop="1" thickBot="1">
      <c r="A156" s="73"/>
      <c r="B156" s="380"/>
      <c r="C156" s="143" t="s">
        <v>51</v>
      </c>
      <c r="D156" s="266">
        <v>7</v>
      </c>
      <c r="E156" s="267">
        <v>7</v>
      </c>
      <c r="F156" s="268">
        <v>2</v>
      </c>
      <c r="G156" s="268"/>
      <c r="H156" s="268"/>
      <c r="I156" s="268"/>
      <c r="J156" s="268"/>
      <c r="K156" s="268"/>
      <c r="L156" s="289"/>
      <c r="M156" s="267">
        <f t="shared" si="54"/>
        <v>0</v>
      </c>
      <c r="N156" s="269">
        <f t="shared" si="55"/>
        <v>7</v>
      </c>
      <c r="O156" s="269"/>
      <c r="P156" s="290"/>
      <c r="Q156" s="142"/>
    </row>
    <row r="157" spans="1:20" ht="15.6" thickTop="1" thickBot="1">
      <c r="A157" s="73"/>
      <c r="B157" s="380"/>
      <c r="C157" s="143"/>
      <c r="D157" s="266"/>
      <c r="E157" s="267"/>
      <c r="F157" s="268"/>
      <c r="G157" s="268"/>
      <c r="H157" s="268"/>
      <c r="I157" s="268"/>
      <c r="J157" s="268"/>
      <c r="K157" s="268"/>
      <c r="L157" s="289"/>
      <c r="M157" s="267">
        <f t="shared" si="54"/>
        <v>0</v>
      </c>
      <c r="N157" s="269">
        <f t="shared" si="55"/>
        <v>0</v>
      </c>
      <c r="O157" s="269"/>
      <c r="P157" s="290"/>
      <c r="Q157" s="142"/>
    </row>
    <row r="158" spans="1:20" ht="15.6" thickTop="1" thickBot="1">
      <c r="A158" s="73"/>
      <c r="B158" s="380"/>
      <c r="C158" s="143"/>
      <c r="D158" s="266"/>
      <c r="E158" s="267"/>
      <c r="F158" s="268"/>
      <c r="G158" s="268"/>
      <c r="H158" s="268"/>
      <c r="I158" s="268"/>
      <c r="J158" s="268"/>
      <c r="K158" s="268"/>
      <c r="L158" s="291"/>
      <c r="M158" s="267">
        <f t="shared" si="54"/>
        <v>0</v>
      </c>
      <c r="N158" s="269">
        <f t="shared" si="55"/>
        <v>0</v>
      </c>
      <c r="O158" s="269"/>
      <c r="P158" s="290"/>
      <c r="Q158" s="142"/>
    </row>
    <row r="159" spans="1:20" ht="15.6" thickTop="1" thickBot="1">
      <c r="A159" s="73"/>
      <c r="B159" s="380"/>
      <c r="C159" s="144" t="s">
        <v>69</v>
      </c>
      <c r="D159" s="318">
        <f>SUM(D153:D158)</f>
        <v>31</v>
      </c>
      <c r="E159" s="319">
        <f>SUM(E153:E158)</f>
        <v>31</v>
      </c>
      <c r="F159" s="320">
        <f t="shared" ref="F159:K159" si="56">SUM(F153:F158)</f>
        <v>8</v>
      </c>
      <c r="G159" s="320">
        <f t="shared" si="56"/>
        <v>6</v>
      </c>
      <c r="H159" s="320">
        <f t="shared" si="56"/>
        <v>0</v>
      </c>
      <c r="I159" s="320">
        <f t="shared" si="56"/>
        <v>1</v>
      </c>
      <c r="J159" s="320">
        <f t="shared" si="56"/>
        <v>0</v>
      </c>
      <c r="K159" s="320">
        <f t="shared" si="56"/>
        <v>0</v>
      </c>
      <c r="L159" s="307">
        <v>11337.14</v>
      </c>
      <c r="M159" s="271">
        <f>SUM(M153:M158)</f>
        <v>0</v>
      </c>
      <c r="N159" s="269">
        <f>SUM(N153:N158)</f>
        <v>31</v>
      </c>
      <c r="O159" s="129"/>
      <c r="P159" s="130">
        <v>1</v>
      </c>
      <c r="Q159" s="142"/>
    </row>
    <row r="160" spans="1:20" ht="15.6" thickTop="1" thickBot="1">
      <c r="A160" s="73"/>
      <c r="B160" s="380"/>
      <c r="C160" s="124" t="s">
        <v>45</v>
      </c>
      <c r="D160" s="272">
        <f>SUM(D153:D158)</f>
        <v>31</v>
      </c>
      <c r="E160" s="272">
        <f>SUM(E153:E158)</f>
        <v>31</v>
      </c>
      <c r="F160" s="381">
        <f>SUM(F159:K159)</f>
        <v>15</v>
      </c>
      <c r="G160" s="382"/>
      <c r="H160" s="382"/>
      <c r="I160" s="382"/>
      <c r="J160" s="382"/>
      <c r="K160" s="383"/>
      <c r="L160" s="274">
        <f>L159</f>
        <v>11337.14</v>
      </c>
      <c r="M160" s="272">
        <f>SUM(M153:M158)</f>
        <v>0</v>
      </c>
      <c r="N160" s="272">
        <f>SUM(N153:N158)</f>
        <v>31</v>
      </c>
      <c r="O160" s="272">
        <f>SUM(O159)</f>
        <v>0</v>
      </c>
      <c r="P160" s="275">
        <f>SUM(P159)</f>
        <v>1</v>
      </c>
      <c r="Q160" s="125"/>
      <c r="T160" s="145">
        <f>$V$3+L12+L22+L32+L40+L48+L56+L64+L72+L80+L88+L96+L104+L112+L120+L128+L136+L144+L152+L160</f>
        <v>6194719.1499999985</v>
      </c>
    </row>
    <row r="161" spans="1:20" ht="15.6" thickTop="1" thickBot="1">
      <c r="A161" s="73" t="str">
        <f ca="1">OFFSET('0'!$B$112,($A$1-1)*10,$B161-1)</f>
        <v>SV</v>
      </c>
      <c r="B161" s="380">
        <f ca="1">OFFSET('0'!$B$111,($A$1-1)*10,19)</f>
        <v>20</v>
      </c>
      <c r="C161" s="143" t="s">
        <v>51</v>
      </c>
      <c r="D161" s="301">
        <v>2</v>
      </c>
      <c r="E161" s="302">
        <v>2</v>
      </c>
      <c r="F161" s="303"/>
      <c r="G161" s="303"/>
      <c r="H161" s="303"/>
      <c r="I161" s="303"/>
      <c r="J161" s="303"/>
      <c r="K161" s="303"/>
      <c r="L161" s="304"/>
      <c r="M161" s="302">
        <f t="shared" ref="M161:M166" si="57">SUM(D161-E161)</f>
        <v>0</v>
      </c>
      <c r="N161" s="305">
        <f t="shared" ref="N161:N166" si="58">SUM(E161,M161)</f>
        <v>2</v>
      </c>
      <c r="O161" s="305"/>
      <c r="P161" s="296"/>
      <c r="Q161" s="140"/>
    </row>
    <row r="162" spans="1:20" ht="15.6" thickTop="1" thickBot="1">
      <c r="A162" s="73"/>
      <c r="B162" s="380"/>
      <c r="C162" s="141" t="s">
        <v>50</v>
      </c>
      <c r="D162" s="284">
        <v>4</v>
      </c>
      <c r="E162" s="285">
        <v>3</v>
      </c>
      <c r="F162" s="286">
        <v>2</v>
      </c>
      <c r="G162" s="286"/>
      <c r="H162" s="286"/>
      <c r="I162" s="286">
        <v>1</v>
      </c>
      <c r="J162" s="286"/>
      <c r="K162" s="286"/>
      <c r="L162" s="295">
        <v>4890</v>
      </c>
      <c r="M162" s="285">
        <f t="shared" si="57"/>
        <v>1</v>
      </c>
      <c r="N162" s="269">
        <f t="shared" si="58"/>
        <v>4</v>
      </c>
      <c r="O162" s="269"/>
      <c r="P162" s="296"/>
      <c r="Q162" s="147"/>
    </row>
    <row r="163" spans="1:20" s="120" customFormat="1" ht="15.6" thickTop="1" thickBot="1">
      <c r="A163" s="74"/>
      <c r="B163" s="380"/>
      <c r="C163" s="141" t="s">
        <v>56</v>
      </c>
      <c r="D163" s="284">
        <v>4</v>
      </c>
      <c r="E163" s="285">
        <v>4</v>
      </c>
      <c r="F163" s="286"/>
      <c r="G163" s="286"/>
      <c r="H163" s="286"/>
      <c r="I163" s="286">
        <v>2</v>
      </c>
      <c r="J163" s="286"/>
      <c r="K163" s="286"/>
      <c r="L163" s="295"/>
      <c r="M163" s="285">
        <f t="shared" si="57"/>
        <v>0</v>
      </c>
      <c r="N163" s="269">
        <f t="shared" si="58"/>
        <v>4</v>
      </c>
      <c r="O163" s="269"/>
      <c r="P163" s="296"/>
      <c r="Q163" s="147"/>
    </row>
    <row r="164" spans="1:20" ht="15.6" thickTop="1" thickBot="1">
      <c r="A164" s="73"/>
      <c r="B164" s="380"/>
      <c r="C164" s="143" t="s">
        <v>163</v>
      </c>
      <c r="D164" s="266">
        <v>7</v>
      </c>
      <c r="E164" s="267">
        <v>7</v>
      </c>
      <c r="F164" s="268">
        <v>3</v>
      </c>
      <c r="G164" s="268"/>
      <c r="H164" s="268"/>
      <c r="I164" s="268">
        <v>2</v>
      </c>
      <c r="J164" s="268">
        <v>1</v>
      </c>
      <c r="K164" s="268"/>
      <c r="L164" s="289"/>
      <c r="M164" s="267">
        <f t="shared" si="57"/>
        <v>0</v>
      </c>
      <c r="N164" s="269">
        <f t="shared" si="58"/>
        <v>7</v>
      </c>
      <c r="O164" s="269"/>
      <c r="P164" s="296"/>
      <c r="Q164" s="142"/>
    </row>
    <row r="165" spans="1:20" ht="15.6" thickTop="1" thickBot="1">
      <c r="A165" s="73"/>
      <c r="B165" s="380"/>
      <c r="C165" s="143"/>
      <c r="D165" s="266"/>
      <c r="E165" s="267"/>
      <c r="F165" s="268"/>
      <c r="G165" s="268"/>
      <c r="H165" s="268"/>
      <c r="I165" s="268"/>
      <c r="J165" s="268"/>
      <c r="K165" s="268"/>
      <c r="L165" s="289"/>
      <c r="M165" s="267">
        <f t="shared" si="57"/>
        <v>0</v>
      </c>
      <c r="N165" s="269">
        <f t="shared" si="58"/>
        <v>0</v>
      </c>
      <c r="O165" s="269"/>
      <c r="P165" s="290"/>
      <c r="Q165" s="142"/>
    </row>
    <row r="166" spans="1:20" ht="15.6" thickTop="1" thickBot="1">
      <c r="A166" s="73"/>
      <c r="B166" s="380"/>
      <c r="C166" s="143"/>
      <c r="D166" s="266"/>
      <c r="E166" s="267"/>
      <c r="F166" s="268"/>
      <c r="G166" s="268"/>
      <c r="H166" s="268"/>
      <c r="I166" s="268"/>
      <c r="J166" s="268"/>
      <c r="K166" s="268"/>
      <c r="L166" s="291"/>
      <c r="M166" s="267">
        <f t="shared" si="57"/>
        <v>0</v>
      </c>
      <c r="N166" s="269">
        <f t="shared" si="58"/>
        <v>0</v>
      </c>
      <c r="O166" s="269"/>
      <c r="P166" s="290"/>
      <c r="Q166" s="142"/>
    </row>
    <row r="167" spans="1:20" ht="15.6" thickTop="1" thickBot="1">
      <c r="A167" s="73"/>
      <c r="B167" s="380"/>
      <c r="C167" s="144" t="s">
        <v>69</v>
      </c>
      <c r="D167" s="318">
        <f>SUM(D161:D166)</f>
        <v>17</v>
      </c>
      <c r="E167" s="319">
        <f>SUM(E161:E166)</f>
        <v>16</v>
      </c>
      <c r="F167" s="320">
        <f t="shared" ref="F167:K167" si="59">SUM(F161:F166)</f>
        <v>5</v>
      </c>
      <c r="G167" s="320">
        <f t="shared" si="59"/>
        <v>0</v>
      </c>
      <c r="H167" s="320">
        <f t="shared" si="59"/>
        <v>0</v>
      </c>
      <c r="I167" s="320">
        <f t="shared" si="59"/>
        <v>5</v>
      </c>
      <c r="J167" s="320">
        <f t="shared" si="59"/>
        <v>1</v>
      </c>
      <c r="K167" s="320">
        <f t="shared" si="59"/>
        <v>0</v>
      </c>
      <c r="L167" s="336">
        <v>12510.64</v>
      </c>
      <c r="M167" s="271">
        <f>SUM(M161:M166)</f>
        <v>1</v>
      </c>
      <c r="N167" s="269">
        <f>SUM(N161:N166)</f>
        <v>17</v>
      </c>
      <c r="O167" s="129"/>
      <c r="P167" s="130">
        <v>1</v>
      </c>
      <c r="Q167" s="142"/>
    </row>
    <row r="168" spans="1:20" ht="15.6" thickTop="1" thickBot="1">
      <c r="A168" s="73"/>
      <c r="B168" s="380"/>
      <c r="C168" s="124" t="s">
        <v>45</v>
      </c>
      <c r="D168" s="272">
        <f>SUM(D161:D166)</f>
        <v>17</v>
      </c>
      <c r="E168" s="272">
        <f>SUM(E161:E166)</f>
        <v>16</v>
      </c>
      <c r="F168" s="381">
        <f>SUM(F167:K167)</f>
        <v>11</v>
      </c>
      <c r="G168" s="382"/>
      <c r="H168" s="382"/>
      <c r="I168" s="382"/>
      <c r="J168" s="382"/>
      <c r="K168" s="383"/>
      <c r="L168" s="274">
        <f>L167</f>
        <v>12510.64</v>
      </c>
      <c r="M168" s="272">
        <f>SUM(M161:M166)</f>
        <v>1</v>
      </c>
      <c r="N168" s="272">
        <f>SUM(N161:N166)</f>
        <v>17</v>
      </c>
      <c r="O168" s="272">
        <f>SUM(O167)</f>
        <v>0</v>
      </c>
      <c r="P168" s="275">
        <f>SUM(P167)</f>
        <v>1</v>
      </c>
      <c r="Q168" s="125"/>
      <c r="T168" s="145">
        <f>$V$3+L12+L22+L32+L40+L48+L56+L64+L72+L80+L88+L96+L104+L112+L120+L128+L136+L144+L152+L160+L168</f>
        <v>6207229.7899999982</v>
      </c>
    </row>
    <row r="169" spans="1:20" ht="15.6" thickTop="1" thickBot="1">
      <c r="A169" s="73" t="str">
        <f ca="1">OFFSET('0'!$B$112,($A$1-1)*10,$B169-1)</f>
        <v>--</v>
      </c>
      <c r="B169" s="380">
        <f ca="1">OFFSET('0'!$B$111,($A$1-1)*10,20)</f>
        <v>21</v>
      </c>
      <c r="C169" s="143" t="s">
        <v>163</v>
      </c>
      <c r="D169" s="301">
        <v>0</v>
      </c>
      <c r="E169" s="302"/>
      <c r="F169" s="303"/>
      <c r="G169" s="303"/>
      <c r="H169" s="303"/>
      <c r="I169" s="303"/>
      <c r="J169" s="303"/>
      <c r="K169" s="303"/>
      <c r="L169" s="304"/>
      <c r="M169" s="302">
        <f t="shared" ref="M169:M174" si="60">SUM(D169-E169)</f>
        <v>0</v>
      </c>
      <c r="N169" s="305">
        <f t="shared" ref="N169:N174" si="61">SUM(E169,M169)</f>
        <v>0</v>
      </c>
      <c r="O169" s="305"/>
      <c r="P169" s="296"/>
      <c r="Q169" s="140"/>
    </row>
    <row r="170" spans="1:20" ht="15.6" thickTop="1" thickBot="1">
      <c r="A170" s="73"/>
      <c r="B170" s="380"/>
      <c r="C170" s="141" t="s">
        <v>49</v>
      </c>
      <c r="D170" s="284">
        <v>6</v>
      </c>
      <c r="E170" s="285">
        <v>6</v>
      </c>
      <c r="F170" s="286">
        <v>1</v>
      </c>
      <c r="G170" s="286">
        <v>1</v>
      </c>
      <c r="H170" s="286"/>
      <c r="I170" s="286"/>
      <c r="J170" s="286"/>
      <c r="K170" s="286"/>
      <c r="L170" s="295"/>
      <c r="M170" s="285">
        <f t="shared" si="60"/>
        <v>0</v>
      </c>
      <c r="N170" s="269">
        <f t="shared" si="61"/>
        <v>6</v>
      </c>
      <c r="O170" s="269"/>
      <c r="P170" s="296"/>
      <c r="Q170" s="147"/>
    </row>
    <row r="171" spans="1:20" s="120" customFormat="1" ht="15.6" thickTop="1" thickBot="1">
      <c r="A171" s="74"/>
      <c r="B171" s="380"/>
      <c r="C171" s="141" t="s">
        <v>160</v>
      </c>
      <c r="D171" s="284">
        <v>2</v>
      </c>
      <c r="E171" s="285">
        <v>2</v>
      </c>
      <c r="F171" s="286"/>
      <c r="G171" s="286">
        <v>2</v>
      </c>
      <c r="H171" s="286"/>
      <c r="I171" s="286"/>
      <c r="J171" s="286"/>
      <c r="K171" s="286"/>
      <c r="L171" s="295"/>
      <c r="M171" s="285">
        <f t="shared" si="60"/>
        <v>0</v>
      </c>
      <c r="N171" s="269">
        <f t="shared" si="61"/>
        <v>2</v>
      </c>
      <c r="O171" s="269"/>
      <c r="P171" s="294"/>
      <c r="Q171" s="147"/>
    </row>
    <row r="172" spans="1:20" ht="15.6" thickTop="1" thickBot="1">
      <c r="A172" s="73"/>
      <c r="B172" s="380"/>
      <c r="C172" s="143" t="s">
        <v>50</v>
      </c>
      <c r="D172" s="266">
        <v>5</v>
      </c>
      <c r="E172" s="267">
        <v>5</v>
      </c>
      <c r="F172" s="268"/>
      <c r="G172" s="268"/>
      <c r="H172" s="268"/>
      <c r="I172" s="268">
        <v>1</v>
      </c>
      <c r="J172" s="268">
        <v>2</v>
      </c>
      <c r="K172" s="268"/>
      <c r="L172" s="289">
        <v>528.84</v>
      </c>
      <c r="M172" s="267">
        <f t="shared" si="60"/>
        <v>0</v>
      </c>
      <c r="N172" s="269">
        <f t="shared" si="61"/>
        <v>5</v>
      </c>
      <c r="O172" s="269"/>
      <c r="P172" s="290"/>
      <c r="Q172" s="142"/>
    </row>
    <row r="173" spans="1:20" ht="15.6" thickTop="1" thickBot="1">
      <c r="A173" s="73"/>
      <c r="B173" s="380"/>
      <c r="C173" s="143" t="s">
        <v>53</v>
      </c>
      <c r="D173" s="266">
        <v>10</v>
      </c>
      <c r="E173" s="267">
        <v>10</v>
      </c>
      <c r="F173" s="268">
        <v>4</v>
      </c>
      <c r="G173" s="268"/>
      <c r="H173" s="268"/>
      <c r="I173" s="268">
        <v>2</v>
      </c>
      <c r="J173" s="268"/>
      <c r="K173" s="268"/>
      <c r="L173" s="289"/>
      <c r="M173" s="267">
        <f t="shared" si="60"/>
        <v>0</v>
      </c>
      <c r="N173" s="269">
        <f t="shared" si="61"/>
        <v>10</v>
      </c>
      <c r="O173" s="269"/>
      <c r="P173" s="290"/>
      <c r="Q173" s="142"/>
    </row>
    <row r="174" spans="1:20" ht="15.6" thickTop="1" thickBot="1">
      <c r="A174" s="73"/>
      <c r="B174" s="380"/>
      <c r="C174" s="143"/>
      <c r="D174" s="266"/>
      <c r="E174" s="267"/>
      <c r="F174" s="268"/>
      <c r="G174" s="268"/>
      <c r="H174" s="268"/>
      <c r="I174" s="268"/>
      <c r="J174" s="268"/>
      <c r="K174" s="268"/>
      <c r="L174" s="291"/>
      <c r="M174" s="267">
        <f t="shared" si="60"/>
        <v>0</v>
      </c>
      <c r="N174" s="269">
        <f t="shared" si="61"/>
        <v>0</v>
      </c>
      <c r="O174" s="269"/>
      <c r="P174" s="290"/>
      <c r="Q174" s="142"/>
    </row>
    <row r="175" spans="1:20" ht="15.6" thickTop="1" thickBot="1">
      <c r="A175" s="73"/>
      <c r="B175" s="380"/>
      <c r="C175" s="144" t="s">
        <v>69</v>
      </c>
      <c r="D175" s="318">
        <f>SUM(D169:D174)</f>
        <v>23</v>
      </c>
      <c r="E175" s="319">
        <f>SUM(E169:E174)</f>
        <v>23</v>
      </c>
      <c r="F175" s="320">
        <f>SUM(F169:F174)</f>
        <v>5</v>
      </c>
      <c r="G175" s="320">
        <f t="shared" ref="G175:K175" si="62">SUM(G169:G174)</f>
        <v>3</v>
      </c>
      <c r="H175" s="320">
        <f t="shared" si="62"/>
        <v>0</v>
      </c>
      <c r="I175" s="320">
        <f t="shared" si="62"/>
        <v>3</v>
      </c>
      <c r="J175" s="320">
        <f t="shared" si="62"/>
        <v>2</v>
      </c>
      <c r="K175" s="320">
        <f t="shared" si="62"/>
        <v>0</v>
      </c>
      <c r="L175" s="307">
        <v>9737.33</v>
      </c>
      <c r="M175" s="271">
        <f>SUM(M169:M174)</f>
        <v>0</v>
      </c>
      <c r="N175" s="269">
        <f>SUM(N169:N174)</f>
        <v>23</v>
      </c>
      <c r="O175" s="129"/>
      <c r="P175" s="130"/>
      <c r="Q175" s="142"/>
    </row>
    <row r="176" spans="1:20" ht="15.6" thickTop="1" thickBot="1">
      <c r="A176" s="73"/>
      <c r="B176" s="380"/>
      <c r="C176" s="124" t="s">
        <v>45</v>
      </c>
      <c r="D176" s="272">
        <f>SUM(D169:D174)</f>
        <v>23</v>
      </c>
      <c r="E176" s="272">
        <f>SUM(E169:E174)</f>
        <v>23</v>
      </c>
      <c r="F176" s="381">
        <f>SUM(F175:K175)</f>
        <v>13</v>
      </c>
      <c r="G176" s="382"/>
      <c r="H176" s="382"/>
      <c r="I176" s="382"/>
      <c r="J176" s="382"/>
      <c r="K176" s="383"/>
      <c r="L176" s="274">
        <f>L175</f>
        <v>9737.33</v>
      </c>
      <c r="M176" s="272">
        <f>SUM(M169:M174)</f>
        <v>0</v>
      </c>
      <c r="N176" s="272">
        <f>SUM(N169:N174)</f>
        <v>23</v>
      </c>
      <c r="O176" s="272">
        <f>SUM(O175)</f>
        <v>0</v>
      </c>
      <c r="P176" s="275">
        <f>SUM(P175)</f>
        <v>0</v>
      </c>
      <c r="Q176" s="125"/>
      <c r="T176" s="145">
        <f>$V$3+L12+L22+L32+L40+L48+L56+L64+L72+L80+L88+L96+L104+L112+L120+L128+L136+L144+L152+L160+L168+L176</f>
        <v>6216967.1199999982</v>
      </c>
    </row>
    <row r="177" spans="1:20" ht="15.6" thickTop="1" thickBot="1">
      <c r="A177" s="73" t="str">
        <f ca="1">OFFSET('0'!$B$112,($A$1-1)*10,$B177-1)</f>
        <v>--</v>
      </c>
      <c r="B177" s="380">
        <f ca="1">OFFSET('0'!$B$111,($A$1-1)*10,21)</f>
        <v>22</v>
      </c>
      <c r="C177" s="143" t="s">
        <v>53</v>
      </c>
      <c r="D177" s="301">
        <v>2</v>
      </c>
      <c r="E177" s="302">
        <v>2</v>
      </c>
      <c r="F177" s="303">
        <v>1</v>
      </c>
      <c r="G177" s="303"/>
      <c r="H177" s="303"/>
      <c r="I177" s="303"/>
      <c r="J177" s="303">
        <v>1</v>
      </c>
      <c r="K177" s="303"/>
      <c r="L177" s="304"/>
      <c r="M177" s="302">
        <f t="shared" ref="M177:M182" si="63">SUM(D177-E177)</f>
        <v>0</v>
      </c>
      <c r="N177" s="305">
        <f t="shared" ref="N177:N182" si="64">SUM(E177,M177)</f>
        <v>2</v>
      </c>
      <c r="O177" s="305"/>
      <c r="P177" s="306"/>
      <c r="Q177" s="140"/>
    </row>
    <row r="178" spans="1:20" ht="15.6" thickTop="1" thickBot="1">
      <c r="A178" s="73"/>
      <c r="B178" s="380"/>
      <c r="C178" s="141" t="s">
        <v>49</v>
      </c>
      <c r="D178" s="266">
        <v>11</v>
      </c>
      <c r="E178" s="267">
        <v>11</v>
      </c>
      <c r="F178" s="268">
        <v>1</v>
      </c>
      <c r="G178" s="268">
        <v>7</v>
      </c>
      <c r="H178" s="268"/>
      <c r="I178" s="268"/>
      <c r="J178" s="268"/>
      <c r="K178" s="268"/>
      <c r="L178" s="289"/>
      <c r="M178" s="267">
        <f t="shared" si="63"/>
        <v>0</v>
      </c>
      <c r="N178" s="269">
        <f t="shared" si="64"/>
        <v>11</v>
      </c>
      <c r="O178" s="269"/>
      <c r="P178" s="290"/>
      <c r="Q178" s="142"/>
    </row>
    <row r="179" spans="1:20" s="120" customFormat="1" ht="15.6" thickTop="1" thickBot="1">
      <c r="A179" s="74"/>
      <c r="B179" s="380"/>
      <c r="C179" s="141" t="s">
        <v>169</v>
      </c>
      <c r="D179" s="266">
        <v>9</v>
      </c>
      <c r="E179" s="267">
        <v>9</v>
      </c>
      <c r="F179" s="268">
        <v>1</v>
      </c>
      <c r="G179" s="268">
        <v>4</v>
      </c>
      <c r="H179" s="268"/>
      <c r="I179" s="268">
        <v>2</v>
      </c>
      <c r="J179" s="268">
        <v>1</v>
      </c>
      <c r="K179" s="268"/>
      <c r="L179" s="289"/>
      <c r="M179" s="267">
        <f t="shared" si="63"/>
        <v>0</v>
      </c>
      <c r="N179" s="269">
        <f t="shared" si="64"/>
        <v>9</v>
      </c>
      <c r="O179" s="269"/>
      <c r="P179" s="290"/>
      <c r="Q179" s="142"/>
    </row>
    <row r="180" spans="1:20" ht="15.6" thickTop="1" thickBot="1">
      <c r="A180" s="73"/>
      <c r="B180" s="380"/>
      <c r="C180" s="143" t="s">
        <v>55</v>
      </c>
      <c r="D180" s="266">
        <v>11</v>
      </c>
      <c r="E180" s="267">
        <v>10</v>
      </c>
      <c r="F180" s="268">
        <v>1</v>
      </c>
      <c r="G180" s="268">
        <v>5</v>
      </c>
      <c r="H180" s="268"/>
      <c r="I180" s="268"/>
      <c r="J180" s="268">
        <v>1</v>
      </c>
      <c r="K180" s="268"/>
      <c r="L180" s="289"/>
      <c r="M180" s="267">
        <f t="shared" si="63"/>
        <v>1</v>
      </c>
      <c r="N180" s="269">
        <f t="shared" si="64"/>
        <v>11</v>
      </c>
      <c r="O180" s="269"/>
      <c r="P180" s="290"/>
      <c r="Q180" s="142"/>
    </row>
    <row r="181" spans="1:20" ht="15.6" thickTop="1" thickBot="1">
      <c r="A181" s="73"/>
      <c r="B181" s="380"/>
      <c r="C181" s="143" t="s">
        <v>158</v>
      </c>
      <c r="D181" s="266">
        <v>14</v>
      </c>
      <c r="E181" s="267">
        <v>14</v>
      </c>
      <c r="F181" s="268">
        <v>2</v>
      </c>
      <c r="G181" s="268">
        <v>11</v>
      </c>
      <c r="H181" s="268"/>
      <c r="I181" s="268">
        <v>1</v>
      </c>
      <c r="J181" s="268">
        <v>1</v>
      </c>
      <c r="K181" s="268"/>
      <c r="L181" s="289"/>
      <c r="M181" s="267">
        <f t="shared" si="63"/>
        <v>0</v>
      </c>
      <c r="N181" s="269">
        <f t="shared" si="64"/>
        <v>14</v>
      </c>
      <c r="O181" s="269"/>
      <c r="P181" s="290"/>
      <c r="Q181" s="142"/>
    </row>
    <row r="182" spans="1:20" ht="15.6" thickTop="1" thickBot="1">
      <c r="A182" s="73"/>
      <c r="B182" s="380"/>
      <c r="C182" s="143" t="s">
        <v>161</v>
      </c>
      <c r="D182" s="266">
        <v>19</v>
      </c>
      <c r="E182" s="267">
        <v>16</v>
      </c>
      <c r="F182" s="268">
        <v>3</v>
      </c>
      <c r="G182" s="268">
        <v>1</v>
      </c>
      <c r="H182" s="268"/>
      <c r="I182" s="268"/>
      <c r="J182" s="268">
        <v>2</v>
      </c>
      <c r="K182" s="268"/>
      <c r="L182" s="291"/>
      <c r="M182" s="267">
        <f t="shared" si="63"/>
        <v>3</v>
      </c>
      <c r="N182" s="269">
        <f t="shared" si="64"/>
        <v>19</v>
      </c>
      <c r="O182" s="269"/>
      <c r="P182" s="290"/>
      <c r="Q182" s="142"/>
    </row>
    <row r="183" spans="1:20" ht="15.6" thickTop="1" thickBot="1">
      <c r="A183" s="73"/>
      <c r="B183" s="380"/>
      <c r="C183" s="144" t="s">
        <v>69</v>
      </c>
      <c r="D183" s="266">
        <f>SUM(D177:D182)</f>
        <v>66</v>
      </c>
      <c r="E183" s="267">
        <f>SUM(E177:E182)</f>
        <v>62</v>
      </c>
      <c r="F183" s="268">
        <f t="shared" ref="F183:K183" si="65">SUM(F177:F182)</f>
        <v>9</v>
      </c>
      <c r="G183" s="268">
        <f t="shared" si="65"/>
        <v>28</v>
      </c>
      <c r="H183" s="268">
        <f t="shared" si="65"/>
        <v>0</v>
      </c>
      <c r="I183" s="268">
        <f t="shared" si="65"/>
        <v>3</v>
      </c>
      <c r="J183" s="268">
        <f t="shared" si="65"/>
        <v>6</v>
      </c>
      <c r="K183" s="268">
        <f t="shared" si="65"/>
        <v>0</v>
      </c>
      <c r="L183" s="307">
        <v>123481.05</v>
      </c>
      <c r="M183" s="271">
        <f>SUM(M177:M182)</f>
        <v>4</v>
      </c>
      <c r="N183" s="269">
        <f>SUM(N177:N182)</f>
        <v>66</v>
      </c>
      <c r="O183" s="129">
        <v>3</v>
      </c>
      <c r="P183" s="130">
        <v>5</v>
      </c>
      <c r="Q183" s="142"/>
    </row>
    <row r="184" spans="1:20" ht="15.6" thickTop="1" thickBot="1">
      <c r="A184" s="73"/>
      <c r="B184" s="380"/>
      <c r="C184" s="124" t="s">
        <v>45</v>
      </c>
      <c r="D184" s="272">
        <f>SUM(D177:D182)</f>
        <v>66</v>
      </c>
      <c r="E184" s="272">
        <f>SUM(E177:E182)</f>
        <v>62</v>
      </c>
      <c r="F184" s="381">
        <f>SUM(F183:K183)</f>
        <v>46</v>
      </c>
      <c r="G184" s="382"/>
      <c r="H184" s="382"/>
      <c r="I184" s="382"/>
      <c r="J184" s="382"/>
      <c r="K184" s="383"/>
      <c r="L184" s="274">
        <f>L183</f>
        <v>123481.05</v>
      </c>
      <c r="M184" s="272">
        <f>SUM(M177:M182)</f>
        <v>4</v>
      </c>
      <c r="N184" s="272">
        <f>SUM(N177:N182)</f>
        <v>66</v>
      </c>
      <c r="O184" s="272">
        <f>SUM(O183)</f>
        <v>3</v>
      </c>
      <c r="P184" s="275">
        <f>SUM(P183)</f>
        <v>5</v>
      </c>
      <c r="Q184" s="125"/>
      <c r="T184" s="145">
        <f>$V$3+L12+L22+L32+L40+L48+L56+L64+L72+L80+L88+L96+L104+L112+L120+L128+L136+L144+L152+L160+L168+L176+L184</f>
        <v>6340448.1699999981</v>
      </c>
    </row>
    <row r="185" spans="1:20" ht="15.6" thickTop="1" thickBot="1">
      <c r="A185" s="73" t="str">
        <f ca="1">OFFSET('0'!$B$112,($A$1-1)*10,$B185-1)</f>
        <v>--</v>
      </c>
      <c r="B185" s="380">
        <f ca="1">OFFSET('0'!$B$111,($A$1-1)*10,22)</f>
        <v>23</v>
      </c>
      <c r="C185" s="143" t="s">
        <v>161</v>
      </c>
      <c r="D185" s="301">
        <v>1</v>
      </c>
      <c r="E185" s="302">
        <v>1</v>
      </c>
      <c r="F185" s="303">
        <v>1</v>
      </c>
      <c r="G185" s="303"/>
      <c r="H185" s="303"/>
      <c r="I185" s="303"/>
      <c r="J185" s="303"/>
      <c r="K185" s="303"/>
      <c r="L185" s="311"/>
      <c r="M185" s="302">
        <f t="shared" ref="M185:M190" si="66">SUM(D185-E185)</f>
        <v>0</v>
      </c>
      <c r="N185" s="305">
        <f t="shared" ref="N185:N190" si="67">SUM(E185,M185)</f>
        <v>1</v>
      </c>
      <c r="O185" s="305"/>
      <c r="P185" s="296"/>
      <c r="Q185" s="140"/>
    </row>
    <row r="186" spans="1:20" s="120" customFormat="1" ht="15.6" thickTop="1" thickBot="1">
      <c r="A186" s="74"/>
      <c r="B186" s="380"/>
      <c r="C186" s="141" t="s">
        <v>46</v>
      </c>
      <c r="D186" s="284">
        <v>21</v>
      </c>
      <c r="E186" s="285">
        <v>21</v>
      </c>
      <c r="F186" s="286">
        <v>1</v>
      </c>
      <c r="G186" s="286">
        <v>10</v>
      </c>
      <c r="H186" s="286"/>
      <c r="I186" s="286"/>
      <c r="J186" s="286">
        <v>1</v>
      </c>
      <c r="K186" s="286"/>
      <c r="L186" s="295"/>
      <c r="M186" s="285">
        <f t="shared" si="66"/>
        <v>0</v>
      </c>
      <c r="N186" s="269">
        <f t="shared" si="67"/>
        <v>21</v>
      </c>
      <c r="O186" s="269"/>
      <c r="P186" s="296"/>
      <c r="Q186" s="147"/>
    </row>
    <row r="187" spans="1:20" ht="15.6" thickTop="1" thickBot="1">
      <c r="A187" s="73"/>
      <c r="B187" s="380"/>
      <c r="C187" s="141" t="s">
        <v>169</v>
      </c>
      <c r="D187" s="266">
        <v>11</v>
      </c>
      <c r="E187" s="267">
        <v>9</v>
      </c>
      <c r="F187" s="268">
        <v>1</v>
      </c>
      <c r="G187" s="268">
        <v>10</v>
      </c>
      <c r="H187" s="268"/>
      <c r="I187" s="268"/>
      <c r="J187" s="268"/>
      <c r="K187" s="268"/>
      <c r="L187" s="289"/>
      <c r="M187" s="267">
        <f t="shared" si="66"/>
        <v>2</v>
      </c>
      <c r="N187" s="269">
        <f t="shared" si="67"/>
        <v>11</v>
      </c>
      <c r="O187" s="269"/>
      <c r="P187" s="296"/>
      <c r="Q187" s="142"/>
    </row>
    <row r="188" spans="1:20" ht="15.6" thickTop="1" thickBot="1">
      <c r="A188" s="73"/>
      <c r="B188" s="380"/>
      <c r="C188" s="143" t="s">
        <v>55</v>
      </c>
      <c r="D188" s="266">
        <v>14</v>
      </c>
      <c r="E188" s="267">
        <v>14</v>
      </c>
      <c r="F188" s="268">
        <v>4</v>
      </c>
      <c r="G188" s="268">
        <v>9</v>
      </c>
      <c r="H188" s="268"/>
      <c r="I188" s="268">
        <v>1</v>
      </c>
      <c r="J188" s="268"/>
      <c r="K188" s="268"/>
      <c r="L188" s="289"/>
      <c r="M188" s="267">
        <f t="shared" si="66"/>
        <v>0</v>
      </c>
      <c r="N188" s="269">
        <f t="shared" si="67"/>
        <v>14</v>
      </c>
      <c r="O188" s="269"/>
      <c r="P188" s="290"/>
      <c r="Q188" s="142"/>
    </row>
    <row r="189" spans="1:20" ht="15.6" thickTop="1" thickBot="1">
      <c r="A189" s="73"/>
      <c r="B189" s="380"/>
      <c r="C189" s="143" t="s">
        <v>157</v>
      </c>
      <c r="D189" s="266">
        <v>17</v>
      </c>
      <c r="E189" s="267">
        <v>15</v>
      </c>
      <c r="F189" s="268">
        <v>6</v>
      </c>
      <c r="G189" s="268">
        <v>8</v>
      </c>
      <c r="H189" s="268"/>
      <c r="I189" s="268">
        <v>1</v>
      </c>
      <c r="J189" s="268">
        <v>1</v>
      </c>
      <c r="K189" s="268"/>
      <c r="L189" s="289"/>
      <c r="M189" s="267">
        <f t="shared" si="66"/>
        <v>2</v>
      </c>
      <c r="N189" s="269">
        <f t="shared" si="67"/>
        <v>17</v>
      </c>
      <c r="O189" s="269"/>
      <c r="P189" s="290"/>
      <c r="Q189" s="142"/>
    </row>
    <row r="190" spans="1:20" ht="15.6" thickTop="1" thickBot="1">
      <c r="A190" s="73"/>
      <c r="B190" s="380"/>
      <c r="C190" s="143" t="s">
        <v>60</v>
      </c>
      <c r="D190" s="266">
        <v>9</v>
      </c>
      <c r="E190" s="267">
        <v>8</v>
      </c>
      <c r="F190" s="268">
        <v>1</v>
      </c>
      <c r="G190" s="268"/>
      <c r="H190" s="268"/>
      <c r="I190" s="268"/>
      <c r="J190" s="268">
        <v>1</v>
      </c>
      <c r="K190" s="268"/>
      <c r="L190" s="289"/>
      <c r="M190" s="267">
        <f t="shared" si="66"/>
        <v>1</v>
      </c>
      <c r="N190" s="269">
        <f t="shared" si="67"/>
        <v>9</v>
      </c>
      <c r="O190" s="269"/>
      <c r="P190" s="290"/>
      <c r="Q190" s="142"/>
    </row>
    <row r="191" spans="1:20" ht="15.6" thickTop="1" thickBot="1">
      <c r="A191" s="73"/>
      <c r="B191" s="380"/>
      <c r="C191" s="144" t="s">
        <v>69</v>
      </c>
      <c r="D191" s="318">
        <f>SUM(D185:D190)</f>
        <v>73</v>
      </c>
      <c r="E191" s="319">
        <f>SUM(E185:E190)</f>
        <v>68</v>
      </c>
      <c r="F191" s="320">
        <f>SUM(F185:F190)</f>
        <v>14</v>
      </c>
      <c r="G191" s="320">
        <f t="shared" ref="G191:K191" si="68">SUM(G185:G190)</f>
        <v>37</v>
      </c>
      <c r="H191" s="320">
        <f t="shared" si="68"/>
        <v>0</v>
      </c>
      <c r="I191" s="320">
        <f t="shared" si="68"/>
        <v>2</v>
      </c>
      <c r="J191" s="320">
        <f t="shared" si="68"/>
        <v>3</v>
      </c>
      <c r="K191" s="320">
        <f t="shared" si="68"/>
        <v>0</v>
      </c>
      <c r="L191" s="307">
        <v>205207.78</v>
      </c>
      <c r="M191" s="271">
        <f>SUM(M185:M190)</f>
        <v>5</v>
      </c>
      <c r="N191" s="269">
        <f>SUM(N185:N190)</f>
        <v>73</v>
      </c>
      <c r="O191" s="129">
        <v>3</v>
      </c>
      <c r="P191" s="130">
        <v>5</v>
      </c>
      <c r="Q191" s="142"/>
    </row>
    <row r="192" spans="1:20" ht="15.6" thickTop="1" thickBot="1">
      <c r="A192" s="73"/>
      <c r="B192" s="380"/>
      <c r="C192" s="124" t="s">
        <v>45</v>
      </c>
      <c r="D192" s="272">
        <f>SUM(D185:D190)</f>
        <v>73</v>
      </c>
      <c r="E192" s="272">
        <f>SUM(E185:E190)</f>
        <v>68</v>
      </c>
      <c r="F192" s="381">
        <f>SUM(F191:K191)</f>
        <v>56</v>
      </c>
      <c r="G192" s="382"/>
      <c r="H192" s="382"/>
      <c r="I192" s="382"/>
      <c r="J192" s="382"/>
      <c r="K192" s="383"/>
      <c r="L192" s="274">
        <f>L191</f>
        <v>205207.78</v>
      </c>
      <c r="M192" s="272">
        <f>SUM(M185:M190)</f>
        <v>5</v>
      </c>
      <c r="N192" s="272">
        <f>SUM(N185:N190)</f>
        <v>73</v>
      </c>
      <c r="O192" s="272">
        <f>SUM(O191)</f>
        <v>3</v>
      </c>
      <c r="P192" s="275">
        <f>SUM(P191)</f>
        <v>5</v>
      </c>
      <c r="Q192" s="125"/>
      <c r="T192" s="145">
        <f>$V$3+L12+L22+L32+L40+L48+L56+L64+L72+L80+L88+L96+L104+L112+L120+L128+L136+L144+L152+L160+L168+L176+L184+L192</f>
        <v>6545655.9499999983</v>
      </c>
    </row>
    <row r="193" spans="1:20" ht="15.6" thickTop="1" thickBot="1">
      <c r="A193" s="73" t="str">
        <f ca="1">OFFSET('0'!$B$112,($A$1-1)*10,$B193-1)</f>
        <v>--</v>
      </c>
      <c r="B193" s="380">
        <f ca="1">OFFSET('0'!$B$111,($A$1-1)*10,23)</f>
        <v>24</v>
      </c>
      <c r="C193" s="143" t="s">
        <v>60</v>
      </c>
      <c r="D193" s="301">
        <v>0</v>
      </c>
      <c r="E193" s="302">
        <v>0</v>
      </c>
      <c r="F193" s="303"/>
      <c r="G193" s="303"/>
      <c r="H193" s="303"/>
      <c r="I193" s="303"/>
      <c r="J193" s="303"/>
      <c r="K193" s="303"/>
      <c r="L193" s="304"/>
      <c r="M193" s="302">
        <f t="shared" ref="M193:M198" si="69">SUM(D193-E193)</f>
        <v>0</v>
      </c>
      <c r="N193" s="305">
        <f t="shared" ref="N193:N198" si="70">SUM(E193,M193)</f>
        <v>0</v>
      </c>
      <c r="O193" s="305"/>
      <c r="P193" s="306"/>
      <c r="Q193" s="140"/>
    </row>
    <row r="194" spans="1:20" ht="15.6" thickTop="1" thickBot="1">
      <c r="A194" s="73"/>
      <c r="B194" s="380"/>
      <c r="C194" s="141" t="s">
        <v>46</v>
      </c>
      <c r="D194" s="266">
        <v>18</v>
      </c>
      <c r="E194" s="267">
        <v>17</v>
      </c>
      <c r="F194" s="268">
        <v>3</v>
      </c>
      <c r="G194" s="268">
        <v>13</v>
      </c>
      <c r="H194" s="268"/>
      <c r="I194" s="268"/>
      <c r="J194" s="268">
        <v>1</v>
      </c>
      <c r="K194" s="268"/>
      <c r="L194" s="289"/>
      <c r="M194" s="267">
        <f t="shared" si="69"/>
        <v>1</v>
      </c>
      <c r="N194" s="269">
        <f t="shared" si="70"/>
        <v>18</v>
      </c>
      <c r="O194" s="269"/>
      <c r="P194" s="290"/>
      <c r="Q194" s="142"/>
    </row>
    <row r="195" spans="1:20" s="120" customFormat="1" ht="15.6" thickTop="1" thickBot="1">
      <c r="A195" s="74"/>
      <c r="B195" s="380"/>
      <c r="C195" s="141" t="s">
        <v>164</v>
      </c>
      <c r="D195" s="266">
        <v>20</v>
      </c>
      <c r="E195" s="267">
        <v>19</v>
      </c>
      <c r="F195" s="268">
        <v>1</v>
      </c>
      <c r="G195" s="268">
        <v>7</v>
      </c>
      <c r="H195" s="268"/>
      <c r="I195" s="268"/>
      <c r="J195" s="268"/>
      <c r="K195" s="268"/>
      <c r="L195" s="289"/>
      <c r="M195" s="267">
        <f t="shared" si="69"/>
        <v>1</v>
      </c>
      <c r="N195" s="269">
        <f t="shared" si="70"/>
        <v>20</v>
      </c>
      <c r="O195" s="269"/>
      <c r="P195" s="290"/>
      <c r="Q195" s="142"/>
    </row>
    <row r="196" spans="1:20" ht="15.6" thickTop="1" thickBot="1">
      <c r="A196" s="73"/>
      <c r="B196" s="380"/>
      <c r="C196" s="143" t="s">
        <v>158</v>
      </c>
      <c r="D196" s="266">
        <v>16</v>
      </c>
      <c r="E196" s="267">
        <v>15</v>
      </c>
      <c r="F196" s="268">
        <v>1</v>
      </c>
      <c r="G196" s="268">
        <v>5</v>
      </c>
      <c r="H196" s="268"/>
      <c r="I196" s="268">
        <v>1</v>
      </c>
      <c r="J196" s="268"/>
      <c r="K196" s="268"/>
      <c r="L196" s="289"/>
      <c r="M196" s="267">
        <f t="shared" si="69"/>
        <v>1</v>
      </c>
      <c r="N196" s="269">
        <f t="shared" si="70"/>
        <v>16</v>
      </c>
      <c r="O196" s="269"/>
      <c r="P196" s="290"/>
      <c r="Q196" s="142"/>
    </row>
    <row r="197" spans="1:20" ht="15.6" thickTop="1" thickBot="1">
      <c r="A197" s="73"/>
      <c r="B197" s="380"/>
      <c r="C197" s="143" t="s">
        <v>55</v>
      </c>
      <c r="D197" s="266">
        <v>14</v>
      </c>
      <c r="E197" s="267">
        <v>14</v>
      </c>
      <c r="F197" s="268">
        <v>4</v>
      </c>
      <c r="G197" s="268">
        <v>14</v>
      </c>
      <c r="H197" s="268"/>
      <c r="I197" s="268">
        <v>3</v>
      </c>
      <c r="J197" s="268">
        <v>2</v>
      </c>
      <c r="K197" s="268"/>
      <c r="L197" s="289"/>
      <c r="M197" s="267">
        <f t="shared" si="69"/>
        <v>0</v>
      </c>
      <c r="N197" s="269">
        <f t="shared" si="70"/>
        <v>14</v>
      </c>
      <c r="O197" s="269"/>
      <c r="P197" s="290"/>
      <c r="Q197" s="142"/>
    </row>
    <row r="198" spans="1:20" ht="15.6" thickTop="1" thickBot="1">
      <c r="A198" s="73"/>
      <c r="B198" s="380"/>
      <c r="C198" s="143" t="s">
        <v>170</v>
      </c>
      <c r="D198" s="266">
        <v>16</v>
      </c>
      <c r="E198" s="267">
        <v>14</v>
      </c>
      <c r="F198" s="268">
        <v>2</v>
      </c>
      <c r="G198" s="268">
        <v>2</v>
      </c>
      <c r="H198" s="268"/>
      <c r="I198" s="268"/>
      <c r="J198" s="268"/>
      <c r="K198" s="268"/>
      <c r="L198" s="289"/>
      <c r="M198" s="267">
        <f t="shared" si="69"/>
        <v>2</v>
      </c>
      <c r="N198" s="269">
        <f t="shared" si="70"/>
        <v>16</v>
      </c>
      <c r="O198" s="269"/>
      <c r="P198" s="290"/>
      <c r="Q198" s="142"/>
    </row>
    <row r="199" spans="1:20" ht="15.6" thickTop="1" thickBot="1">
      <c r="A199" s="73"/>
      <c r="B199" s="380"/>
      <c r="C199" s="144" t="s">
        <v>69</v>
      </c>
      <c r="D199" s="318">
        <f>SUM(D193:D198)</f>
        <v>84</v>
      </c>
      <c r="E199" s="319">
        <f>SUM(E193:E198)</f>
        <v>79</v>
      </c>
      <c r="F199" s="320">
        <f>SUM(F193:F198)</f>
        <v>11</v>
      </c>
      <c r="G199" s="320">
        <f t="shared" ref="G199:K199" si="71">SUM(G193:G198)</f>
        <v>41</v>
      </c>
      <c r="H199" s="320">
        <f t="shared" si="71"/>
        <v>0</v>
      </c>
      <c r="I199" s="320">
        <f t="shared" si="71"/>
        <v>4</v>
      </c>
      <c r="J199" s="320">
        <f t="shared" si="71"/>
        <v>3</v>
      </c>
      <c r="K199" s="320">
        <f t="shared" si="71"/>
        <v>0</v>
      </c>
      <c r="L199" s="307">
        <v>213193.49</v>
      </c>
      <c r="M199" s="271">
        <f>SUM(M193:M198)</f>
        <v>5</v>
      </c>
      <c r="N199" s="269">
        <f>SUM(N193:N198)</f>
        <v>84</v>
      </c>
      <c r="O199" s="129">
        <v>3</v>
      </c>
      <c r="P199" s="130">
        <v>9</v>
      </c>
      <c r="Q199" s="142"/>
    </row>
    <row r="200" spans="1:20" ht="15.6" thickTop="1" thickBot="1">
      <c r="A200" s="73"/>
      <c r="B200" s="380"/>
      <c r="C200" s="124" t="s">
        <v>45</v>
      </c>
      <c r="D200" s="272">
        <f>SUM(D193:D198)</f>
        <v>84</v>
      </c>
      <c r="E200" s="272">
        <f>SUM(E193:E198)</f>
        <v>79</v>
      </c>
      <c r="F200" s="381">
        <f>SUM(F199:K199)</f>
        <v>59</v>
      </c>
      <c r="G200" s="382"/>
      <c r="H200" s="382"/>
      <c r="I200" s="382"/>
      <c r="J200" s="382"/>
      <c r="K200" s="383"/>
      <c r="L200" s="274">
        <f>L199</f>
        <v>213193.49</v>
      </c>
      <c r="M200" s="272">
        <f>SUM(M193:M198)</f>
        <v>5</v>
      </c>
      <c r="N200" s="272">
        <f>SUM(N193:N198)</f>
        <v>84</v>
      </c>
      <c r="O200" s="272">
        <f>SUM(O199)</f>
        <v>3</v>
      </c>
      <c r="P200" s="275">
        <f>SUM(P199)</f>
        <v>9</v>
      </c>
      <c r="Q200" s="125"/>
      <c r="T200" s="145">
        <f>$V$3+L12+L22+L32+L40+L48+L56+L64+L72+L80+L88+L96+L104+L112+L120+L128+L136+L144+L152+L160+L168+L176+L184+L192+L200</f>
        <v>6758849.4399999985</v>
      </c>
    </row>
    <row r="201" spans="1:20" ht="15.6" thickTop="1" thickBot="1">
      <c r="A201" s="73" t="str">
        <f ca="1">OFFSET('0'!$B$112,($A$1-1)*10,$B201-1)</f>
        <v>--</v>
      </c>
      <c r="B201" s="380">
        <f ca="1">OFFSET('0'!$B$111,($A$1-1)*10,24)</f>
        <v>25</v>
      </c>
      <c r="C201" s="143" t="s">
        <v>170</v>
      </c>
      <c r="D201" s="301">
        <v>3</v>
      </c>
      <c r="E201" s="302">
        <v>2</v>
      </c>
      <c r="F201" s="303"/>
      <c r="G201" s="303"/>
      <c r="H201" s="303"/>
      <c r="I201" s="303"/>
      <c r="J201" s="303"/>
      <c r="K201" s="303"/>
      <c r="L201" s="304"/>
      <c r="M201" s="302">
        <f t="shared" ref="M201:M206" si="72">SUM(D201-E201)</f>
        <v>1</v>
      </c>
      <c r="N201" s="305">
        <f t="shared" ref="N201:N206" si="73">SUM(E201,M201)</f>
        <v>3</v>
      </c>
      <c r="O201" s="305"/>
      <c r="P201" s="306"/>
      <c r="Q201" s="140"/>
    </row>
    <row r="202" spans="1:20" ht="15.6" thickTop="1" thickBot="1">
      <c r="A202" s="73"/>
      <c r="B202" s="380"/>
      <c r="C202" s="141" t="s">
        <v>164</v>
      </c>
      <c r="D202" s="266">
        <v>8</v>
      </c>
      <c r="E202" s="267">
        <v>8</v>
      </c>
      <c r="F202" s="268">
        <v>1</v>
      </c>
      <c r="G202" s="268">
        <v>2</v>
      </c>
      <c r="H202" s="268"/>
      <c r="I202" s="268"/>
      <c r="J202" s="268"/>
      <c r="K202" s="268"/>
      <c r="L202" s="289"/>
      <c r="M202" s="267">
        <f t="shared" si="72"/>
        <v>0</v>
      </c>
      <c r="N202" s="269">
        <f t="shared" si="73"/>
        <v>8</v>
      </c>
      <c r="O202" s="269"/>
      <c r="P202" s="290"/>
      <c r="Q202" s="142"/>
    </row>
    <row r="203" spans="1:20" ht="15.6" thickTop="1" thickBot="1">
      <c r="A203" s="73"/>
      <c r="B203" s="380"/>
      <c r="C203" s="141" t="s">
        <v>56</v>
      </c>
      <c r="D203" s="266">
        <v>34</v>
      </c>
      <c r="E203" s="267">
        <v>34</v>
      </c>
      <c r="F203" s="268">
        <v>5</v>
      </c>
      <c r="G203" s="268">
        <v>11</v>
      </c>
      <c r="H203" s="268"/>
      <c r="I203" s="268">
        <v>1</v>
      </c>
      <c r="J203" s="268">
        <v>1</v>
      </c>
      <c r="K203" s="268"/>
      <c r="L203" s="289"/>
      <c r="M203" s="267">
        <f t="shared" si="72"/>
        <v>0</v>
      </c>
      <c r="N203" s="269">
        <f t="shared" si="73"/>
        <v>34</v>
      </c>
      <c r="O203" s="269"/>
      <c r="P203" s="290"/>
      <c r="Q203" s="142"/>
    </row>
    <row r="204" spans="1:20" ht="15.6" thickTop="1" thickBot="1">
      <c r="A204" s="73"/>
      <c r="B204" s="380"/>
      <c r="C204" s="143" t="s">
        <v>50</v>
      </c>
      <c r="D204" s="266">
        <v>35</v>
      </c>
      <c r="E204" s="267">
        <v>32</v>
      </c>
      <c r="F204" s="268">
        <v>3</v>
      </c>
      <c r="G204" s="268">
        <v>3</v>
      </c>
      <c r="H204" s="268"/>
      <c r="I204" s="268">
        <v>1</v>
      </c>
      <c r="J204" s="268"/>
      <c r="K204" s="268"/>
      <c r="L204" s="289">
        <v>82083.69</v>
      </c>
      <c r="M204" s="267">
        <f t="shared" si="72"/>
        <v>3</v>
      </c>
      <c r="N204" s="269">
        <f t="shared" si="73"/>
        <v>35</v>
      </c>
      <c r="O204" s="269"/>
      <c r="P204" s="290"/>
      <c r="Q204" s="142"/>
    </row>
    <row r="205" spans="1:20" ht="15.6" thickTop="1" thickBot="1">
      <c r="A205" s="73"/>
      <c r="B205" s="380"/>
      <c r="C205" s="143" t="s">
        <v>54</v>
      </c>
      <c r="D205" s="266">
        <v>16</v>
      </c>
      <c r="E205" s="267">
        <v>15</v>
      </c>
      <c r="F205" s="268">
        <v>3</v>
      </c>
      <c r="G205" s="268">
        <v>7</v>
      </c>
      <c r="H205" s="268"/>
      <c r="I205" s="268"/>
      <c r="J205" s="268"/>
      <c r="K205" s="268"/>
      <c r="L205" s="289"/>
      <c r="M205" s="267">
        <f t="shared" si="72"/>
        <v>1</v>
      </c>
      <c r="N205" s="269">
        <f t="shared" si="73"/>
        <v>16</v>
      </c>
      <c r="O205" s="269"/>
      <c r="P205" s="290"/>
      <c r="Q205" s="142"/>
    </row>
    <row r="206" spans="1:20" ht="15.6" thickTop="1" thickBot="1">
      <c r="A206" s="73"/>
      <c r="B206" s="380"/>
      <c r="C206" s="143"/>
      <c r="D206" s="266"/>
      <c r="E206" s="267"/>
      <c r="F206" s="268"/>
      <c r="G206" s="268"/>
      <c r="H206" s="268"/>
      <c r="I206" s="268"/>
      <c r="J206" s="268"/>
      <c r="K206" s="270"/>
      <c r="L206" s="291"/>
      <c r="M206" s="271">
        <f t="shared" si="72"/>
        <v>0</v>
      </c>
      <c r="N206" s="279">
        <f t="shared" si="73"/>
        <v>0</v>
      </c>
      <c r="O206" s="279"/>
      <c r="P206" s="294"/>
      <c r="Q206" s="142"/>
    </row>
    <row r="207" spans="1:20" ht="15.6" thickTop="1" thickBot="1">
      <c r="A207" s="73"/>
      <c r="B207" s="380"/>
      <c r="C207" s="136" t="s">
        <v>69</v>
      </c>
      <c r="D207" s="318">
        <f>SUM(D201:D206)</f>
        <v>96</v>
      </c>
      <c r="E207" s="319">
        <f>SUM(E201:E206)</f>
        <v>91</v>
      </c>
      <c r="F207" s="320">
        <f>SUM(F201:F206)</f>
        <v>12</v>
      </c>
      <c r="G207" s="320">
        <f t="shared" ref="G207:K207" si="74">SUM(G201:G206)</f>
        <v>23</v>
      </c>
      <c r="H207" s="320">
        <f t="shared" si="74"/>
        <v>0</v>
      </c>
      <c r="I207" s="320">
        <f t="shared" si="74"/>
        <v>2</v>
      </c>
      <c r="J207" s="320">
        <f t="shared" si="74"/>
        <v>1</v>
      </c>
      <c r="K207" s="320">
        <f t="shared" si="74"/>
        <v>0</v>
      </c>
      <c r="L207" s="307">
        <v>224211.34</v>
      </c>
      <c r="M207" s="271">
        <f>SUM(M201:M206)</f>
        <v>5</v>
      </c>
      <c r="N207" s="269">
        <f>SUM(N201:N206)</f>
        <v>96</v>
      </c>
      <c r="O207" s="129">
        <v>1</v>
      </c>
      <c r="P207" s="130">
        <v>7</v>
      </c>
      <c r="Q207" s="142"/>
    </row>
    <row r="208" spans="1:20" ht="15.6" thickTop="1" thickBot="1">
      <c r="A208" s="73"/>
      <c r="B208" s="380"/>
      <c r="C208" s="124" t="s">
        <v>45</v>
      </c>
      <c r="D208" s="272">
        <f>SUM(D201:D206)</f>
        <v>96</v>
      </c>
      <c r="E208" s="272">
        <f>SUM(E201:E206)</f>
        <v>91</v>
      </c>
      <c r="F208" s="381">
        <f>SUM(F207:K207)</f>
        <v>38</v>
      </c>
      <c r="G208" s="382"/>
      <c r="H208" s="382"/>
      <c r="I208" s="382"/>
      <c r="J208" s="382"/>
      <c r="K208" s="383"/>
      <c r="L208" s="274">
        <f>L207</f>
        <v>224211.34</v>
      </c>
      <c r="M208" s="272">
        <f>SUM(M201:M206)</f>
        <v>5</v>
      </c>
      <c r="N208" s="272">
        <f>SUM(N201:N206)</f>
        <v>96</v>
      </c>
      <c r="O208" s="272">
        <f>SUM(O207)</f>
        <v>1</v>
      </c>
      <c r="P208" s="275">
        <f>SUM(P207)</f>
        <v>7</v>
      </c>
      <c r="Q208" s="125"/>
      <c r="T208" s="145">
        <f>$V$3+L12+L22+L32+L40+L48+L56+L64+L72+L80+L88+L96+L104+L112+L120+L128+L136+L144+L152+L160+L168+L176+L184+L192+L200+L208</f>
        <v>6983060.7799999984</v>
      </c>
    </row>
    <row r="209" spans="1:20" ht="15.6" thickTop="1" thickBot="1">
      <c r="A209" s="73" t="str">
        <f ca="1">OFFSET('0'!$B$112,($A$1-1)*10,$B209-1)</f>
        <v>SS</v>
      </c>
      <c r="B209" s="380">
        <f ca="1">OFFSET('0'!$B$111,($A$1-1)*10,25)</f>
        <v>26</v>
      </c>
      <c r="C209" s="143" t="s">
        <v>54</v>
      </c>
      <c r="D209" s="301">
        <v>1</v>
      </c>
      <c r="E209" s="302">
        <v>1</v>
      </c>
      <c r="F209" s="303">
        <v>1</v>
      </c>
      <c r="G209" s="303"/>
      <c r="H209" s="303"/>
      <c r="I209" s="303"/>
      <c r="J209" s="303"/>
      <c r="K209" s="303"/>
      <c r="L209" s="304"/>
      <c r="M209" s="302">
        <f t="shared" ref="M209:M214" si="75">SUM(D209-E209)</f>
        <v>0</v>
      </c>
      <c r="N209" s="312">
        <f t="shared" ref="N209:N214" si="76">SUM(E209,M209)</f>
        <v>1</v>
      </c>
      <c r="O209" s="312"/>
      <c r="P209" s="313"/>
      <c r="Q209" s="140"/>
    </row>
    <row r="210" spans="1:20" s="120" customFormat="1" ht="15.6" thickTop="1" thickBot="1">
      <c r="A210" s="74"/>
      <c r="B210" s="380"/>
      <c r="C210" s="141" t="s">
        <v>164</v>
      </c>
      <c r="D210" s="284">
        <v>25</v>
      </c>
      <c r="E210" s="285">
        <v>22</v>
      </c>
      <c r="F210" s="286">
        <v>2</v>
      </c>
      <c r="G210" s="286">
        <v>12</v>
      </c>
      <c r="H210" s="286"/>
      <c r="I210" s="286">
        <v>1</v>
      </c>
      <c r="J210" s="286">
        <v>3</v>
      </c>
      <c r="K210" s="286"/>
      <c r="L210" s="295"/>
      <c r="M210" s="285">
        <f t="shared" si="75"/>
        <v>3</v>
      </c>
      <c r="N210" s="279">
        <f t="shared" si="76"/>
        <v>25</v>
      </c>
      <c r="O210" s="279"/>
      <c r="P210" s="294"/>
      <c r="Q210" s="147"/>
    </row>
    <row r="211" spans="1:20" ht="15.6" thickTop="1" thickBot="1">
      <c r="A211" s="73"/>
      <c r="B211" s="380"/>
      <c r="C211" s="141" t="s">
        <v>50</v>
      </c>
      <c r="D211" s="266">
        <v>18</v>
      </c>
      <c r="E211" s="267">
        <v>18</v>
      </c>
      <c r="F211" s="268">
        <v>6</v>
      </c>
      <c r="G211" s="268">
        <v>5</v>
      </c>
      <c r="H211" s="268"/>
      <c r="I211" s="268"/>
      <c r="J211" s="268">
        <v>3</v>
      </c>
      <c r="K211" s="268"/>
      <c r="L211" s="289">
        <v>1906.38</v>
      </c>
      <c r="M211" s="267">
        <f t="shared" si="75"/>
        <v>0</v>
      </c>
      <c r="N211" s="269">
        <f t="shared" si="76"/>
        <v>18</v>
      </c>
      <c r="O211" s="269"/>
      <c r="P211" s="290"/>
      <c r="Q211" s="142"/>
    </row>
    <row r="212" spans="1:20" ht="15.6" thickTop="1" thickBot="1">
      <c r="A212" s="73"/>
      <c r="B212" s="380"/>
      <c r="C212" s="143" t="s">
        <v>53</v>
      </c>
      <c r="D212" s="266">
        <v>5</v>
      </c>
      <c r="E212" s="267">
        <v>5</v>
      </c>
      <c r="F212" s="268">
        <v>2</v>
      </c>
      <c r="G212" s="268"/>
      <c r="H212" s="268"/>
      <c r="I212" s="268">
        <v>1</v>
      </c>
      <c r="J212" s="268"/>
      <c r="K212" s="268"/>
      <c r="L212" s="289"/>
      <c r="M212" s="267">
        <f t="shared" si="75"/>
        <v>0</v>
      </c>
      <c r="N212" s="269">
        <f t="shared" si="76"/>
        <v>5</v>
      </c>
      <c r="O212" s="269"/>
      <c r="P212" s="290"/>
      <c r="Q212" s="142"/>
    </row>
    <row r="213" spans="1:20" ht="15.6" thickTop="1" thickBot="1">
      <c r="A213" s="73"/>
      <c r="B213" s="380"/>
      <c r="C213" s="143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 t="shared" si="75"/>
        <v>0</v>
      </c>
      <c r="N213" s="269">
        <f t="shared" si="76"/>
        <v>0</v>
      </c>
      <c r="O213" s="269"/>
      <c r="P213" s="290"/>
      <c r="Q213" s="142"/>
    </row>
    <row r="214" spans="1:20" ht="15.6" thickTop="1" thickBot="1">
      <c r="A214" s="73"/>
      <c r="B214" s="380"/>
      <c r="C214" s="143"/>
      <c r="D214" s="266"/>
      <c r="E214" s="267"/>
      <c r="F214" s="268"/>
      <c r="G214" s="268"/>
      <c r="H214" s="268"/>
      <c r="I214" s="268"/>
      <c r="J214" s="268"/>
      <c r="K214" s="270"/>
      <c r="L214" s="297"/>
      <c r="M214" s="271">
        <f t="shared" si="75"/>
        <v>0</v>
      </c>
      <c r="N214" s="269">
        <f t="shared" si="76"/>
        <v>0</v>
      </c>
      <c r="O214" s="269"/>
      <c r="P214" s="290"/>
      <c r="Q214" s="142"/>
    </row>
    <row r="215" spans="1:20" ht="15.6" thickTop="1" thickBot="1">
      <c r="A215" s="73"/>
      <c r="B215" s="380"/>
      <c r="C215" s="136" t="s">
        <v>69</v>
      </c>
      <c r="D215" s="318">
        <f>SUM(D209:D214)</f>
        <v>49</v>
      </c>
      <c r="E215" s="319">
        <f>SUM(E209:E214)</f>
        <v>46</v>
      </c>
      <c r="F215" s="320">
        <f>SUM(F209:F214)</f>
        <v>11</v>
      </c>
      <c r="G215" s="320">
        <f t="shared" ref="G215:K215" si="77">SUM(G209:G214)</f>
        <v>17</v>
      </c>
      <c r="H215" s="320">
        <f t="shared" si="77"/>
        <v>0</v>
      </c>
      <c r="I215" s="320">
        <f t="shared" si="77"/>
        <v>2</v>
      </c>
      <c r="J215" s="320">
        <f t="shared" si="77"/>
        <v>6</v>
      </c>
      <c r="K215" s="320">
        <f t="shared" si="77"/>
        <v>0</v>
      </c>
      <c r="L215" s="307">
        <v>106963.76</v>
      </c>
      <c r="M215" s="271">
        <f>SUM(M209:M214)</f>
        <v>3</v>
      </c>
      <c r="N215" s="269">
        <f>SUM(N209:N214)</f>
        <v>49</v>
      </c>
      <c r="O215" s="129"/>
      <c r="P215" s="130">
        <v>2</v>
      </c>
      <c r="Q215" s="142"/>
    </row>
    <row r="216" spans="1:20" ht="15.6" thickTop="1" thickBot="1">
      <c r="A216" s="73"/>
      <c r="B216" s="380"/>
      <c r="C216" s="124" t="s">
        <v>45</v>
      </c>
      <c r="D216" s="272">
        <f>SUM(D209:D214)</f>
        <v>49</v>
      </c>
      <c r="E216" s="272">
        <f>SUM(E209:E214)</f>
        <v>46</v>
      </c>
      <c r="F216" s="381">
        <f>SUM(F215:K215)</f>
        <v>36</v>
      </c>
      <c r="G216" s="382"/>
      <c r="H216" s="382"/>
      <c r="I216" s="382"/>
      <c r="J216" s="382"/>
      <c r="K216" s="383"/>
      <c r="L216" s="274">
        <f>L215</f>
        <v>106963.76</v>
      </c>
      <c r="M216" s="272">
        <f>SUM(M209:M214)</f>
        <v>3</v>
      </c>
      <c r="N216" s="272">
        <f>SUM(N209:N214)</f>
        <v>49</v>
      </c>
      <c r="O216" s="272">
        <f>SUM(O215)</f>
        <v>0</v>
      </c>
      <c r="P216" s="275">
        <f>SUM(P215)</f>
        <v>2</v>
      </c>
      <c r="Q216" s="125"/>
      <c r="T216" s="145">
        <f>$V$3+L12+L22+L32+L40+L48+L56+L64+L72+L80+L88+L96+L104+L112+L120+L128+L136+L144+L152+L160+L168+L176+L184+L192+L200+L208+L216</f>
        <v>7090024.5399999982</v>
      </c>
    </row>
    <row r="217" spans="1:20" ht="15.6" thickTop="1" thickBot="1">
      <c r="A217" s="73" t="str">
        <f ca="1">OFFSET('0'!$B$112,($A$1-1)*10,$B217-1)</f>
        <v>SK</v>
      </c>
      <c r="B217" s="380">
        <f ca="1">OFFSET('0'!$B$111,($A$1-1)*10,26)</f>
        <v>27</v>
      </c>
      <c r="C217" s="143" t="s">
        <v>53</v>
      </c>
      <c r="D217" s="301">
        <v>1</v>
      </c>
      <c r="E217" s="302">
        <v>1</v>
      </c>
      <c r="F217" s="303"/>
      <c r="G217" s="303"/>
      <c r="H217" s="303"/>
      <c r="I217" s="303"/>
      <c r="J217" s="303"/>
      <c r="K217" s="303"/>
      <c r="L217" s="304"/>
      <c r="M217" s="302">
        <f t="shared" ref="M217:M222" si="78">SUM(D217-E217)</f>
        <v>0</v>
      </c>
      <c r="N217" s="312">
        <f t="shared" ref="N217:N222" si="79">SUM(E217,M217)</f>
        <v>1</v>
      </c>
      <c r="O217" s="312"/>
      <c r="P217" s="313"/>
      <c r="Q217" s="140"/>
    </row>
    <row r="218" spans="1:20" ht="15.6" thickTop="1" thickBot="1">
      <c r="A218" s="73"/>
      <c r="B218" s="380"/>
      <c r="C218" s="141" t="s">
        <v>164</v>
      </c>
      <c r="D218" s="266">
        <v>8</v>
      </c>
      <c r="E218" s="267">
        <v>8</v>
      </c>
      <c r="F218" s="268">
        <v>1</v>
      </c>
      <c r="G218" s="268"/>
      <c r="H218" s="268"/>
      <c r="I218" s="268">
        <v>3</v>
      </c>
      <c r="J218" s="268">
        <v>1</v>
      </c>
      <c r="K218" s="268"/>
      <c r="L218" s="289"/>
      <c r="M218" s="267">
        <f t="shared" si="78"/>
        <v>0</v>
      </c>
      <c r="N218" s="269">
        <f t="shared" si="79"/>
        <v>8</v>
      </c>
      <c r="O218" s="269"/>
      <c r="P218" s="290"/>
      <c r="Q218" s="142"/>
    </row>
    <row r="219" spans="1:20" s="120" customFormat="1" ht="15.6" thickTop="1" thickBot="1">
      <c r="A219" s="74"/>
      <c r="B219" s="380"/>
      <c r="C219" s="141" t="s">
        <v>49</v>
      </c>
      <c r="D219" s="266">
        <v>8</v>
      </c>
      <c r="E219" s="267">
        <v>7</v>
      </c>
      <c r="F219" s="268"/>
      <c r="G219" s="268"/>
      <c r="H219" s="268"/>
      <c r="I219" s="268"/>
      <c r="J219" s="268"/>
      <c r="K219" s="268"/>
      <c r="L219" s="289"/>
      <c r="M219" s="267">
        <f t="shared" si="78"/>
        <v>1</v>
      </c>
      <c r="N219" s="269">
        <f t="shared" si="79"/>
        <v>8</v>
      </c>
      <c r="O219" s="269"/>
      <c r="P219" s="290"/>
      <c r="Q219" s="142"/>
    </row>
    <row r="220" spans="1:20" s="120" customFormat="1" ht="15.6" thickTop="1" thickBot="1">
      <c r="A220" s="74"/>
      <c r="B220" s="380"/>
      <c r="C220" s="143" t="s">
        <v>59</v>
      </c>
      <c r="D220" s="266">
        <v>12</v>
      </c>
      <c r="E220" s="267">
        <v>12</v>
      </c>
      <c r="F220" s="268">
        <v>1</v>
      </c>
      <c r="G220" s="268"/>
      <c r="H220" s="268"/>
      <c r="I220" s="268">
        <v>1</v>
      </c>
      <c r="J220" s="268"/>
      <c r="K220" s="268"/>
      <c r="L220" s="289">
        <v>4578.63</v>
      </c>
      <c r="M220" s="267">
        <f t="shared" si="78"/>
        <v>0</v>
      </c>
      <c r="N220" s="269">
        <f t="shared" si="79"/>
        <v>12</v>
      </c>
      <c r="O220" s="269"/>
      <c r="P220" s="290"/>
      <c r="Q220" s="142"/>
    </row>
    <row r="221" spans="1:20" ht="15.6" thickTop="1" thickBot="1">
      <c r="A221" s="73"/>
      <c r="B221" s="380"/>
      <c r="C221" s="143"/>
      <c r="D221" s="266"/>
      <c r="E221" s="267"/>
      <c r="F221" s="268"/>
      <c r="G221" s="268"/>
      <c r="H221" s="268"/>
      <c r="I221" s="268"/>
      <c r="J221" s="268"/>
      <c r="K221" s="268"/>
      <c r="L221" s="289"/>
      <c r="M221" s="267">
        <f t="shared" si="78"/>
        <v>0</v>
      </c>
      <c r="N221" s="269">
        <f t="shared" si="79"/>
        <v>0</v>
      </c>
      <c r="O221" s="269"/>
      <c r="P221" s="290"/>
      <c r="Q221" s="142"/>
    </row>
    <row r="222" spans="1:20" ht="15.6" thickTop="1" thickBot="1">
      <c r="A222" s="73"/>
      <c r="B222" s="380"/>
      <c r="C222" s="143"/>
      <c r="D222" s="266"/>
      <c r="E222" s="267"/>
      <c r="F222" s="268"/>
      <c r="G222" s="268"/>
      <c r="H222" s="268"/>
      <c r="I222" s="268"/>
      <c r="J222" s="268"/>
      <c r="K222" s="268"/>
      <c r="L222" s="291"/>
      <c r="M222" s="267">
        <f t="shared" si="78"/>
        <v>0</v>
      </c>
      <c r="N222" s="269">
        <f t="shared" si="79"/>
        <v>0</v>
      </c>
      <c r="O222" s="269"/>
      <c r="P222" s="290"/>
      <c r="Q222" s="142"/>
    </row>
    <row r="223" spans="1:20" ht="15.6" thickTop="1" thickBot="1">
      <c r="A223" s="73"/>
      <c r="B223" s="380"/>
      <c r="C223" s="136" t="s">
        <v>69</v>
      </c>
      <c r="D223" s="318">
        <f>SUM(D217:D222)</f>
        <v>29</v>
      </c>
      <c r="E223" s="319">
        <f>SUM(E217:E222)</f>
        <v>28</v>
      </c>
      <c r="F223" s="320">
        <f t="shared" ref="F223:K223" si="80">SUM(F217:F222)</f>
        <v>2</v>
      </c>
      <c r="G223" s="320">
        <f t="shared" si="80"/>
        <v>0</v>
      </c>
      <c r="H223" s="320">
        <f t="shared" si="80"/>
        <v>0</v>
      </c>
      <c r="I223" s="320">
        <f t="shared" si="80"/>
        <v>4</v>
      </c>
      <c r="J223" s="320">
        <f t="shared" si="80"/>
        <v>1</v>
      </c>
      <c r="K223" s="320">
        <f t="shared" si="80"/>
        <v>0</v>
      </c>
      <c r="L223" s="307">
        <v>24720.51</v>
      </c>
      <c r="M223" s="271">
        <f>SUM(M217:M222)</f>
        <v>1</v>
      </c>
      <c r="N223" s="269">
        <f>SUM(N217:N222)</f>
        <v>29</v>
      </c>
      <c r="O223" s="129"/>
      <c r="P223" s="130"/>
      <c r="Q223" s="142"/>
    </row>
    <row r="224" spans="1:20" ht="15.6" thickTop="1" thickBot="1">
      <c r="A224" s="73"/>
      <c r="B224" s="380"/>
      <c r="C224" s="124" t="s">
        <v>45</v>
      </c>
      <c r="D224" s="272">
        <f>SUM(D217:D222)</f>
        <v>29</v>
      </c>
      <c r="E224" s="272">
        <f>SUM(E217:E222)</f>
        <v>28</v>
      </c>
      <c r="F224" s="381">
        <f>SUM(F223:K223)</f>
        <v>7</v>
      </c>
      <c r="G224" s="382"/>
      <c r="H224" s="382"/>
      <c r="I224" s="382"/>
      <c r="J224" s="382"/>
      <c r="K224" s="383"/>
      <c r="L224" s="274">
        <f>L223</f>
        <v>24720.51</v>
      </c>
      <c r="M224" s="272">
        <f>SUM(M217:M222)</f>
        <v>1</v>
      </c>
      <c r="N224" s="272">
        <f>SUM(N217:N222)</f>
        <v>29</v>
      </c>
      <c r="O224" s="272">
        <f>SUM(O223)</f>
        <v>0</v>
      </c>
      <c r="P224" s="275">
        <f>SUM(P223)</f>
        <v>0</v>
      </c>
      <c r="Q224" s="125"/>
      <c r="T224" s="145">
        <f>$V$3+L12+L22+L32+L40+L48+L56+L64+L72+L80+L88+L96+L104+L112+L120+L128+L136+L144+L152+L160+L168+L176+L184+L192+L200+L208+L216+L224</f>
        <v>7114745.049999998</v>
      </c>
    </row>
    <row r="225" spans="1:20" ht="15.6" thickTop="1" thickBot="1">
      <c r="A225" s="73" t="str">
        <f ca="1">OFFSET('0'!$B$112,($A$1-1)*10,$B225-1)</f>
        <v>--</v>
      </c>
      <c r="B225" s="380">
        <f ca="1">OFFSET('0'!$B$111,($A$1-1)*10,27)</f>
        <v>28</v>
      </c>
      <c r="C225" s="143" t="s">
        <v>59</v>
      </c>
      <c r="D225" s="301">
        <v>2</v>
      </c>
      <c r="E225" s="302">
        <v>1</v>
      </c>
      <c r="F225" s="303">
        <v>1</v>
      </c>
      <c r="G225" s="303"/>
      <c r="H225" s="303"/>
      <c r="I225" s="303"/>
      <c r="J225" s="303"/>
      <c r="K225" s="303"/>
      <c r="L225" s="304">
        <v>1300</v>
      </c>
      <c r="M225" s="302">
        <f t="shared" ref="M225:M230" si="81">SUM(D225-E225)</f>
        <v>1</v>
      </c>
      <c r="N225" s="305">
        <f t="shared" ref="N225:N230" si="82">SUM(E225,M225)</f>
        <v>2</v>
      </c>
      <c r="O225" s="305"/>
      <c r="P225" s="296"/>
      <c r="Q225" s="140"/>
    </row>
    <row r="226" spans="1:20" s="120" customFormat="1" ht="15.6" thickTop="1" thickBot="1">
      <c r="A226" s="74"/>
      <c r="B226" s="380"/>
      <c r="C226" s="141" t="s">
        <v>55</v>
      </c>
      <c r="D226" s="284">
        <v>15</v>
      </c>
      <c r="E226" s="285">
        <v>15</v>
      </c>
      <c r="F226" s="286">
        <v>1</v>
      </c>
      <c r="G226" s="286">
        <v>13</v>
      </c>
      <c r="H226" s="286"/>
      <c r="I226" s="286"/>
      <c r="J226" s="286"/>
      <c r="K226" s="286"/>
      <c r="L226" s="295"/>
      <c r="M226" s="285">
        <f t="shared" si="81"/>
        <v>0</v>
      </c>
      <c r="N226" s="269">
        <f t="shared" si="82"/>
        <v>15</v>
      </c>
      <c r="O226" s="269"/>
      <c r="P226" s="296"/>
      <c r="Q226" s="147"/>
    </row>
    <row r="227" spans="1:20" ht="15.6" thickTop="1" thickBot="1">
      <c r="A227" s="73"/>
      <c r="B227" s="380"/>
      <c r="C227" s="141" t="s">
        <v>49</v>
      </c>
      <c r="D227" s="266">
        <v>24</v>
      </c>
      <c r="E227" s="267">
        <v>23</v>
      </c>
      <c r="F227" s="268">
        <v>1</v>
      </c>
      <c r="G227" s="268">
        <v>14</v>
      </c>
      <c r="H227" s="268"/>
      <c r="I227" s="268"/>
      <c r="J227" s="268"/>
      <c r="K227" s="268"/>
      <c r="L227" s="289"/>
      <c r="M227" s="267">
        <f t="shared" si="81"/>
        <v>1</v>
      </c>
      <c r="N227" s="269">
        <f t="shared" si="82"/>
        <v>24</v>
      </c>
      <c r="O227" s="269"/>
      <c r="P227" s="290"/>
      <c r="Q227" s="142"/>
    </row>
    <row r="228" spans="1:20" s="120" customFormat="1" ht="15.6" thickTop="1" thickBot="1">
      <c r="A228" s="74"/>
      <c r="B228" s="380"/>
      <c r="C228" s="143" t="s">
        <v>46</v>
      </c>
      <c r="D228" s="266">
        <v>27</v>
      </c>
      <c r="E228" s="267">
        <v>26</v>
      </c>
      <c r="F228" s="268">
        <v>9</v>
      </c>
      <c r="G228" s="268">
        <v>22</v>
      </c>
      <c r="H228" s="268"/>
      <c r="I228" s="268"/>
      <c r="J228" s="268">
        <v>2</v>
      </c>
      <c r="K228" s="268"/>
      <c r="L228" s="289"/>
      <c r="M228" s="267">
        <f t="shared" si="81"/>
        <v>1</v>
      </c>
      <c r="N228" s="269">
        <f t="shared" si="82"/>
        <v>27</v>
      </c>
      <c r="O228" s="269"/>
      <c r="P228" s="290"/>
      <c r="Q228" s="142"/>
    </row>
    <row r="229" spans="1:20" ht="15.6" thickTop="1" thickBot="1">
      <c r="A229" s="73"/>
      <c r="B229" s="380"/>
      <c r="C229" s="143" t="s">
        <v>161</v>
      </c>
      <c r="D229" s="266">
        <v>10</v>
      </c>
      <c r="E229" s="267">
        <v>9</v>
      </c>
      <c r="F229" s="268">
        <v>2</v>
      </c>
      <c r="G229" s="268"/>
      <c r="H229" s="268"/>
      <c r="I229" s="268"/>
      <c r="J229" s="268">
        <v>1</v>
      </c>
      <c r="K229" s="268"/>
      <c r="L229" s="289"/>
      <c r="M229" s="267">
        <f t="shared" si="81"/>
        <v>1</v>
      </c>
      <c r="N229" s="269">
        <f t="shared" si="82"/>
        <v>10</v>
      </c>
      <c r="O229" s="269"/>
      <c r="P229" s="290"/>
      <c r="Q229" s="142"/>
    </row>
    <row r="230" spans="1:20" ht="15.6" thickTop="1" thickBot="1">
      <c r="A230" s="73"/>
      <c r="B230" s="380"/>
      <c r="C230" s="143"/>
      <c r="D230" s="266"/>
      <c r="E230" s="267"/>
      <c r="F230" s="268"/>
      <c r="G230" s="268"/>
      <c r="H230" s="268"/>
      <c r="I230" s="268"/>
      <c r="J230" s="268"/>
      <c r="K230" s="268"/>
      <c r="L230" s="291"/>
      <c r="M230" s="267">
        <f t="shared" si="81"/>
        <v>0</v>
      </c>
      <c r="N230" s="279">
        <f t="shared" si="82"/>
        <v>0</v>
      </c>
      <c r="O230" s="279"/>
      <c r="P230" s="294"/>
      <c r="Q230" s="142"/>
    </row>
    <row r="231" spans="1:20" ht="15.6" thickTop="1" thickBot="1">
      <c r="A231" s="73"/>
      <c r="B231" s="380"/>
      <c r="C231" s="136" t="s">
        <v>69</v>
      </c>
      <c r="D231" s="318">
        <f>SUM(D225:D230)</f>
        <v>78</v>
      </c>
      <c r="E231" s="319">
        <f>SUM(E225:E230)</f>
        <v>74</v>
      </c>
      <c r="F231" s="320">
        <f t="shared" ref="F231:K231" si="83">SUM(F225:F230)</f>
        <v>14</v>
      </c>
      <c r="G231" s="320">
        <f t="shared" si="83"/>
        <v>49</v>
      </c>
      <c r="H231" s="320">
        <f t="shared" si="83"/>
        <v>0</v>
      </c>
      <c r="I231" s="320">
        <f t="shared" si="83"/>
        <v>0</v>
      </c>
      <c r="J231" s="320">
        <f t="shared" si="83"/>
        <v>3</v>
      </c>
      <c r="K231" s="320">
        <f t="shared" si="83"/>
        <v>0</v>
      </c>
      <c r="L231" s="307">
        <v>27556.03</v>
      </c>
      <c r="M231" s="271">
        <f>SUM(M225:M230)</f>
        <v>4</v>
      </c>
      <c r="N231" s="269">
        <f>SUM(N225:N230)</f>
        <v>78</v>
      </c>
      <c r="O231" s="129"/>
      <c r="P231" s="130">
        <v>7</v>
      </c>
      <c r="Q231" s="142"/>
    </row>
    <row r="232" spans="1:20" ht="15.6" thickTop="1" thickBot="1">
      <c r="A232" s="73"/>
      <c r="B232" s="380"/>
      <c r="C232" s="124" t="s">
        <v>45</v>
      </c>
      <c r="D232" s="272">
        <f>SUM(D225:D230)</f>
        <v>78</v>
      </c>
      <c r="E232" s="272">
        <f>SUM(E225:E230)</f>
        <v>74</v>
      </c>
      <c r="F232" s="381">
        <f>SUM(F231:K231)</f>
        <v>66</v>
      </c>
      <c r="G232" s="382"/>
      <c r="H232" s="382"/>
      <c r="I232" s="382"/>
      <c r="J232" s="382"/>
      <c r="K232" s="383"/>
      <c r="L232" s="274">
        <f>L231</f>
        <v>27556.03</v>
      </c>
      <c r="M232" s="272">
        <f>SUM(M225:M230)</f>
        <v>4</v>
      </c>
      <c r="N232" s="272">
        <f>SUM(N225:N230)</f>
        <v>78</v>
      </c>
      <c r="O232" s="272">
        <f>SUM(O231)</f>
        <v>0</v>
      </c>
      <c r="P232" s="275">
        <f>SUM(P231)</f>
        <v>7</v>
      </c>
      <c r="Q232" s="125"/>
      <c r="T232" s="145">
        <f>$V$3+L12+L22+L32+L40+L48+L56+L64+L72+L80+L88+L96+L104+L112+L120+L128+L136+L144+L152+L160+L168+L176+L184+L192+L200+L208+L216+L224+L232</f>
        <v>7142301.0799999982</v>
      </c>
    </row>
    <row r="233" spans="1:20" ht="15.6" thickTop="1" thickBot="1">
      <c r="A233" s="73" t="str">
        <f ca="1">OFFSET('0'!$B$112,($A$1-1)*10,$B233-1)</f>
        <v>--</v>
      </c>
      <c r="B233" s="380">
        <f ca="1">OFFSET('0'!$B$111,($A$1-1)*10,28)</f>
        <v>29</v>
      </c>
      <c r="C233" s="143" t="s">
        <v>161</v>
      </c>
      <c r="D233" s="301">
        <v>2</v>
      </c>
      <c r="E233" s="302">
        <v>2</v>
      </c>
      <c r="F233" s="303">
        <v>2</v>
      </c>
      <c r="G233" s="303"/>
      <c r="H233" s="303"/>
      <c r="I233" s="303"/>
      <c r="J233" s="303"/>
      <c r="K233" s="303"/>
      <c r="L233" s="304"/>
      <c r="M233" s="302">
        <f t="shared" ref="M233:M238" si="84">SUM(D233-E233)</f>
        <v>0</v>
      </c>
      <c r="N233" s="305">
        <f t="shared" ref="N233:N238" si="85">SUM(E233,M233)</f>
        <v>2</v>
      </c>
      <c r="O233" s="305"/>
      <c r="P233" s="296"/>
      <c r="Q233" s="140"/>
    </row>
    <row r="234" spans="1:20" ht="15.6" thickTop="1" thickBot="1">
      <c r="A234" s="73"/>
      <c r="B234" s="380"/>
      <c r="C234" s="141" t="s">
        <v>158</v>
      </c>
      <c r="D234" s="284">
        <v>19</v>
      </c>
      <c r="E234" s="285">
        <v>18</v>
      </c>
      <c r="F234" s="286">
        <v>3</v>
      </c>
      <c r="G234" s="286">
        <v>8</v>
      </c>
      <c r="H234" s="286"/>
      <c r="I234" s="286"/>
      <c r="J234" s="286">
        <v>4</v>
      </c>
      <c r="K234" s="286"/>
      <c r="L234" s="295"/>
      <c r="M234" s="285">
        <f t="shared" si="84"/>
        <v>1</v>
      </c>
      <c r="N234" s="269">
        <f t="shared" si="85"/>
        <v>19</v>
      </c>
      <c r="O234" s="269"/>
      <c r="P234" s="296"/>
      <c r="Q234" s="147"/>
    </row>
    <row r="235" spans="1:20" ht="15.6" thickTop="1" thickBot="1">
      <c r="A235" s="73"/>
      <c r="B235" s="380"/>
      <c r="C235" s="141" t="s">
        <v>55</v>
      </c>
      <c r="D235" s="266">
        <v>16</v>
      </c>
      <c r="E235" s="267">
        <v>15</v>
      </c>
      <c r="F235" s="268">
        <v>1</v>
      </c>
      <c r="G235" s="268">
        <v>14</v>
      </c>
      <c r="H235" s="268"/>
      <c r="I235" s="268"/>
      <c r="J235" s="268">
        <v>1</v>
      </c>
      <c r="K235" s="268"/>
      <c r="L235" s="289"/>
      <c r="M235" s="267">
        <f t="shared" si="84"/>
        <v>1</v>
      </c>
      <c r="N235" s="269">
        <f t="shared" si="85"/>
        <v>16</v>
      </c>
      <c r="O235" s="269"/>
      <c r="P235" s="290"/>
      <c r="Q235" s="142"/>
    </row>
    <row r="236" spans="1:20" s="120" customFormat="1" ht="15.6" thickTop="1" thickBot="1">
      <c r="A236" s="74"/>
      <c r="B236" s="380"/>
      <c r="C236" s="143" t="s">
        <v>49</v>
      </c>
      <c r="D236" s="266">
        <v>15</v>
      </c>
      <c r="E236" s="267">
        <v>15</v>
      </c>
      <c r="F236" s="268">
        <v>5</v>
      </c>
      <c r="G236" s="268">
        <v>5</v>
      </c>
      <c r="H236" s="268"/>
      <c r="I236" s="268"/>
      <c r="J236" s="268">
        <v>1</v>
      </c>
      <c r="K236" s="268"/>
      <c r="L236" s="289"/>
      <c r="M236" s="267">
        <f t="shared" si="84"/>
        <v>0</v>
      </c>
      <c r="N236" s="269">
        <f t="shared" si="85"/>
        <v>15</v>
      </c>
      <c r="O236" s="269"/>
      <c r="P236" s="290"/>
      <c r="Q236" s="142"/>
    </row>
    <row r="237" spans="1:20" s="120" customFormat="1" ht="15.6" thickTop="1" thickBot="1">
      <c r="A237" s="74"/>
      <c r="B237" s="380"/>
      <c r="C237" s="143" t="s">
        <v>169</v>
      </c>
      <c r="D237" s="266">
        <v>22</v>
      </c>
      <c r="E237" s="267">
        <v>19</v>
      </c>
      <c r="F237" s="268">
        <v>4</v>
      </c>
      <c r="G237" s="268">
        <v>8</v>
      </c>
      <c r="H237" s="268"/>
      <c r="I237" s="268"/>
      <c r="J237" s="268"/>
      <c r="K237" s="268"/>
      <c r="L237" s="289"/>
      <c r="M237" s="267">
        <f t="shared" si="84"/>
        <v>3</v>
      </c>
      <c r="N237" s="269">
        <f t="shared" si="85"/>
        <v>22</v>
      </c>
      <c r="O237" s="269"/>
      <c r="P237" s="290"/>
      <c r="Q237" s="142"/>
    </row>
    <row r="238" spans="1:20" ht="15.6" thickTop="1" thickBot="1">
      <c r="A238" s="73"/>
      <c r="B238" s="380"/>
      <c r="C238" s="143" t="s">
        <v>54</v>
      </c>
      <c r="D238" s="266">
        <v>13</v>
      </c>
      <c r="E238" s="267">
        <v>13</v>
      </c>
      <c r="F238" s="268">
        <v>3</v>
      </c>
      <c r="G238" s="268">
        <v>5</v>
      </c>
      <c r="H238" s="268"/>
      <c r="I238" s="268">
        <v>1</v>
      </c>
      <c r="J238" s="268"/>
      <c r="K238" s="268"/>
      <c r="L238" s="291"/>
      <c r="M238" s="267">
        <f t="shared" si="84"/>
        <v>0</v>
      </c>
      <c r="N238" s="269">
        <f t="shared" si="85"/>
        <v>13</v>
      </c>
      <c r="O238" s="269"/>
      <c r="P238" s="290"/>
      <c r="Q238" s="142"/>
    </row>
    <row r="239" spans="1:20" ht="15.6" thickTop="1" thickBot="1">
      <c r="A239" s="73"/>
      <c r="B239" s="380"/>
      <c r="C239" s="136" t="s">
        <v>69</v>
      </c>
      <c r="D239" s="318">
        <f>SUM(D233:D238)</f>
        <v>87</v>
      </c>
      <c r="E239" s="319">
        <f>SUM(E233:E238)</f>
        <v>82</v>
      </c>
      <c r="F239" s="320">
        <f t="shared" ref="F239:K239" si="86">SUM(F233:F238)</f>
        <v>18</v>
      </c>
      <c r="G239" s="320">
        <f t="shared" si="86"/>
        <v>40</v>
      </c>
      <c r="H239" s="320">
        <f t="shared" si="86"/>
        <v>0</v>
      </c>
      <c r="I239" s="320">
        <f t="shared" si="86"/>
        <v>1</v>
      </c>
      <c r="J239" s="320">
        <f t="shared" si="86"/>
        <v>6</v>
      </c>
      <c r="K239" s="320">
        <f t="shared" si="86"/>
        <v>0</v>
      </c>
      <c r="L239" s="307">
        <v>119224.27</v>
      </c>
      <c r="M239" s="271">
        <f>SUM(M233:M238)</f>
        <v>5</v>
      </c>
      <c r="N239" s="269">
        <f>SUM(N233:N238)</f>
        <v>87</v>
      </c>
      <c r="O239" s="129">
        <v>4</v>
      </c>
      <c r="P239" s="130">
        <v>12</v>
      </c>
      <c r="Q239" s="142"/>
    </row>
    <row r="240" spans="1:20" ht="15.6" thickTop="1" thickBot="1">
      <c r="A240" s="73"/>
      <c r="B240" s="380"/>
      <c r="C240" s="124" t="s">
        <v>45</v>
      </c>
      <c r="D240" s="272">
        <f>SUM(D233:D238)</f>
        <v>87</v>
      </c>
      <c r="E240" s="272">
        <f>SUM(E233:E238)</f>
        <v>82</v>
      </c>
      <c r="F240" s="381">
        <f>SUM(F239:K239)</f>
        <v>65</v>
      </c>
      <c r="G240" s="382"/>
      <c r="H240" s="382"/>
      <c r="I240" s="382"/>
      <c r="J240" s="382"/>
      <c r="K240" s="383"/>
      <c r="L240" s="274">
        <f>L239</f>
        <v>119224.27</v>
      </c>
      <c r="M240" s="272">
        <f>SUM(M233:M238)</f>
        <v>5</v>
      </c>
      <c r="N240" s="272">
        <f>SUM(N233:N238)</f>
        <v>87</v>
      </c>
      <c r="O240" s="272">
        <f>SUM(O239)</f>
        <v>4</v>
      </c>
      <c r="P240" s="275">
        <f>SUM(P239)</f>
        <v>12</v>
      </c>
      <c r="Q240" s="125"/>
      <c r="T240" s="145">
        <f>$V$3+L12+L22+L32+L40+L48+L56+L64+L72+L80+L88+L96+L104+L112+L120+L128+L136+L144+L152+L160+L168+L176+L184+L192+L200+L208+L216+L224+L232+L240</f>
        <v>7261525.3499999978</v>
      </c>
    </row>
    <row r="241" spans="1:20" ht="15.6" thickTop="1" thickBot="1">
      <c r="A241" s="73" t="str">
        <f ca="1">OFFSET('0'!$B$112,($A$1-1)*10,$B241-1)</f>
        <v>--</v>
      </c>
      <c r="B241" s="380">
        <f ca="1">OFFSET('0'!$B$111,($A$1-1)*10,29)</f>
        <v>30</v>
      </c>
      <c r="C241" s="143" t="s">
        <v>54</v>
      </c>
      <c r="D241" s="301">
        <v>2</v>
      </c>
      <c r="E241" s="302">
        <v>2</v>
      </c>
      <c r="F241" s="303"/>
      <c r="G241" s="303"/>
      <c r="H241" s="303"/>
      <c r="I241" s="303"/>
      <c r="J241" s="303"/>
      <c r="K241" s="303"/>
      <c r="L241" s="304"/>
      <c r="M241" s="302">
        <f t="shared" ref="M241:M246" si="87">SUM(D241-E241)</f>
        <v>0</v>
      </c>
      <c r="N241" s="305">
        <f t="shared" ref="N241:N246" si="88">SUM(E241,M241)</f>
        <v>2</v>
      </c>
      <c r="O241" s="305"/>
      <c r="P241" s="296"/>
      <c r="Q241" s="140"/>
    </row>
    <row r="242" spans="1:20" ht="15.6" thickTop="1" thickBot="1">
      <c r="A242" s="73"/>
      <c r="B242" s="380"/>
      <c r="C242" s="141" t="s">
        <v>55</v>
      </c>
      <c r="D242" s="284">
        <v>17</v>
      </c>
      <c r="E242" s="285">
        <v>17</v>
      </c>
      <c r="F242" s="286">
        <v>3</v>
      </c>
      <c r="G242" s="286">
        <v>9</v>
      </c>
      <c r="H242" s="286"/>
      <c r="I242" s="286">
        <v>7</v>
      </c>
      <c r="J242" s="286">
        <v>4</v>
      </c>
      <c r="K242" s="286"/>
      <c r="L242" s="295"/>
      <c r="M242" s="285">
        <f t="shared" si="87"/>
        <v>0</v>
      </c>
      <c r="N242" s="269">
        <f t="shared" si="88"/>
        <v>17</v>
      </c>
      <c r="O242" s="269"/>
      <c r="P242" s="296"/>
      <c r="Q242" s="147"/>
    </row>
    <row r="243" spans="1:20" s="120" customFormat="1" ht="15.6" thickTop="1" thickBot="1">
      <c r="A243" s="74"/>
      <c r="B243" s="380"/>
      <c r="C243" s="141" t="s">
        <v>56</v>
      </c>
      <c r="D243" s="284">
        <v>12</v>
      </c>
      <c r="E243" s="285">
        <v>10</v>
      </c>
      <c r="F243" s="286">
        <v>2</v>
      </c>
      <c r="G243" s="286">
        <v>4</v>
      </c>
      <c r="H243" s="286"/>
      <c r="I243" s="286"/>
      <c r="J243" s="286"/>
      <c r="K243" s="286"/>
      <c r="L243" s="295"/>
      <c r="M243" s="285">
        <f t="shared" si="87"/>
        <v>2</v>
      </c>
      <c r="N243" s="269">
        <f t="shared" si="88"/>
        <v>12</v>
      </c>
      <c r="O243" s="269"/>
      <c r="P243" s="294"/>
      <c r="Q243" s="147"/>
    </row>
    <row r="244" spans="1:20" s="120" customFormat="1" ht="15.6" thickTop="1" thickBot="1">
      <c r="A244" s="74"/>
      <c r="B244" s="380"/>
      <c r="C244" s="143" t="s">
        <v>160</v>
      </c>
      <c r="D244" s="284">
        <v>10</v>
      </c>
      <c r="E244" s="285">
        <v>9</v>
      </c>
      <c r="F244" s="286">
        <v>1</v>
      </c>
      <c r="G244" s="286">
        <v>4</v>
      </c>
      <c r="H244" s="286"/>
      <c r="I244" s="286">
        <v>1</v>
      </c>
      <c r="J244" s="286"/>
      <c r="K244" s="286"/>
      <c r="L244" s="295"/>
      <c r="M244" s="285">
        <f t="shared" si="87"/>
        <v>1</v>
      </c>
      <c r="N244" s="269">
        <f t="shared" si="88"/>
        <v>10</v>
      </c>
      <c r="O244" s="269"/>
      <c r="P244" s="294"/>
      <c r="Q244" s="147"/>
    </row>
    <row r="245" spans="1:20" ht="15.6" thickTop="1" thickBot="1">
      <c r="A245" s="73"/>
      <c r="B245" s="380"/>
      <c r="C245" s="143" t="s">
        <v>169</v>
      </c>
      <c r="D245" s="266">
        <v>13</v>
      </c>
      <c r="E245" s="267">
        <v>13</v>
      </c>
      <c r="F245" s="268">
        <v>3</v>
      </c>
      <c r="G245" s="268">
        <v>4</v>
      </c>
      <c r="H245" s="268"/>
      <c r="I245" s="268"/>
      <c r="J245" s="268"/>
      <c r="K245" s="268"/>
      <c r="L245" s="289"/>
      <c r="M245" s="267">
        <f t="shared" si="87"/>
        <v>0</v>
      </c>
      <c r="N245" s="269">
        <f t="shared" si="88"/>
        <v>13</v>
      </c>
      <c r="O245" s="269"/>
      <c r="P245" s="290"/>
      <c r="Q245" s="142"/>
    </row>
    <row r="246" spans="1:20" ht="15.6" thickTop="1" thickBot="1">
      <c r="A246" s="73"/>
      <c r="B246" s="380"/>
      <c r="C246" s="143" t="s">
        <v>157</v>
      </c>
      <c r="D246" s="266">
        <v>6</v>
      </c>
      <c r="E246" s="267">
        <v>6</v>
      </c>
      <c r="F246" s="268"/>
      <c r="G246" s="268">
        <v>1</v>
      </c>
      <c r="H246" s="268"/>
      <c r="I246" s="268">
        <v>2</v>
      </c>
      <c r="J246" s="268">
        <v>1</v>
      </c>
      <c r="K246" s="268"/>
      <c r="L246" s="291"/>
      <c r="M246" s="267">
        <f t="shared" si="87"/>
        <v>0</v>
      </c>
      <c r="N246" s="269">
        <f t="shared" si="88"/>
        <v>6</v>
      </c>
      <c r="O246" s="269"/>
      <c r="P246" s="290"/>
      <c r="Q246" s="142"/>
    </row>
    <row r="247" spans="1:20" ht="15.6" thickTop="1" thickBot="1">
      <c r="A247" s="73"/>
      <c r="B247" s="380"/>
      <c r="C247" s="136" t="s">
        <v>69</v>
      </c>
      <c r="D247" s="318">
        <f>SUM(D241:D246)</f>
        <v>60</v>
      </c>
      <c r="E247" s="319">
        <f>SUM(E241:E246)</f>
        <v>57</v>
      </c>
      <c r="F247" s="320">
        <f t="shared" ref="F247:K247" si="89">SUM(F241:F246)</f>
        <v>9</v>
      </c>
      <c r="G247" s="320">
        <f t="shared" si="89"/>
        <v>22</v>
      </c>
      <c r="H247" s="320">
        <f t="shared" si="89"/>
        <v>0</v>
      </c>
      <c r="I247" s="320">
        <f t="shared" si="89"/>
        <v>10</v>
      </c>
      <c r="J247" s="320">
        <f t="shared" si="89"/>
        <v>5</v>
      </c>
      <c r="K247" s="320">
        <f t="shared" si="89"/>
        <v>0</v>
      </c>
      <c r="L247" s="307">
        <v>72534.47</v>
      </c>
      <c r="M247" s="271">
        <f>SUM(M241:M246)</f>
        <v>3</v>
      </c>
      <c r="N247" s="269">
        <f>SUM(N241:N246)</f>
        <v>60</v>
      </c>
      <c r="O247" s="129">
        <v>2</v>
      </c>
      <c r="P247" s="130">
        <v>5</v>
      </c>
      <c r="Q247" s="142"/>
    </row>
    <row r="248" spans="1:20" ht="15.6" thickTop="1" thickBot="1">
      <c r="A248" s="73"/>
      <c r="B248" s="380"/>
      <c r="C248" s="124" t="s">
        <v>45</v>
      </c>
      <c r="D248" s="272">
        <f>SUM(D241:D246)</f>
        <v>60</v>
      </c>
      <c r="E248" s="272">
        <f>SUM(E241:E246)</f>
        <v>57</v>
      </c>
      <c r="F248" s="381">
        <f>SUM(F247:K247)</f>
        <v>46</v>
      </c>
      <c r="G248" s="382"/>
      <c r="H248" s="382"/>
      <c r="I248" s="382"/>
      <c r="J248" s="382"/>
      <c r="K248" s="383"/>
      <c r="L248" s="274">
        <f>L247</f>
        <v>72534.47</v>
      </c>
      <c r="M248" s="272">
        <f>SUM(M241:M246)</f>
        <v>3</v>
      </c>
      <c r="N248" s="272">
        <f>SUM(N241:N246)</f>
        <v>60</v>
      </c>
      <c r="O248" s="272">
        <f>SUM(O247)</f>
        <v>2</v>
      </c>
      <c r="P248" s="275">
        <f>SUM(P247)</f>
        <v>5</v>
      </c>
      <c r="Q248" s="125"/>
      <c r="T248" s="145">
        <f>$V$3+L12+L22+L32+L40+L48+L56+L64+L72+L80+L88+L96+L104+L112+L120+L128+L136+L144+L152+L160+L168+L176+L184+L192+L200+L208+L216+L224+L232+L240+L248</f>
        <v>7334059.8199999975</v>
      </c>
    </row>
    <row r="249" spans="1:20" ht="15.6" thickTop="1" thickBot="1">
      <c r="A249" s="73" t="e">
        <f ca="1">OFFSET('0'!$B$112,($A$1-1)*10,$B249-1)</f>
        <v>#REF!</v>
      </c>
      <c r="B249" s="380">
        <f ca="1">OFFSET('0'!$B$111,($A$1-1)*10,30)</f>
        <v>-29</v>
      </c>
      <c r="C249" s="137"/>
      <c r="D249" s="301"/>
      <c r="E249" s="302"/>
      <c r="F249" s="303"/>
      <c r="G249" s="303"/>
      <c r="H249" s="303"/>
      <c r="I249" s="303"/>
      <c r="J249" s="303"/>
      <c r="K249" s="303"/>
      <c r="L249" s="304"/>
      <c r="M249" s="302">
        <f t="shared" ref="M249:M254" si="90">SUM(D249-E249)</f>
        <v>0</v>
      </c>
      <c r="N249" s="305">
        <f t="shared" ref="N249:N254" si="91">SUM(E249,M249)</f>
        <v>0</v>
      </c>
      <c r="O249" s="305"/>
      <c r="P249" s="296"/>
      <c r="Q249" s="140"/>
    </row>
    <row r="250" spans="1:20" s="120" customFormat="1" ht="15.6" thickTop="1" thickBot="1">
      <c r="A250" s="74"/>
      <c r="B250" s="380"/>
      <c r="C250" s="141"/>
      <c r="D250" s="284"/>
      <c r="E250" s="285"/>
      <c r="F250" s="286"/>
      <c r="G250" s="286"/>
      <c r="H250" s="286"/>
      <c r="I250" s="286"/>
      <c r="J250" s="286"/>
      <c r="K250" s="286"/>
      <c r="L250" s="295"/>
      <c r="M250" s="285">
        <f t="shared" si="90"/>
        <v>0</v>
      </c>
      <c r="N250" s="269">
        <f t="shared" si="91"/>
        <v>0</v>
      </c>
      <c r="O250" s="269"/>
      <c r="P250" s="296"/>
      <c r="Q250" s="147"/>
    </row>
    <row r="251" spans="1:20" s="120" customFormat="1" ht="15.6" thickTop="1" thickBot="1">
      <c r="A251" s="74"/>
      <c r="B251" s="380"/>
      <c r="C251" s="141"/>
      <c r="D251" s="284"/>
      <c r="E251" s="285"/>
      <c r="F251" s="286"/>
      <c r="G251" s="286"/>
      <c r="H251" s="286"/>
      <c r="I251" s="286"/>
      <c r="J251" s="286"/>
      <c r="K251" s="286"/>
      <c r="L251" s="295"/>
      <c r="M251" s="285">
        <f t="shared" si="90"/>
        <v>0</v>
      </c>
      <c r="N251" s="269">
        <f t="shared" si="91"/>
        <v>0</v>
      </c>
      <c r="O251" s="269"/>
      <c r="P251" s="294"/>
      <c r="Q251" s="147"/>
    </row>
    <row r="252" spans="1:20" s="120" customFormat="1" ht="15.6" thickTop="1" thickBot="1">
      <c r="A252" s="74"/>
      <c r="B252" s="380"/>
      <c r="C252" s="143"/>
      <c r="D252" s="284"/>
      <c r="E252" s="285"/>
      <c r="F252" s="286"/>
      <c r="G252" s="286"/>
      <c r="H252" s="286"/>
      <c r="I252" s="286"/>
      <c r="J252" s="286"/>
      <c r="K252" s="286"/>
      <c r="L252" s="295"/>
      <c r="M252" s="285">
        <f t="shared" si="90"/>
        <v>0</v>
      </c>
      <c r="N252" s="269">
        <f t="shared" si="91"/>
        <v>0</v>
      </c>
      <c r="O252" s="269"/>
      <c r="P252" s="294"/>
      <c r="Q252" s="147"/>
    </row>
    <row r="253" spans="1:20" ht="15.6" thickTop="1" thickBot="1">
      <c r="A253" s="73"/>
      <c r="B253" s="380"/>
      <c r="C253" s="143"/>
      <c r="D253" s="266"/>
      <c r="E253" s="267"/>
      <c r="F253" s="268"/>
      <c r="G253" s="268"/>
      <c r="H253" s="268"/>
      <c r="I253" s="268"/>
      <c r="J253" s="268"/>
      <c r="K253" s="268"/>
      <c r="L253" s="289"/>
      <c r="M253" s="267">
        <f t="shared" si="90"/>
        <v>0</v>
      </c>
      <c r="N253" s="269">
        <f t="shared" si="91"/>
        <v>0</v>
      </c>
      <c r="O253" s="269"/>
      <c r="P253" s="290"/>
      <c r="Q253" s="142"/>
    </row>
    <row r="254" spans="1:20" ht="15.6" thickTop="1" thickBot="1">
      <c r="A254" s="337" t="s">
        <v>214</v>
      </c>
      <c r="B254" s="380"/>
      <c r="C254" s="143"/>
      <c r="D254" s="361">
        <v>-9</v>
      </c>
      <c r="E254" s="362">
        <v>-9</v>
      </c>
      <c r="F254" s="363">
        <v>297</v>
      </c>
      <c r="G254" s="363">
        <v>78</v>
      </c>
      <c r="H254" s="363"/>
      <c r="I254" s="363">
        <v>16</v>
      </c>
      <c r="J254" s="363">
        <v>24</v>
      </c>
      <c r="K254" s="363"/>
      <c r="L254" s="291"/>
      <c r="M254" s="267">
        <f t="shared" si="90"/>
        <v>0</v>
      </c>
      <c r="N254" s="269">
        <f t="shared" si="91"/>
        <v>-9</v>
      </c>
      <c r="O254" s="269"/>
      <c r="P254" s="290"/>
      <c r="Q254" s="142"/>
    </row>
    <row r="255" spans="1:20" ht="15.6" thickTop="1" thickBot="1">
      <c r="A255" s="73"/>
      <c r="B255" s="380"/>
      <c r="C255" s="136" t="s">
        <v>69</v>
      </c>
      <c r="D255" s="266">
        <f t="shared" ref="D255:K255" si="92">SUM(D249:D254)</f>
        <v>-9</v>
      </c>
      <c r="E255" s="267">
        <f t="shared" si="92"/>
        <v>-9</v>
      </c>
      <c r="F255" s="268">
        <f t="shared" si="92"/>
        <v>297</v>
      </c>
      <c r="G255" s="268">
        <f t="shared" si="92"/>
        <v>78</v>
      </c>
      <c r="H255" s="268">
        <f t="shared" si="92"/>
        <v>0</v>
      </c>
      <c r="I255" s="268">
        <f t="shared" si="92"/>
        <v>16</v>
      </c>
      <c r="J255" s="268">
        <f t="shared" si="92"/>
        <v>24</v>
      </c>
      <c r="K255" s="270">
        <f t="shared" si="92"/>
        <v>0</v>
      </c>
      <c r="L255" s="273"/>
      <c r="M255" s="271">
        <f>SUM(M249:M254)</f>
        <v>0</v>
      </c>
      <c r="N255" s="269">
        <f>SUM(N249:N254)</f>
        <v>-9</v>
      </c>
      <c r="O255" s="129"/>
      <c r="P255" s="130"/>
      <c r="Q255" s="142"/>
    </row>
    <row r="256" spans="1:20" ht="15.6" thickTop="1" thickBot="1">
      <c r="A256" s="73"/>
      <c r="B256" s="380"/>
      <c r="C256" s="124" t="s">
        <v>45</v>
      </c>
      <c r="D256" s="272">
        <f>SUM(D249:D254)</f>
        <v>-9</v>
      </c>
      <c r="E256" s="272">
        <f>SUM(E249:E254)</f>
        <v>-9</v>
      </c>
      <c r="F256" s="381">
        <f>SUM(F255:K255)</f>
        <v>415</v>
      </c>
      <c r="G256" s="382"/>
      <c r="H256" s="382"/>
      <c r="I256" s="382"/>
      <c r="J256" s="382"/>
      <c r="K256" s="383"/>
      <c r="L256" s="274">
        <f>L255</f>
        <v>0</v>
      </c>
      <c r="M256" s="272">
        <f>SUM(M249:M254)</f>
        <v>0</v>
      </c>
      <c r="N256" s="272">
        <f>SUM(N249:N254)</f>
        <v>-9</v>
      </c>
      <c r="O256" s="272">
        <f>SUM(O255)</f>
        <v>0</v>
      </c>
      <c r="P256" s="332">
        <f>SUM(P255)</f>
        <v>0</v>
      </c>
      <c r="Q256" s="125"/>
      <c r="T256" s="145">
        <f>$V$3+L12+L22+L32+L40+L48+L56+L64+L72+L80+L88+L96+L104+L112+L120+L128+L136+L144+L152+L160+L168+L176+L184+L192+L200+L208+L216+L224+L232+L240+L248+L256</f>
        <v>7334059.8199999975</v>
      </c>
    </row>
    <row r="257" spans="3:16" ht="15" thickTop="1"/>
    <row r="258" spans="3:16">
      <c r="C258" s="126" t="s">
        <v>31</v>
      </c>
      <c r="D258" s="117">
        <f>SUM(D255,D247,D239,D231,D223,D215,D207,D199,D191,D183,D175,D167,D159,D151,D143,D135,D127,D119,D111,D103,D95,D87,D79,D71,D63,D55,D47,D39,D31,D21,D11)</f>
        <v>1844</v>
      </c>
      <c r="E258" s="298">
        <f>SUM(E255,E247,E239,E231,E223,E215,E207,E199,E191,E183,E175,E167,E159,E151,E143,E135,E127,E119,E111,E103,E95,E87,E79,E71,E63,E55,E47,E39,E31,E21,E11)</f>
        <v>1770</v>
      </c>
      <c r="F258" s="299">
        <f>SUM(F255,F247,F239,F231,F223,F215,F207,F199,F191,F183,F175,F167,F159,F151,F143,F135,F127,F119,F111,F103,F95,F87,F79,F71,F63,F55,F47,F39,F31,F21,F11)</f>
        <v>605</v>
      </c>
      <c r="G258" s="299">
        <f t="shared" ref="G258:K258" si="93">SUM(G255,G247,G239,G231,G223,G215,G207,G199,G191,G183,G175,G167,G159,G151,G143,G135,G127,G119,G111,G103,G95,G87,G79,G71,G63,G55,G47,G39,G31,G21,G11)</f>
        <v>638</v>
      </c>
      <c r="H258" s="299">
        <f t="shared" si="93"/>
        <v>0</v>
      </c>
      <c r="I258" s="299">
        <f t="shared" si="93"/>
        <v>108</v>
      </c>
      <c r="J258" s="299">
        <f t="shared" si="93"/>
        <v>127</v>
      </c>
      <c r="K258" s="299">
        <f t="shared" si="93"/>
        <v>0</v>
      </c>
      <c r="L258" s="300">
        <f>SUM(L255,L247,L239,L231,L223,L215,L207,L199,L191,L183,L175,L167,L159,L151,L143,L135,L127,L119,L111,L103,L95,L87,L79,L71,L63,L55,L47,L39,L31,L21,L11)</f>
        <v>3214494.91</v>
      </c>
      <c r="M258" s="298">
        <f>SUM(M255,M247,M239,M231,M223,M215,M207,M199,M191,M183,M175,M167,M159,M151,M143,M135,M127,M119,M111,M103,M95,M87,M79,M71,M63,M55,M47,M39,M31,M21,M11)</f>
        <v>74</v>
      </c>
      <c r="N258" s="117">
        <f>SUM(N255,N247,N239,N231,N223,N215,N207,N199,N191,N183,N175,N167,N159,N151,N143,N135,N127,N119,N111,N103,N95,N87,N79,N71,N63,N55,N47,N39,N31,N21,N11)</f>
        <v>1844</v>
      </c>
      <c r="O258" s="117">
        <f>SUM(O255,O247,O239,O231,O223,O215,O207,O199,O191,O183,O175,O167,O159,O151,O143,O135,O127,O119,O111,O103,O95,O87,O79,O71,O63,O55,O47,O39,O31,O21,O11)</f>
        <v>62</v>
      </c>
      <c r="P258" s="321">
        <f>SUM(P255,P247,P239,P231,P223,P215,P207,P199,P191,P183,P175,P167,P159,P151,P143,P135,P127,P119,P111,P103,P95,P87,P79,P71,P63,P55,P47,P39,P31,P21,P11)</f>
        <v>133</v>
      </c>
    </row>
    <row r="259" spans="3:16">
      <c r="C259" s="126" t="s">
        <v>57</v>
      </c>
      <c r="D259" s="287">
        <f>D258</f>
        <v>1844</v>
      </c>
      <c r="E259" s="287">
        <f>E258</f>
        <v>1770</v>
      </c>
      <c r="F259" s="377">
        <f>SUM(F256,F248,F240,F232,F224,F216,F208,F200,F192,F184,F176,F168,F160,F152,F144,F136,F128,F120,F112,F104,F96,F88,F80,F72,F64,F56,F48,F40,F32,F22,F12)</f>
        <v>1478</v>
      </c>
      <c r="G259" s="378"/>
      <c r="H259" s="378"/>
      <c r="I259" s="378"/>
      <c r="J259" s="378"/>
      <c r="K259" s="379"/>
      <c r="L259" s="288">
        <f>L258</f>
        <v>3214494.91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2"/>
    <mergeCell ref="F12:K12"/>
    <mergeCell ref="B13:B22"/>
    <mergeCell ref="F22:K22"/>
    <mergeCell ref="B23:B32"/>
    <mergeCell ref="F32:K32"/>
    <mergeCell ref="B33:B40"/>
    <mergeCell ref="F40:K40"/>
    <mergeCell ref="B41:B48"/>
    <mergeCell ref="F48:K48"/>
    <mergeCell ref="B49:B56"/>
    <mergeCell ref="F56:K56"/>
    <mergeCell ref="B57:B64"/>
    <mergeCell ref="F64:K64"/>
    <mergeCell ref="B65:B72"/>
    <mergeCell ref="F72:K72"/>
    <mergeCell ref="B73:B80"/>
    <mergeCell ref="F80:K80"/>
    <mergeCell ref="B81:B88"/>
    <mergeCell ref="F88:K88"/>
    <mergeCell ref="B89:B96"/>
    <mergeCell ref="F96:K96"/>
    <mergeCell ref="B97:B104"/>
    <mergeCell ref="F104:K104"/>
    <mergeCell ref="B105:B112"/>
    <mergeCell ref="F112:K112"/>
    <mergeCell ref="B113:B120"/>
    <mergeCell ref="F120:K120"/>
    <mergeCell ref="B121:B128"/>
    <mergeCell ref="F128:K128"/>
    <mergeCell ref="B129:B136"/>
    <mergeCell ref="F136:K136"/>
    <mergeCell ref="B137:B144"/>
    <mergeCell ref="F144:K144"/>
    <mergeCell ref="B145:B152"/>
    <mergeCell ref="F152:K152"/>
    <mergeCell ref="B153:B160"/>
    <mergeCell ref="F160:K160"/>
    <mergeCell ref="B161:B168"/>
    <mergeCell ref="F168:K168"/>
    <mergeCell ref="B169:B176"/>
    <mergeCell ref="F176:K176"/>
    <mergeCell ref="B177:B184"/>
    <mergeCell ref="F184:K184"/>
    <mergeCell ref="B185:B192"/>
    <mergeCell ref="F192:K192"/>
    <mergeCell ref="B193:B200"/>
    <mergeCell ref="F200:K200"/>
    <mergeCell ref="B201:B208"/>
    <mergeCell ref="F208:K208"/>
    <mergeCell ref="B209:B216"/>
    <mergeCell ref="F216:K216"/>
    <mergeCell ref="B217:B224"/>
    <mergeCell ref="F224:K224"/>
    <mergeCell ref="B249:B256"/>
    <mergeCell ref="F256:K256"/>
    <mergeCell ref="F259:K259"/>
    <mergeCell ref="B225:B232"/>
    <mergeCell ref="F232:K232"/>
    <mergeCell ref="B233:B240"/>
    <mergeCell ref="F240:K240"/>
    <mergeCell ref="B241:B248"/>
    <mergeCell ref="F248:K248"/>
  </mergeCells>
  <conditionalFormatting sqref="B13:B22">
    <cfRule type="expression" dxfId="320" priority="32">
      <formula>$A13&lt;&gt;"--"</formula>
    </cfRule>
  </conditionalFormatting>
  <conditionalFormatting sqref="B23:B32">
    <cfRule type="expression" dxfId="319" priority="31">
      <formula>$A23&lt;&gt;"--"</formula>
    </cfRule>
  </conditionalFormatting>
  <conditionalFormatting sqref="B33:B40">
    <cfRule type="expression" dxfId="318" priority="30">
      <formula>$A33&lt;&gt;"--"</formula>
    </cfRule>
  </conditionalFormatting>
  <conditionalFormatting sqref="B41:B48">
    <cfRule type="expression" dxfId="317" priority="29">
      <formula>$A41&lt;&gt;"--"</formula>
    </cfRule>
  </conditionalFormatting>
  <conditionalFormatting sqref="B49:B56">
    <cfRule type="expression" dxfId="316" priority="28">
      <formula>$A49&lt;&gt;"--"</formula>
    </cfRule>
  </conditionalFormatting>
  <conditionalFormatting sqref="B57:B64">
    <cfRule type="expression" dxfId="315" priority="27">
      <formula>$A57&lt;&gt;"--"</formula>
    </cfRule>
  </conditionalFormatting>
  <conditionalFormatting sqref="B65:B72">
    <cfRule type="expression" dxfId="314" priority="26">
      <formula>$A65&lt;&gt;"--"</formula>
    </cfRule>
  </conditionalFormatting>
  <conditionalFormatting sqref="B73:B80">
    <cfRule type="expression" dxfId="313" priority="25">
      <formula>$A73&lt;&gt;"--"</formula>
    </cfRule>
  </conditionalFormatting>
  <conditionalFormatting sqref="B81:B88">
    <cfRule type="expression" dxfId="312" priority="24">
      <formula>$A81&lt;&gt;"--"</formula>
    </cfRule>
  </conditionalFormatting>
  <conditionalFormatting sqref="B89:B96">
    <cfRule type="expression" dxfId="311" priority="23">
      <formula>$A89&lt;&gt;"--"</formula>
    </cfRule>
  </conditionalFormatting>
  <conditionalFormatting sqref="B97:B104">
    <cfRule type="expression" dxfId="310" priority="22">
      <formula>$A97&lt;&gt;"--"</formula>
    </cfRule>
  </conditionalFormatting>
  <conditionalFormatting sqref="B105:B112">
    <cfRule type="expression" dxfId="309" priority="21">
      <formula>$A105&lt;&gt;"--"</formula>
    </cfRule>
  </conditionalFormatting>
  <conditionalFormatting sqref="B113:B120">
    <cfRule type="expression" dxfId="308" priority="20">
      <formula>$A113&lt;&gt;"--"</formula>
    </cfRule>
  </conditionalFormatting>
  <conditionalFormatting sqref="B121:B128">
    <cfRule type="expression" dxfId="307" priority="19">
      <formula>$A121&lt;&gt;"--"</formula>
    </cfRule>
  </conditionalFormatting>
  <conditionalFormatting sqref="B129:B136">
    <cfRule type="expression" dxfId="306" priority="18">
      <formula>$A129&lt;&gt;"--"</formula>
    </cfRule>
  </conditionalFormatting>
  <conditionalFormatting sqref="B137:B144">
    <cfRule type="expression" dxfId="305" priority="17">
      <formula>$A137&lt;&gt;"--"</formula>
    </cfRule>
  </conditionalFormatting>
  <conditionalFormatting sqref="B145:B152">
    <cfRule type="expression" dxfId="304" priority="16">
      <formula>$A145&lt;&gt;"--"</formula>
    </cfRule>
  </conditionalFormatting>
  <conditionalFormatting sqref="B153:B160">
    <cfRule type="expression" dxfId="303" priority="15">
      <formula>$A153&lt;&gt;"--"</formula>
    </cfRule>
  </conditionalFormatting>
  <conditionalFormatting sqref="B161:B168">
    <cfRule type="expression" dxfId="302" priority="14">
      <formula>$A161&lt;&gt;"--"</formula>
    </cfRule>
  </conditionalFormatting>
  <conditionalFormatting sqref="B169:B176">
    <cfRule type="expression" dxfId="301" priority="13">
      <formula>$A169&lt;&gt;"--"</formula>
    </cfRule>
  </conditionalFormatting>
  <conditionalFormatting sqref="B177:B184">
    <cfRule type="expression" dxfId="300" priority="12">
      <formula>$A177&lt;&gt;"--"</formula>
    </cfRule>
  </conditionalFormatting>
  <conditionalFormatting sqref="B185:B192">
    <cfRule type="expression" dxfId="299" priority="11">
      <formula>$A185&lt;&gt;"--"</formula>
    </cfRule>
  </conditionalFormatting>
  <conditionalFormatting sqref="B193:B200">
    <cfRule type="expression" dxfId="298" priority="10">
      <formula>$A193&lt;&gt;"--"</formula>
    </cfRule>
  </conditionalFormatting>
  <conditionalFormatting sqref="B201:B208">
    <cfRule type="expression" dxfId="297" priority="9">
      <formula>$A201&lt;&gt;"--"</formula>
    </cfRule>
  </conditionalFormatting>
  <conditionalFormatting sqref="B209:B216">
    <cfRule type="expression" dxfId="296" priority="8">
      <formula>$A209&lt;&gt;"--"</formula>
    </cfRule>
  </conditionalFormatting>
  <conditionalFormatting sqref="B217:B224">
    <cfRule type="expression" dxfId="295" priority="7">
      <formula>$A217&lt;&gt;"--"</formula>
    </cfRule>
  </conditionalFormatting>
  <conditionalFormatting sqref="B225:B232">
    <cfRule type="expression" dxfId="294" priority="6">
      <formula>$A225&lt;&gt;"--"</formula>
    </cfRule>
  </conditionalFormatting>
  <conditionalFormatting sqref="B233:B256">
    <cfRule type="expression" dxfId="293" priority="5">
      <formula>$A233&lt;&gt;"--"</formula>
    </cfRule>
  </conditionalFormatting>
  <conditionalFormatting sqref="B241:B248">
    <cfRule type="expression" dxfId="292" priority="4">
      <formula>$A241&lt;&gt;"--"</formula>
    </cfRule>
  </conditionalFormatting>
  <conditionalFormatting sqref="B249:B256">
    <cfRule type="expression" dxfId="291" priority="3">
      <formula>$A249&lt;&gt;"--"</formula>
    </cfRule>
  </conditionalFormatting>
  <conditionalFormatting sqref="B4:B12">
    <cfRule type="expression" dxfId="290" priority="2">
      <formula>$A4&lt;&gt;"--"</formula>
    </cfRule>
  </conditionalFormatting>
  <conditionalFormatting sqref="B233:B256">
    <cfRule type="cellIs" dxfId="289" priority="1" operator="lessThan">
      <formula>0</formula>
    </cfRule>
  </conditionalFormatting>
  <dataValidations count="1">
    <dataValidation type="list" allowBlank="1" showInputMessage="1" showErrorMessage="1" sqref="C4:C10 C249:C254 C233:C238 C225:C230 C217:C222 C209:C214 C201:C206 C193:C198 C185:C190 C177:C182 C169:C174 C161:C166 C153:C158 C145:C150 C137:C142 C129:C134 C121:C126 C113:C118 C105:C110 C97:C102 C89:C94 C81:C86 C73:C78 C65:C70 C57:C62 C49:C54 C41:C46 C33:C38 C23:C30 C13:C20 C241:C246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V254"/>
  <sheetViews>
    <sheetView topLeftCell="J1" workbookViewId="0">
      <selection activeCell="U5" sqref="U5:V16"/>
    </sheetView>
  </sheetViews>
  <sheetFormatPr defaultColWidth="8.88671875" defaultRowHeight="14.4"/>
  <cols>
    <col min="1" max="2" width="8.88671875" style="119"/>
    <col min="3" max="3" width="22.109375" style="120" customWidth="1"/>
    <col min="4" max="11" width="15.109375" style="119"/>
    <col min="12" max="12" width="12.88671875" style="66" customWidth="1"/>
    <col min="13" max="14" width="10.109375" style="121" customWidth="1"/>
    <col min="15" max="16" width="10.109375" style="120" customWidth="1"/>
    <col min="17" max="17" width="22" style="120" customWidth="1"/>
    <col min="18" max="18" width="15.109375" style="119"/>
    <col min="19" max="19" width="8.6640625" style="119" customWidth="1"/>
    <col min="20" max="20" width="26" style="120" customWidth="1"/>
    <col min="21" max="21" width="12.33203125" style="119" customWidth="1"/>
    <col min="22" max="22" width="15.44140625" style="119" customWidth="1"/>
    <col min="23" max="16384" width="8.88671875" style="119"/>
  </cols>
  <sheetData>
    <row r="1" spans="1:22">
      <c r="A1" s="119">
        <v>5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22" t="s">
        <v>10</v>
      </c>
      <c r="G3" s="122" t="s">
        <v>11</v>
      </c>
      <c r="H3" s="122" t="s">
        <v>12</v>
      </c>
      <c r="I3" s="122" t="s">
        <v>13</v>
      </c>
      <c r="J3" s="122" t="s">
        <v>14</v>
      </c>
      <c r="K3" s="122" t="s">
        <v>44</v>
      </c>
      <c r="L3" s="387"/>
      <c r="M3" s="385"/>
      <c r="N3" s="388"/>
      <c r="O3" s="388"/>
      <c r="P3" s="389"/>
      <c r="Q3" s="390"/>
      <c r="T3" s="384"/>
      <c r="U3" s="119" t="s">
        <v>168</v>
      </c>
      <c r="V3" s="82">
        <f>SUM('Bendras metų'!V6:V9)</f>
        <v>7334059.8199999994</v>
      </c>
    </row>
    <row r="4" spans="1:22" ht="16.5" customHeight="1" thickTop="1">
      <c r="A4" s="73" t="str">
        <f ca="1">OFFSET('0'!$B$112,($A$1-1)*10,$B4-1)</f>
        <v>SV</v>
      </c>
      <c r="B4" s="391">
        <f ca="1">OFFSET('0'!$B$111,($A$1-1)*10,0)</f>
        <v>1</v>
      </c>
      <c r="C4" s="137" t="s">
        <v>157</v>
      </c>
      <c r="D4" s="338">
        <v>1</v>
      </c>
      <c r="E4" s="339">
        <v>1</v>
      </c>
      <c r="F4" s="340"/>
      <c r="G4" s="340"/>
      <c r="H4" s="340"/>
      <c r="I4" s="340"/>
      <c r="J4" s="340"/>
      <c r="K4" s="340"/>
      <c r="L4" s="341"/>
      <c r="M4" s="302">
        <f>SUM(D4-E4)</f>
        <v>0</v>
      </c>
      <c r="N4" s="305">
        <f t="shared" ref="N4:N9" si="0">SUM(E4,M4)</f>
        <v>1</v>
      </c>
      <c r="O4" s="305"/>
      <c r="P4" s="306"/>
      <c r="Q4" s="140"/>
      <c r="T4" s="384"/>
    </row>
    <row r="5" spans="1:22">
      <c r="A5" s="73"/>
      <c r="B5" s="392"/>
      <c r="C5" s="141" t="s">
        <v>50</v>
      </c>
      <c r="D5" s="342">
        <v>14</v>
      </c>
      <c r="E5" s="343">
        <v>13</v>
      </c>
      <c r="F5" s="344">
        <v>1</v>
      </c>
      <c r="G5" s="344">
        <v>1</v>
      </c>
      <c r="H5" s="344"/>
      <c r="I5" s="344"/>
      <c r="J5" s="344"/>
      <c r="K5" s="344"/>
      <c r="L5" s="345">
        <v>18516.349999999999</v>
      </c>
      <c r="M5" s="267">
        <f>SUM(D5-E5)</f>
        <v>1</v>
      </c>
      <c r="N5" s="269">
        <f t="shared" si="0"/>
        <v>14</v>
      </c>
      <c r="O5" s="269"/>
      <c r="P5" s="290"/>
      <c r="Q5" s="142"/>
    </row>
    <row r="6" spans="1:22">
      <c r="A6" s="73"/>
      <c r="B6" s="392"/>
      <c r="C6" s="141" t="s">
        <v>48</v>
      </c>
      <c r="D6" s="342">
        <v>13</v>
      </c>
      <c r="E6" s="343">
        <v>13</v>
      </c>
      <c r="F6" s="344">
        <v>4</v>
      </c>
      <c r="G6" s="344">
        <v>6</v>
      </c>
      <c r="H6" s="344"/>
      <c r="I6" s="344"/>
      <c r="J6" s="344"/>
      <c r="K6" s="344"/>
      <c r="L6" s="345"/>
      <c r="M6" s="267">
        <f t="shared" ref="M6:M9" si="1">SUM(D6-E6)</f>
        <v>0</v>
      </c>
      <c r="N6" s="269">
        <f t="shared" si="0"/>
        <v>13</v>
      </c>
      <c r="O6" s="269"/>
      <c r="P6" s="290"/>
      <c r="Q6" s="142"/>
      <c r="V6" s="86"/>
    </row>
    <row r="7" spans="1:22">
      <c r="A7" s="73"/>
      <c r="B7" s="392"/>
      <c r="C7" s="143" t="s">
        <v>56</v>
      </c>
      <c r="D7" s="342">
        <v>15</v>
      </c>
      <c r="E7" s="343">
        <v>15</v>
      </c>
      <c r="F7" s="344">
        <v>4</v>
      </c>
      <c r="G7" s="344">
        <v>3</v>
      </c>
      <c r="H7" s="344"/>
      <c r="I7" s="344">
        <v>2</v>
      </c>
      <c r="J7" s="344">
        <v>1</v>
      </c>
      <c r="K7" s="344"/>
      <c r="L7" s="345"/>
      <c r="M7" s="267">
        <f t="shared" si="1"/>
        <v>0</v>
      </c>
      <c r="N7" s="269">
        <f t="shared" si="0"/>
        <v>15</v>
      </c>
      <c r="O7" s="269"/>
      <c r="P7" s="290"/>
      <c r="Q7" s="142"/>
      <c r="V7" s="86"/>
    </row>
    <row r="8" spans="1:22" ht="14.25" customHeight="1">
      <c r="A8" s="73"/>
      <c r="B8" s="392"/>
      <c r="C8" s="143" t="s">
        <v>170</v>
      </c>
      <c r="D8" s="342">
        <v>11</v>
      </c>
      <c r="E8" s="343">
        <v>11</v>
      </c>
      <c r="F8" s="344">
        <v>3</v>
      </c>
      <c r="G8" s="344">
        <v>1</v>
      </c>
      <c r="H8" s="344"/>
      <c r="I8" s="344"/>
      <c r="J8" s="344"/>
      <c r="K8" s="344"/>
      <c r="L8" s="346"/>
      <c r="M8" s="267">
        <f t="shared" si="1"/>
        <v>0</v>
      </c>
      <c r="N8" s="269">
        <f t="shared" si="0"/>
        <v>11</v>
      </c>
      <c r="O8" s="269"/>
      <c r="P8" s="290"/>
      <c r="Q8" s="142"/>
      <c r="V8" s="86"/>
    </row>
    <row r="9" spans="1:22" ht="15" thickBot="1">
      <c r="A9" s="73"/>
      <c r="B9" s="392"/>
      <c r="C9" s="143"/>
      <c r="D9" s="266"/>
      <c r="E9" s="267"/>
      <c r="F9" s="268"/>
      <c r="G9" s="268"/>
      <c r="H9" s="268"/>
      <c r="I9" s="268"/>
      <c r="J9" s="268"/>
      <c r="K9" s="268"/>
      <c r="L9" s="346"/>
      <c r="M9" s="267">
        <f t="shared" si="1"/>
        <v>0</v>
      </c>
      <c r="N9" s="269">
        <f t="shared" si="0"/>
        <v>0</v>
      </c>
      <c r="O9" s="269"/>
      <c r="P9" s="290"/>
      <c r="Q9" s="142"/>
      <c r="V9" s="86"/>
    </row>
    <row r="10" spans="1:22" ht="15" thickBot="1">
      <c r="A10" s="73"/>
      <c r="B10" s="392"/>
      <c r="C10" s="144" t="s">
        <v>69</v>
      </c>
      <c r="D10" s="266">
        <f>SUM(D4:D9)</f>
        <v>54</v>
      </c>
      <c r="E10" s="267">
        <f>SUM(E4:E9)</f>
        <v>53</v>
      </c>
      <c r="F10" s="268">
        <f>SUM(F4:F9)</f>
        <v>12</v>
      </c>
      <c r="G10" s="268">
        <f t="shared" ref="G10:K10" si="2">SUM(G4:G9)</f>
        <v>11</v>
      </c>
      <c r="H10" s="268">
        <f t="shared" si="2"/>
        <v>0</v>
      </c>
      <c r="I10" s="268">
        <f t="shared" si="2"/>
        <v>2</v>
      </c>
      <c r="J10" s="268">
        <f t="shared" si="2"/>
        <v>1</v>
      </c>
      <c r="K10" s="268">
        <f t="shared" si="2"/>
        <v>0</v>
      </c>
      <c r="L10" s="347">
        <v>54053.34</v>
      </c>
      <c r="M10" s="267">
        <f>SUM(M4:M9)</f>
        <v>1</v>
      </c>
      <c r="N10" s="269">
        <f>SUM(N4:N9)</f>
        <v>54</v>
      </c>
      <c r="O10" s="129">
        <v>0</v>
      </c>
      <c r="P10" s="130">
        <v>2</v>
      </c>
      <c r="Q10" s="142"/>
    </row>
    <row r="11" spans="1:22" ht="15" thickBot="1">
      <c r="A11" s="73"/>
      <c r="B11" s="393"/>
      <c r="C11" s="124" t="s">
        <v>45</v>
      </c>
      <c r="D11" s="272">
        <f>SUM(D4:D9)</f>
        <v>54</v>
      </c>
      <c r="E11" s="272">
        <f>SUM(E4:E9)</f>
        <v>53</v>
      </c>
      <c r="F11" s="381">
        <f>SUM(F10:K10)</f>
        <v>26</v>
      </c>
      <c r="G11" s="382"/>
      <c r="H11" s="382"/>
      <c r="I11" s="382"/>
      <c r="J11" s="382"/>
      <c r="K11" s="383"/>
      <c r="L11" s="348">
        <f>L10</f>
        <v>54053.34</v>
      </c>
      <c r="M11" s="272">
        <f>SUM(M4:M9)</f>
        <v>1</v>
      </c>
      <c r="N11" s="272">
        <f>SUM(N4:N9)</f>
        <v>54</v>
      </c>
      <c r="O11" s="272">
        <f>SUM(O10)</f>
        <v>0</v>
      </c>
      <c r="P11" s="275">
        <f>SUM(P10)</f>
        <v>2</v>
      </c>
      <c r="Q11" s="125"/>
      <c r="T11" s="145">
        <f>$V$3+L11</f>
        <v>7388113.1599999992</v>
      </c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143" t="s">
        <v>170</v>
      </c>
      <c r="D12" s="338">
        <v>1</v>
      </c>
      <c r="E12" s="339">
        <v>1</v>
      </c>
      <c r="F12" s="340"/>
      <c r="G12" s="340"/>
      <c r="H12" s="340"/>
      <c r="I12" s="340"/>
      <c r="J12" s="340"/>
      <c r="K12" s="340"/>
      <c r="L12" s="341"/>
      <c r="M12" s="302">
        <f>SUM(D12-E12)</f>
        <v>0</v>
      </c>
      <c r="N12" s="305">
        <f t="shared" ref="N12:N17" si="3">SUM(E12,M12)</f>
        <v>1</v>
      </c>
      <c r="O12" s="305"/>
      <c r="P12" s="292"/>
      <c r="Q12" s="147"/>
    </row>
    <row r="13" spans="1:22" ht="17.25" customHeight="1">
      <c r="A13" s="73"/>
      <c r="B13" s="392"/>
      <c r="C13" s="141" t="s">
        <v>50</v>
      </c>
      <c r="D13" s="342">
        <v>28</v>
      </c>
      <c r="E13" s="343">
        <v>26</v>
      </c>
      <c r="F13" s="344">
        <v>3</v>
      </c>
      <c r="G13" s="344">
        <v>2</v>
      </c>
      <c r="H13" s="344"/>
      <c r="I13" s="344">
        <v>3</v>
      </c>
      <c r="J13" s="344"/>
      <c r="K13" s="344"/>
      <c r="L13" s="345">
        <v>10406.1</v>
      </c>
      <c r="M13" s="267">
        <f>SUM(D13-E13)</f>
        <v>2</v>
      </c>
      <c r="N13" s="269">
        <f t="shared" si="3"/>
        <v>28</v>
      </c>
      <c r="O13" s="269"/>
      <c r="P13" s="290"/>
      <c r="Q13" s="142"/>
    </row>
    <row r="14" spans="1:22">
      <c r="A14" s="73"/>
      <c r="B14" s="392"/>
      <c r="C14" s="141" t="s">
        <v>49</v>
      </c>
      <c r="D14" s="342">
        <v>34</v>
      </c>
      <c r="E14" s="343">
        <v>33</v>
      </c>
      <c r="F14" s="344">
        <v>8</v>
      </c>
      <c r="G14" s="344">
        <v>21</v>
      </c>
      <c r="H14" s="344"/>
      <c r="I14" s="344">
        <v>3</v>
      </c>
      <c r="J14" s="344">
        <v>1</v>
      </c>
      <c r="K14" s="344"/>
      <c r="L14" s="345"/>
      <c r="M14" s="267">
        <f t="shared" ref="M14:M17" si="4">SUM(D14-E14)</f>
        <v>1</v>
      </c>
      <c r="N14" s="269">
        <f t="shared" si="3"/>
        <v>34</v>
      </c>
      <c r="O14" s="269"/>
      <c r="P14" s="290"/>
      <c r="Q14" s="142"/>
    </row>
    <row r="15" spans="1:22">
      <c r="A15" s="73"/>
      <c r="B15" s="392"/>
      <c r="C15" s="143" t="s">
        <v>51</v>
      </c>
      <c r="D15" s="342">
        <v>11</v>
      </c>
      <c r="E15" s="343">
        <v>11</v>
      </c>
      <c r="F15" s="344">
        <v>3</v>
      </c>
      <c r="G15" s="344">
        <v>1</v>
      </c>
      <c r="H15" s="344"/>
      <c r="I15" s="344"/>
      <c r="J15" s="344"/>
      <c r="K15" s="344"/>
      <c r="L15" s="345"/>
      <c r="M15" s="267">
        <f t="shared" si="4"/>
        <v>0</v>
      </c>
      <c r="N15" s="269">
        <f t="shared" si="3"/>
        <v>11</v>
      </c>
      <c r="O15" s="269"/>
      <c r="P15" s="290"/>
      <c r="Q15" s="142"/>
    </row>
    <row r="16" spans="1:22">
      <c r="A16" s="73"/>
      <c r="B16" s="392"/>
      <c r="C16" s="143"/>
      <c r="D16" s="342"/>
      <c r="E16" s="343"/>
      <c r="F16" s="344"/>
      <c r="G16" s="344"/>
      <c r="H16" s="344"/>
      <c r="I16" s="344"/>
      <c r="J16" s="344"/>
      <c r="K16" s="344"/>
      <c r="L16" s="346"/>
      <c r="M16" s="267">
        <f t="shared" si="4"/>
        <v>0</v>
      </c>
      <c r="N16" s="279">
        <f t="shared" si="3"/>
        <v>0</v>
      </c>
      <c r="O16" s="279"/>
      <c r="P16" s="292"/>
      <c r="Q16" s="148"/>
    </row>
    <row r="17" spans="1:22" ht="15" thickBot="1">
      <c r="A17" s="73"/>
      <c r="B17" s="392"/>
      <c r="C17" s="143"/>
      <c r="D17" s="342"/>
      <c r="E17" s="343"/>
      <c r="F17" s="344"/>
      <c r="G17" s="344"/>
      <c r="H17" s="344"/>
      <c r="I17" s="344"/>
      <c r="J17" s="344"/>
      <c r="K17" s="349"/>
      <c r="L17" s="346"/>
      <c r="M17" s="267">
        <f t="shared" si="4"/>
        <v>0</v>
      </c>
      <c r="N17" s="279">
        <f t="shared" si="3"/>
        <v>0</v>
      </c>
      <c r="O17" s="279"/>
      <c r="P17" s="292"/>
      <c r="Q17" s="148"/>
      <c r="U17" s="83"/>
      <c r="V17" s="84"/>
    </row>
    <row r="18" spans="1:22" ht="15" thickBot="1">
      <c r="A18" s="73"/>
      <c r="B18" s="392"/>
      <c r="C18" s="144" t="s">
        <v>69</v>
      </c>
      <c r="D18" s="350">
        <f t="shared" ref="D18:K18" si="5">SUM(D12:D17)</f>
        <v>74</v>
      </c>
      <c r="E18" s="351">
        <f t="shared" si="5"/>
        <v>71</v>
      </c>
      <c r="F18" s="352">
        <f t="shared" si="5"/>
        <v>14</v>
      </c>
      <c r="G18" s="352">
        <f t="shared" si="5"/>
        <v>24</v>
      </c>
      <c r="H18" s="352">
        <f t="shared" si="5"/>
        <v>0</v>
      </c>
      <c r="I18" s="352">
        <f t="shared" si="5"/>
        <v>6</v>
      </c>
      <c r="J18" s="352">
        <f t="shared" si="5"/>
        <v>1</v>
      </c>
      <c r="K18" s="352">
        <f t="shared" si="5"/>
        <v>0</v>
      </c>
      <c r="L18" s="347">
        <v>59724.29</v>
      </c>
      <c r="M18" s="267">
        <f>SUM(M12:M17)</f>
        <v>3</v>
      </c>
      <c r="N18" s="280">
        <f>SUM(N12:N17)</f>
        <v>74</v>
      </c>
      <c r="O18" s="149">
        <v>5</v>
      </c>
      <c r="P18" s="150">
        <v>4</v>
      </c>
      <c r="Q18" s="148"/>
      <c r="U18" s="85"/>
      <c r="V18" s="85"/>
    </row>
    <row r="19" spans="1:22" ht="15" thickBot="1">
      <c r="A19" s="73"/>
      <c r="B19" s="393"/>
      <c r="C19" s="124" t="s">
        <v>45</v>
      </c>
      <c r="D19" s="272">
        <f>SUM(D12:D17)</f>
        <v>74</v>
      </c>
      <c r="E19" s="272">
        <f>SUM(E12:E17)</f>
        <v>71</v>
      </c>
      <c r="F19" s="381">
        <f>SUM(F18:K18)</f>
        <v>45</v>
      </c>
      <c r="G19" s="382"/>
      <c r="H19" s="382"/>
      <c r="I19" s="382"/>
      <c r="J19" s="382"/>
      <c r="K19" s="383"/>
      <c r="L19" s="348">
        <f>L18</f>
        <v>59724.29</v>
      </c>
      <c r="M19" s="272">
        <f>SUM(M12:M17)</f>
        <v>3</v>
      </c>
      <c r="N19" s="272">
        <f>SUM(N12:N17)</f>
        <v>74</v>
      </c>
      <c r="O19" s="272">
        <f>SUM(O18)</f>
        <v>5</v>
      </c>
      <c r="P19" s="275">
        <f>SUM(P18)</f>
        <v>4</v>
      </c>
      <c r="Q19" s="125"/>
      <c r="T19" s="145">
        <f>$V$3+L11+L19</f>
        <v>7447837.4499999993</v>
      </c>
    </row>
    <row r="20" spans="1:22" ht="15.6" thickTop="1" thickBot="1">
      <c r="A20" s="73" t="str">
        <f ca="1">OFFSET('0'!$B$112,($A$1-1)*10,$B20-1)</f>
        <v>SS</v>
      </c>
      <c r="B20" s="380">
        <f ca="1">OFFSET('0'!$B$111,($A$1-1)*10,2)</f>
        <v>3</v>
      </c>
      <c r="C20" s="143" t="s">
        <v>51</v>
      </c>
      <c r="D20" s="338">
        <v>0</v>
      </c>
      <c r="E20" s="339">
        <v>0</v>
      </c>
      <c r="F20" s="340"/>
      <c r="G20" s="340"/>
      <c r="H20" s="340"/>
      <c r="I20" s="340"/>
      <c r="J20" s="340"/>
      <c r="K20" s="340"/>
      <c r="L20" s="341"/>
      <c r="M20" s="302">
        <f>SUM(D20-E20)</f>
        <v>0</v>
      </c>
      <c r="N20" s="305">
        <f t="shared" ref="N20:N25" si="6">SUM(E20,M20)</f>
        <v>0</v>
      </c>
      <c r="O20" s="305"/>
      <c r="P20" s="306"/>
      <c r="Q20" s="140"/>
    </row>
    <row r="21" spans="1:22" ht="15.6" thickTop="1" thickBot="1">
      <c r="A21" s="73"/>
      <c r="B21" s="380"/>
      <c r="C21" s="141" t="s">
        <v>46</v>
      </c>
      <c r="D21" s="342">
        <v>15</v>
      </c>
      <c r="E21" s="343">
        <v>14</v>
      </c>
      <c r="F21" s="344">
        <v>6</v>
      </c>
      <c r="G21" s="344"/>
      <c r="H21" s="344"/>
      <c r="I21" s="344"/>
      <c r="J21" s="344">
        <v>1</v>
      </c>
      <c r="K21" s="344"/>
      <c r="L21" s="345"/>
      <c r="M21" s="267">
        <f>SUM(D21-E21)</f>
        <v>1</v>
      </c>
      <c r="N21" s="269">
        <f t="shared" si="6"/>
        <v>15</v>
      </c>
      <c r="O21" s="269"/>
      <c r="P21" s="290"/>
      <c r="Q21" s="142"/>
    </row>
    <row r="22" spans="1:22" ht="15.6" thickTop="1" thickBot="1">
      <c r="A22" s="73"/>
      <c r="B22" s="380"/>
      <c r="C22" s="141" t="s">
        <v>49</v>
      </c>
      <c r="D22" s="342">
        <v>12</v>
      </c>
      <c r="E22" s="343">
        <v>12</v>
      </c>
      <c r="F22" s="344">
        <v>3</v>
      </c>
      <c r="G22" s="344">
        <v>1</v>
      </c>
      <c r="H22" s="344"/>
      <c r="I22" s="344">
        <v>1</v>
      </c>
      <c r="J22" s="344"/>
      <c r="K22" s="344"/>
      <c r="L22" s="345"/>
      <c r="M22" s="267">
        <f t="shared" ref="M22:M25" si="7">SUM(D22-E22)</f>
        <v>0</v>
      </c>
      <c r="N22" s="269">
        <f t="shared" si="6"/>
        <v>12</v>
      </c>
      <c r="O22" s="269"/>
      <c r="P22" s="290"/>
      <c r="Q22" s="142"/>
    </row>
    <row r="23" spans="1:22" ht="15.6" thickTop="1" thickBot="1">
      <c r="A23" s="73"/>
      <c r="B23" s="380"/>
      <c r="C23" s="143" t="s">
        <v>59</v>
      </c>
      <c r="D23" s="342">
        <v>11</v>
      </c>
      <c r="E23" s="343">
        <v>9</v>
      </c>
      <c r="F23" s="344">
        <v>4</v>
      </c>
      <c r="G23" s="344"/>
      <c r="H23" s="344"/>
      <c r="I23" s="344">
        <v>2</v>
      </c>
      <c r="J23" s="344"/>
      <c r="K23" s="344"/>
      <c r="L23" s="345"/>
      <c r="M23" s="267">
        <f t="shared" si="7"/>
        <v>2</v>
      </c>
      <c r="N23" s="269">
        <f t="shared" si="6"/>
        <v>11</v>
      </c>
      <c r="O23" s="269"/>
      <c r="P23" s="290"/>
      <c r="Q23" s="142"/>
    </row>
    <row r="24" spans="1:22" ht="15.6" thickTop="1" thickBot="1">
      <c r="A24" s="73"/>
      <c r="B24" s="380"/>
      <c r="C24" s="143"/>
      <c r="D24" s="276"/>
      <c r="E24" s="277"/>
      <c r="F24" s="278"/>
      <c r="G24" s="278"/>
      <c r="H24" s="278"/>
      <c r="I24" s="278"/>
      <c r="J24" s="278"/>
      <c r="K24" s="278"/>
      <c r="L24" s="346"/>
      <c r="M24" s="267">
        <f t="shared" si="7"/>
        <v>0</v>
      </c>
      <c r="N24" s="269">
        <f t="shared" si="6"/>
        <v>0</v>
      </c>
      <c r="O24" s="269"/>
      <c r="P24" s="293"/>
      <c r="Q24" s="148"/>
    </row>
    <row r="25" spans="1:22" ht="15.6" thickTop="1" thickBot="1">
      <c r="A25" s="73"/>
      <c r="B25" s="380"/>
      <c r="C25" s="143"/>
      <c r="D25" s="276"/>
      <c r="E25" s="277"/>
      <c r="F25" s="278"/>
      <c r="G25" s="278"/>
      <c r="H25" s="278"/>
      <c r="I25" s="278"/>
      <c r="J25" s="278"/>
      <c r="K25" s="278"/>
      <c r="L25" s="346"/>
      <c r="M25" s="267">
        <f t="shared" si="7"/>
        <v>0</v>
      </c>
      <c r="N25" s="269">
        <f t="shared" si="6"/>
        <v>0</v>
      </c>
      <c r="O25" s="269"/>
      <c r="P25" s="293"/>
      <c r="Q25" s="148"/>
    </row>
    <row r="26" spans="1:22" ht="15.6" thickTop="1" thickBot="1">
      <c r="A26" s="73"/>
      <c r="B26" s="380"/>
      <c r="C26" s="144" t="s">
        <v>69</v>
      </c>
      <c r="D26" s="266">
        <f>SUM(D20:D25)</f>
        <v>38</v>
      </c>
      <c r="E26" s="267">
        <f>SUM(E20:E25)</f>
        <v>35</v>
      </c>
      <c r="F26" s="268">
        <f>SUM(F20:F25)</f>
        <v>13</v>
      </c>
      <c r="G26" s="268">
        <f t="shared" ref="G26:K26" si="8">SUM(G20:G25)</f>
        <v>1</v>
      </c>
      <c r="H26" s="268">
        <f t="shared" si="8"/>
        <v>0</v>
      </c>
      <c r="I26" s="268">
        <f t="shared" si="8"/>
        <v>3</v>
      </c>
      <c r="J26" s="268">
        <f t="shared" si="8"/>
        <v>1</v>
      </c>
      <c r="K26" s="268">
        <f t="shared" si="8"/>
        <v>0</v>
      </c>
      <c r="L26" s="347">
        <v>72817.81</v>
      </c>
      <c r="M26" s="267">
        <f>SUM(M20:M25)</f>
        <v>3</v>
      </c>
      <c r="N26" s="280">
        <f>SUM(N20:N25)</f>
        <v>38</v>
      </c>
      <c r="O26" s="149">
        <v>1</v>
      </c>
      <c r="P26" s="150">
        <v>2</v>
      </c>
      <c r="Q26" s="148"/>
    </row>
    <row r="27" spans="1:22" ht="15.6" thickTop="1" thickBot="1">
      <c r="A27" s="73"/>
      <c r="B27" s="380"/>
      <c r="C27" s="132" t="s">
        <v>45</v>
      </c>
      <c r="D27" s="281">
        <f>SUM(D20:D25)</f>
        <v>38</v>
      </c>
      <c r="E27" s="281">
        <f>SUM(E20:E25)</f>
        <v>35</v>
      </c>
      <c r="F27" s="381">
        <f>SUM(F26:K26)</f>
        <v>18</v>
      </c>
      <c r="G27" s="382"/>
      <c r="H27" s="382"/>
      <c r="I27" s="382"/>
      <c r="J27" s="382"/>
      <c r="K27" s="383"/>
      <c r="L27" s="353">
        <f>L26</f>
        <v>72817.81</v>
      </c>
      <c r="M27" s="281">
        <f>SUM(M20:M25)</f>
        <v>3</v>
      </c>
      <c r="N27" s="281">
        <f>SUM(N20:N25)</f>
        <v>38</v>
      </c>
      <c r="O27" s="272">
        <f>SUM(O26)</f>
        <v>1</v>
      </c>
      <c r="P27" s="275">
        <f>SUM(P26)</f>
        <v>2</v>
      </c>
      <c r="Q27" s="133"/>
      <c r="T27" s="145">
        <f>$V$3++L11+L19+L27</f>
        <v>7520655.2599999988</v>
      </c>
    </row>
    <row r="28" spans="1:22" ht="15.6" thickTop="1" thickBot="1">
      <c r="A28" s="73" t="str">
        <f ca="1">OFFSET('0'!$B$112,($A$1-1)*10,$B28-1)</f>
        <v>SK</v>
      </c>
      <c r="B28" s="380">
        <f ca="1">OFFSET('0'!$B$111,($A$1-1)*10,3)</f>
        <v>4</v>
      </c>
      <c r="C28" s="143" t="s">
        <v>59</v>
      </c>
      <c r="D28" s="338">
        <v>3</v>
      </c>
      <c r="E28" s="339">
        <v>1</v>
      </c>
      <c r="F28" s="340">
        <v>1</v>
      </c>
      <c r="G28" s="340"/>
      <c r="H28" s="340"/>
      <c r="I28" s="340"/>
      <c r="J28" s="340"/>
      <c r="K28" s="340"/>
      <c r="L28" s="341"/>
      <c r="M28" s="302">
        <f>SUM(D28-E28)</f>
        <v>2</v>
      </c>
      <c r="N28" s="305">
        <f t="shared" ref="N28:N33" si="9">SUM(E28,M28)</f>
        <v>3</v>
      </c>
      <c r="O28" s="305"/>
      <c r="P28" s="306"/>
      <c r="Q28" s="140"/>
    </row>
    <row r="29" spans="1:22" ht="17.25" customHeight="1" thickTop="1" thickBot="1">
      <c r="A29" s="73"/>
      <c r="B29" s="380"/>
      <c r="C29" s="141" t="s">
        <v>46</v>
      </c>
      <c r="D29" s="342">
        <v>10</v>
      </c>
      <c r="E29" s="343">
        <v>10</v>
      </c>
      <c r="F29" s="344">
        <v>2</v>
      </c>
      <c r="G29" s="344"/>
      <c r="H29" s="344"/>
      <c r="I29" s="344">
        <v>1</v>
      </c>
      <c r="J29" s="344">
        <v>1</v>
      </c>
      <c r="K29" s="344"/>
      <c r="L29" s="345"/>
      <c r="M29" s="267">
        <f>SUM(D29-E29)</f>
        <v>0</v>
      </c>
      <c r="N29" s="269">
        <f t="shared" si="9"/>
        <v>10</v>
      </c>
      <c r="O29" s="269"/>
      <c r="P29" s="290"/>
      <c r="Q29" s="142"/>
    </row>
    <row r="30" spans="1:22" ht="17.25" customHeight="1" thickTop="1" thickBot="1">
      <c r="A30" s="73"/>
      <c r="B30" s="380"/>
      <c r="C30" s="141" t="s">
        <v>55</v>
      </c>
      <c r="D30" s="342">
        <v>11</v>
      </c>
      <c r="E30" s="343">
        <v>11</v>
      </c>
      <c r="F30" s="344">
        <v>3</v>
      </c>
      <c r="G30" s="344">
        <v>6</v>
      </c>
      <c r="H30" s="344"/>
      <c r="I30" s="344">
        <v>2</v>
      </c>
      <c r="J30" s="344"/>
      <c r="K30" s="344"/>
      <c r="L30" s="345"/>
      <c r="M30" s="267">
        <f t="shared" ref="M30:M33" si="10">SUM(D30-E30)</f>
        <v>0</v>
      </c>
      <c r="N30" s="269">
        <f t="shared" si="9"/>
        <v>11</v>
      </c>
      <c r="O30" s="269"/>
      <c r="P30" s="290"/>
      <c r="Q30" s="142"/>
    </row>
    <row r="31" spans="1:22" ht="17.25" customHeight="1" thickTop="1" thickBot="1">
      <c r="A31" s="73"/>
      <c r="B31" s="380"/>
      <c r="C31" s="143" t="s">
        <v>60</v>
      </c>
      <c r="D31" s="342">
        <v>9</v>
      </c>
      <c r="E31" s="343">
        <v>9</v>
      </c>
      <c r="F31" s="344">
        <v>2</v>
      </c>
      <c r="G31" s="344"/>
      <c r="H31" s="344"/>
      <c r="I31" s="344"/>
      <c r="J31" s="344"/>
      <c r="K31" s="344"/>
      <c r="L31" s="345"/>
      <c r="M31" s="267">
        <f t="shared" si="10"/>
        <v>0</v>
      </c>
      <c r="N31" s="269">
        <f t="shared" si="9"/>
        <v>9</v>
      </c>
      <c r="O31" s="269"/>
      <c r="P31" s="290"/>
      <c r="Q31" s="142"/>
    </row>
    <row r="32" spans="1:22" ht="15.6" thickTop="1" thickBot="1">
      <c r="A32" s="73"/>
      <c r="B32" s="380"/>
      <c r="C32" s="143"/>
      <c r="D32" s="342"/>
      <c r="E32" s="343"/>
      <c r="F32" s="344"/>
      <c r="G32" s="344"/>
      <c r="H32" s="344"/>
      <c r="I32" s="344"/>
      <c r="J32" s="344"/>
      <c r="K32" s="344"/>
      <c r="L32" s="346"/>
      <c r="M32" s="267">
        <f t="shared" si="10"/>
        <v>0</v>
      </c>
      <c r="N32" s="269">
        <f t="shared" si="9"/>
        <v>0</v>
      </c>
      <c r="O32" s="269"/>
      <c r="P32" s="290"/>
      <c r="Q32" s="142"/>
    </row>
    <row r="33" spans="1:20" ht="15.6" thickTop="1" thickBot="1">
      <c r="A33" s="73"/>
      <c r="B33" s="380"/>
      <c r="C33" s="143"/>
      <c r="D33" s="266"/>
      <c r="E33" s="267"/>
      <c r="F33" s="268"/>
      <c r="G33" s="268"/>
      <c r="H33" s="268"/>
      <c r="I33" s="268"/>
      <c r="J33" s="268"/>
      <c r="K33" s="268"/>
      <c r="L33" s="346"/>
      <c r="M33" s="267">
        <f t="shared" si="10"/>
        <v>0</v>
      </c>
      <c r="N33" s="269">
        <f t="shared" si="9"/>
        <v>0</v>
      </c>
      <c r="O33" s="269"/>
      <c r="P33" s="290"/>
      <c r="Q33" s="142"/>
    </row>
    <row r="34" spans="1:20" ht="15.6" thickTop="1" thickBot="1">
      <c r="A34" s="73"/>
      <c r="B34" s="380"/>
      <c r="C34" s="144" t="s">
        <v>69</v>
      </c>
      <c r="D34" s="266">
        <f>SUM(D28:D33)</f>
        <v>33</v>
      </c>
      <c r="E34" s="267">
        <f>SUM(E28:E33)</f>
        <v>31</v>
      </c>
      <c r="F34" s="268">
        <f>SUM(F28:F33)</f>
        <v>8</v>
      </c>
      <c r="G34" s="268">
        <f t="shared" ref="G34:K34" si="11">SUM(G28:G33)</f>
        <v>6</v>
      </c>
      <c r="H34" s="268">
        <f t="shared" si="11"/>
        <v>0</v>
      </c>
      <c r="I34" s="268">
        <f t="shared" si="11"/>
        <v>3</v>
      </c>
      <c r="J34" s="268">
        <f t="shared" si="11"/>
        <v>1</v>
      </c>
      <c r="K34" s="268">
        <f t="shared" si="11"/>
        <v>0</v>
      </c>
      <c r="L34" s="347">
        <v>20859.009999999998</v>
      </c>
      <c r="M34" s="267">
        <f>SUM(M28:M33)</f>
        <v>2</v>
      </c>
      <c r="N34" s="269">
        <f>SUM(N28:N33)</f>
        <v>33</v>
      </c>
      <c r="O34" s="129"/>
      <c r="P34" s="130"/>
      <c r="Q34" s="142"/>
    </row>
    <row r="35" spans="1:20" ht="15.6" thickTop="1" thickBot="1">
      <c r="A35" s="73"/>
      <c r="B35" s="380"/>
      <c r="C35" s="124" t="s">
        <v>45</v>
      </c>
      <c r="D35" s="272">
        <f>SUM(D28:D33)</f>
        <v>33</v>
      </c>
      <c r="E35" s="272">
        <f>SUM(E28:E33)</f>
        <v>31</v>
      </c>
      <c r="F35" s="381">
        <f>SUM(F34:K34)</f>
        <v>18</v>
      </c>
      <c r="G35" s="382"/>
      <c r="H35" s="382"/>
      <c r="I35" s="382"/>
      <c r="J35" s="382"/>
      <c r="K35" s="383"/>
      <c r="L35" s="353">
        <f>L34</f>
        <v>20859.009999999998</v>
      </c>
      <c r="M35" s="272">
        <f>SUM(M28:M33)</f>
        <v>2</v>
      </c>
      <c r="N35" s="272">
        <f>SUM(N28:N33)</f>
        <v>33</v>
      </c>
      <c r="O35" s="272">
        <f>SUM(O34)</f>
        <v>0</v>
      </c>
      <c r="P35" s="275">
        <f>SUM(P34)</f>
        <v>0</v>
      </c>
      <c r="Q35" s="125"/>
      <c r="T35" s="145">
        <f>$V$3+L11+L19+L27+L35</f>
        <v>7541514.2699999986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43" t="s">
        <v>60</v>
      </c>
      <c r="D36" s="338">
        <v>2</v>
      </c>
      <c r="E36" s="339">
        <v>2</v>
      </c>
      <c r="F36" s="340"/>
      <c r="G36" s="340"/>
      <c r="H36" s="340"/>
      <c r="I36" s="340"/>
      <c r="J36" s="340"/>
      <c r="K36" s="340"/>
      <c r="L36" s="341"/>
      <c r="M36" s="302">
        <f>SUM(D36-E36)</f>
        <v>0</v>
      </c>
      <c r="N36" s="305">
        <f>SUM(E36,M36)</f>
        <v>2</v>
      </c>
      <c r="O36" s="305"/>
      <c r="P36" s="306"/>
      <c r="Q36" s="140"/>
    </row>
    <row r="37" spans="1:20" ht="15.6" thickTop="1" thickBot="1">
      <c r="A37" s="73"/>
      <c r="B37" s="380"/>
      <c r="C37" s="141" t="s">
        <v>169</v>
      </c>
      <c r="D37" s="342">
        <v>23</v>
      </c>
      <c r="E37" s="343">
        <v>22</v>
      </c>
      <c r="F37" s="344">
        <v>1</v>
      </c>
      <c r="G37" s="344">
        <v>5</v>
      </c>
      <c r="H37" s="344"/>
      <c r="I37" s="344">
        <v>1</v>
      </c>
      <c r="J37" s="344"/>
      <c r="K37" s="344"/>
      <c r="L37" s="345"/>
      <c r="M37" s="267">
        <f>SUM(D37-E37)</f>
        <v>1</v>
      </c>
      <c r="N37" s="269">
        <f>SUM(E37,M37)</f>
        <v>23</v>
      </c>
      <c r="O37" s="269"/>
      <c r="P37" s="290"/>
      <c r="Q37" s="142"/>
    </row>
    <row r="38" spans="1:20" ht="15.6" thickTop="1" thickBot="1">
      <c r="A38" s="73"/>
      <c r="B38" s="380"/>
      <c r="C38" s="141" t="s">
        <v>56</v>
      </c>
      <c r="D38" s="342">
        <v>21</v>
      </c>
      <c r="E38" s="343">
        <v>21</v>
      </c>
      <c r="F38" s="344">
        <v>9</v>
      </c>
      <c r="G38" s="344">
        <v>4</v>
      </c>
      <c r="H38" s="344"/>
      <c r="I38" s="344">
        <v>1</v>
      </c>
      <c r="J38" s="344">
        <v>2</v>
      </c>
      <c r="K38" s="344"/>
      <c r="L38" s="345"/>
      <c r="M38" s="267">
        <f t="shared" ref="M38:M41" si="12">SUM(D38-E38)</f>
        <v>0</v>
      </c>
      <c r="N38" s="269">
        <f>SUM(E38,M38)</f>
        <v>21</v>
      </c>
      <c r="O38" s="269"/>
      <c r="P38" s="290"/>
      <c r="Q38" s="142"/>
    </row>
    <row r="39" spans="1:20" ht="15.6" thickTop="1" thickBot="1">
      <c r="A39" s="73"/>
      <c r="B39" s="380"/>
      <c r="C39" s="143" t="s">
        <v>55</v>
      </c>
      <c r="D39" s="342">
        <v>28</v>
      </c>
      <c r="E39" s="343">
        <v>28</v>
      </c>
      <c r="F39" s="344">
        <v>4</v>
      </c>
      <c r="G39" s="344">
        <v>16</v>
      </c>
      <c r="H39" s="344"/>
      <c r="I39" s="344"/>
      <c r="J39" s="344">
        <v>6</v>
      </c>
      <c r="K39" s="344"/>
      <c r="L39" s="345"/>
      <c r="M39" s="267">
        <f t="shared" si="12"/>
        <v>0</v>
      </c>
      <c r="N39" s="269">
        <f t="shared" ref="N39:N41" si="13">SUM(E39,M39)</f>
        <v>28</v>
      </c>
      <c r="O39" s="269"/>
      <c r="P39" s="290"/>
      <c r="Q39" s="142"/>
    </row>
    <row r="40" spans="1:20" ht="15.6" thickTop="1" thickBot="1">
      <c r="A40" s="73"/>
      <c r="B40" s="380"/>
      <c r="C40" s="143" t="s">
        <v>54</v>
      </c>
      <c r="D40" s="342">
        <v>12</v>
      </c>
      <c r="E40" s="343">
        <v>11</v>
      </c>
      <c r="F40" s="344">
        <v>3</v>
      </c>
      <c r="G40" s="344">
        <v>4</v>
      </c>
      <c r="H40" s="344"/>
      <c r="I40" s="344"/>
      <c r="J40" s="344">
        <v>1</v>
      </c>
      <c r="K40" s="344"/>
      <c r="L40" s="345"/>
      <c r="M40" s="267">
        <f t="shared" si="12"/>
        <v>1</v>
      </c>
      <c r="N40" s="269">
        <f t="shared" si="13"/>
        <v>12</v>
      </c>
      <c r="O40" s="269"/>
      <c r="P40" s="290"/>
      <c r="Q40" s="142"/>
    </row>
    <row r="41" spans="1:20" ht="15.6" thickTop="1" thickBot="1">
      <c r="A41" s="73"/>
      <c r="B41" s="380"/>
      <c r="C41" s="143"/>
      <c r="D41" s="266"/>
      <c r="E41" s="267"/>
      <c r="F41" s="268"/>
      <c r="G41" s="268"/>
      <c r="H41" s="268"/>
      <c r="I41" s="268"/>
      <c r="J41" s="268"/>
      <c r="K41" s="268"/>
      <c r="L41" s="346"/>
      <c r="M41" s="267">
        <f t="shared" si="12"/>
        <v>0</v>
      </c>
      <c r="N41" s="269">
        <f t="shared" si="13"/>
        <v>0</v>
      </c>
      <c r="O41" s="269"/>
      <c r="P41" s="290"/>
      <c r="Q41" s="142"/>
    </row>
    <row r="42" spans="1:20" ht="15.6" thickTop="1" thickBot="1">
      <c r="A42" s="73"/>
      <c r="B42" s="380"/>
      <c r="C42" s="144" t="s">
        <v>69</v>
      </c>
      <c r="D42" s="266">
        <f>SUM(D36:D41)</f>
        <v>86</v>
      </c>
      <c r="E42" s="267">
        <f>SUM(E36:E41)</f>
        <v>84</v>
      </c>
      <c r="F42" s="268">
        <f>SUM(F36:F41)</f>
        <v>17</v>
      </c>
      <c r="G42" s="268">
        <f t="shared" ref="G42:K42" si="14">SUM(G36:G41)</f>
        <v>29</v>
      </c>
      <c r="H42" s="268">
        <f t="shared" si="14"/>
        <v>0</v>
      </c>
      <c r="I42" s="268">
        <f t="shared" si="14"/>
        <v>2</v>
      </c>
      <c r="J42" s="268">
        <f t="shared" si="14"/>
        <v>9</v>
      </c>
      <c r="K42" s="268">
        <f t="shared" si="14"/>
        <v>0</v>
      </c>
      <c r="L42" s="347">
        <v>185675.79</v>
      </c>
      <c r="M42" s="267">
        <f>SUM(M36:M41)</f>
        <v>2</v>
      </c>
      <c r="N42" s="279">
        <f>SUM(N36:N41)</f>
        <v>86</v>
      </c>
      <c r="O42" s="131">
        <v>6</v>
      </c>
      <c r="P42" s="146">
        <v>10</v>
      </c>
      <c r="Q42" s="148"/>
    </row>
    <row r="43" spans="1:20" ht="15.6" thickTop="1" thickBot="1">
      <c r="A43" s="73"/>
      <c r="B43" s="380"/>
      <c r="C43" s="124" t="s">
        <v>45</v>
      </c>
      <c r="D43" s="272">
        <f>SUM(D36:D41)</f>
        <v>86</v>
      </c>
      <c r="E43" s="272">
        <f>SUM(E36:E41)</f>
        <v>84</v>
      </c>
      <c r="F43" s="381">
        <f>SUM(F42:K42)</f>
        <v>57</v>
      </c>
      <c r="G43" s="382"/>
      <c r="H43" s="382"/>
      <c r="I43" s="382"/>
      <c r="J43" s="382"/>
      <c r="K43" s="383"/>
      <c r="L43" s="353">
        <f>L42</f>
        <v>185675.79</v>
      </c>
      <c r="M43" s="272">
        <f>SUM(M36:M41)</f>
        <v>2</v>
      </c>
      <c r="N43" s="272">
        <f>SUM(N36:N41)</f>
        <v>86</v>
      </c>
      <c r="O43" s="272">
        <f>SUM(O42)</f>
        <v>6</v>
      </c>
      <c r="P43" s="275">
        <f>SUM(P42)</f>
        <v>10</v>
      </c>
      <c r="Q43" s="125"/>
      <c r="T43" s="145">
        <f>$V$3+L11+L19+L27+L35+L43</f>
        <v>7727190.0599999987</v>
      </c>
    </row>
    <row r="44" spans="1:20" ht="15.6" thickTop="1" thickBot="1">
      <c r="A44" s="73" t="str">
        <f ca="1">OFFSET('0'!$B$112,($A$1-1)*10,$B44-1)</f>
        <v>--</v>
      </c>
      <c r="B44" s="380">
        <f ca="1">OFFSET('0'!$B$111,($A$1-1)*10,5)</f>
        <v>6</v>
      </c>
      <c r="C44" s="143" t="s">
        <v>54</v>
      </c>
      <c r="D44" s="338">
        <v>0</v>
      </c>
      <c r="E44" s="339">
        <v>0</v>
      </c>
      <c r="F44" s="340"/>
      <c r="G44" s="340"/>
      <c r="H44" s="340"/>
      <c r="I44" s="340"/>
      <c r="J44" s="340"/>
      <c r="K44" s="340"/>
      <c r="L44" s="341"/>
      <c r="M44" s="302">
        <f>SUM(D44-E44)</f>
        <v>0</v>
      </c>
      <c r="N44" s="305">
        <f t="shared" ref="N44:N49" si="15">SUM(E44,M44)</f>
        <v>0</v>
      </c>
      <c r="O44" s="305"/>
      <c r="P44" s="306"/>
      <c r="Q44" s="140"/>
    </row>
    <row r="45" spans="1:20" ht="15.6" thickTop="1" thickBot="1">
      <c r="A45" s="73"/>
      <c r="B45" s="380"/>
      <c r="C45" s="141" t="s">
        <v>169</v>
      </c>
      <c r="D45" s="342">
        <v>23</v>
      </c>
      <c r="E45" s="343">
        <v>23</v>
      </c>
      <c r="F45" s="344"/>
      <c r="G45" s="344">
        <v>17</v>
      </c>
      <c r="H45" s="344"/>
      <c r="I45" s="344"/>
      <c r="J45" s="344"/>
      <c r="K45" s="344"/>
      <c r="L45" s="345"/>
      <c r="M45" s="267">
        <f>SUM(D45-E45)</f>
        <v>0</v>
      </c>
      <c r="N45" s="269">
        <f t="shared" si="15"/>
        <v>23</v>
      </c>
      <c r="O45" s="269"/>
      <c r="P45" s="290"/>
      <c r="Q45" s="142"/>
    </row>
    <row r="46" spans="1:20" ht="15.6" thickTop="1" thickBot="1">
      <c r="A46" s="73"/>
      <c r="B46" s="380"/>
      <c r="C46" s="141" t="s">
        <v>56</v>
      </c>
      <c r="D46" s="342">
        <v>30</v>
      </c>
      <c r="E46" s="343">
        <v>29</v>
      </c>
      <c r="F46" s="344">
        <v>6</v>
      </c>
      <c r="G46" s="344">
        <v>8</v>
      </c>
      <c r="H46" s="344"/>
      <c r="I46" s="344"/>
      <c r="J46" s="344">
        <v>1</v>
      </c>
      <c r="K46" s="344"/>
      <c r="L46" s="345"/>
      <c r="M46" s="267">
        <f t="shared" ref="M46:M49" si="16">SUM(D46-E46)</f>
        <v>1</v>
      </c>
      <c r="N46" s="269">
        <f t="shared" si="15"/>
        <v>30</v>
      </c>
      <c r="O46" s="269"/>
      <c r="P46" s="290"/>
      <c r="Q46" s="142"/>
    </row>
    <row r="47" spans="1:20" ht="15.6" thickTop="1" thickBot="1">
      <c r="A47" s="73"/>
      <c r="B47" s="380"/>
      <c r="C47" s="143" t="s">
        <v>64</v>
      </c>
      <c r="D47" s="342">
        <v>17</v>
      </c>
      <c r="E47" s="343">
        <v>16</v>
      </c>
      <c r="F47" s="344">
        <v>2</v>
      </c>
      <c r="G47" s="344">
        <v>5</v>
      </c>
      <c r="H47" s="344"/>
      <c r="I47" s="344"/>
      <c r="J47" s="344">
        <v>1</v>
      </c>
      <c r="K47" s="344"/>
      <c r="L47" s="345"/>
      <c r="M47" s="267">
        <f t="shared" si="16"/>
        <v>1</v>
      </c>
      <c r="N47" s="269">
        <f t="shared" si="15"/>
        <v>17</v>
      </c>
      <c r="O47" s="269"/>
      <c r="P47" s="290"/>
      <c r="Q47" s="142"/>
    </row>
    <row r="48" spans="1:20" ht="15.6" thickTop="1" thickBot="1">
      <c r="A48" s="73"/>
      <c r="B48" s="380"/>
      <c r="C48" s="143"/>
      <c r="D48" s="342"/>
      <c r="E48" s="343"/>
      <c r="F48" s="344"/>
      <c r="G48" s="344"/>
      <c r="H48" s="344"/>
      <c r="I48" s="344"/>
      <c r="J48" s="344"/>
      <c r="K48" s="344"/>
      <c r="L48" s="346"/>
      <c r="M48" s="267">
        <f t="shared" si="16"/>
        <v>0</v>
      </c>
      <c r="N48" s="269">
        <f t="shared" si="15"/>
        <v>0</v>
      </c>
      <c r="O48" s="279"/>
      <c r="P48" s="292"/>
      <c r="Q48" s="148"/>
    </row>
    <row r="49" spans="1:20" ht="15.6" thickTop="1" thickBot="1">
      <c r="A49" s="73"/>
      <c r="B49" s="380"/>
      <c r="C49" s="143"/>
      <c r="D49" s="342"/>
      <c r="E49" s="343"/>
      <c r="F49" s="344"/>
      <c r="G49" s="344"/>
      <c r="H49" s="344"/>
      <c r="I49" s="344"/>
      <c r="J49" s="344"/>
      <c r="K49" s="349"/>
      <c r="L49" s="346"/>
      <c r="M49" s="267">
        <f t="shared" si="16"/>
        <v>0</v>
      </c>
      <c r="N49" s="279">
        <f t="shared" si="15"/>
        <v>0</v>
      </c>
      <c r="O49" s="279"/>
      <c r="P49" s="292"/>
      <c r="Q49" s="148"/>
    </row>
    <row r="50" spans="1:20" ht="15.6" thickTop="1" thickBot="1">
      <c r="A50" s="73"/>
      <c r="B50" s="380"/>
      <c r="C50" s="144" t="s">
        <v>69</v>
      </c>
      <c r="D50" s="266">
        <f>SUM(D44:D49)</f>
        <v>70</v>
      </c>
      <c r="E50" s="267">
        <f>SUM(E44:E49)</f>
        <v>68</v>
      </c>
      <c r="F50" s="268">
        <f>SUM(F44:F49)</f>
        <v>8</v>
      </c>
      <c r="G50" s="268">
        <f t="shared" ref="G50:K50" si="17">SUM(G44:G49)</f>
        <v>30</v>
      </c>
      <c r="H50" s="268">
        <f t="shared" si="17"/>
        <v>0</v>
      </c>
      <c r="I50" s="268">
        <f t="shared" si="17"/>
        <v>0</v>
      </c>
      <c r="J50" s="268">
        <f t="shared" si="17"/>
        <v>2</v>
      </c>
      <c r="K50" s="268">
        <f t="shared" si="17"/>
        <v>0</v>
      </c>
      <c r="L50" s="347">
        <v>53864.25</v>
      </c>
      <c r="M50" s="267">
        <f>SUM(M44:M49)</f>
        <v>2</v>
      </c>
      <c r="N50" s="280">
        <f>SUM(N44:N49)</f>
        <v>70</v>
      </c>
      <c r="O50" s="149">
        <v>3</v>
      </c>
      <c r="P50" s="150">
        <v>6</v>
      </c>
      <c r="Q50" s="148"/>
    </row>
    <row r="51" spans="1:20" ht="15.6" thickTop="1" thickBot="1">
      <c r="A51" s="73"/>
      <c r="B51" s="380"/>
      <c r="C51" s="132" t="s">
        <v>45</v>
      </c>
      <c r="D51" s="281">
        <f>SUM(D44:D49)</f>
        <v>70</v>
      </c>
      <c r="E51" s="281">
        <f>SUM(E44:E49)</f>
        <v>68</v>
      </c>
      <c r="F51" s="381">
        <f>SUM(F50:K50)</f>
        <v>40</v>
      </c>
      <c r="G51" s="382"/>
      <c r="H51" s="382"/>
      <c r="I51" s="382"/>
      <c r="J51" s="382"/>
      <c r="K51" s="383"/>
      <c r="L51" s="353">
        <f>L50</f>
        <v>53864.25</v>
      </c>
      <c r="M51" s="281">
        <f>SUM(M44:M49)</f>
        <v>2</v>
      </c>
      <c r="N51" s="281">
        <f>SUM(N44:N49)</f>
        <v>70</v>
      </c>
      <c r="O51" s="272">
        <f>SUM(O50)</f>
        <v>3</v>
      </c>
      <c r="P51" s="275">
        <f>SUM(P50)</f>
        <v>6</v>
      </c>
      <c r="Q51" s="133"/>
      <c r="T51" s="145">
        <f>$V$3+L11+L19+L27+L35+L43+L51</f>
        <v>7781054.3099999987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43" t="s">
        <v>64</v>
      </c>
      <c r="D52" s="338">
        <v>2</v>
      </c>
      <c r="E52" s="339">
        <v>2</v>
      </c>
      <c r="F52" s="340"/>
      <c r="G52" s="340"/>
      <c r="H52" s="340"/>
      <c r="I52" s="340"/>
      <c r="J52" s="340"/>
      <c r="K52" s="340"/>
      <c r="L52" s="341"/>
      <c r="M52" s="302">
        <f>SUM(D52-E52)</f>
        <v>0</v>
      </c>
      <c r="N52" s="305">
        <f t="shared" ref="N52:N57" si="18">SUM(E52,M52)</f>
        <v>2</v>
      </c>
      <c r="O52" s="305"/>
      <c r="P52" s="306"/>
      <c r="Q52" s="140"/>
    </row>
    <row r="53" spans="1:20" ht="15.6" thickTop="1" thickBot="1">
      <c r="A53" s="73"/>
      <c r="B53" s="380"/>
      <c r="C53" s="141" t="s">
        <v>50</v>
      </c>
      <c r="D53" s="342">
        <v>39</v>
      </c>
      <c r="E53" s="343">
        <v>38</v>
      </c>
      <c r="F53" s="344">
        <v>3</v>
      </c>
      <c r="G53" s="344">
        <v>13</v>
      </c>
      <c r="H53" s="344"/>
      <c r="I53" s="344">
        <v>2</v>
      </c>
      <c r="J53" s="344">
        <v>2</v>
      </c>
      <c r="K53" s="344"/>
      <c r="L53" s="345"/>
      <c r="M53" s="267">
        <f>SUM(D53-E53)</f>
        <v>1</v>
      </c>
      <c r="N53" s="269">
        <f t="shared" si="18"/>
        <v>39</v>
      </c>
      <c r="O53" s="269"/>
      <c r="P53" s="290"/>
      <c r="Q53" s="142"/>
    </row>
    <row r="54" spans="1:20" ht="15.6" thickTop="1" thickBot="1">
      <c r="A54" s="73"/>
      <c r="B54" s="380"/>
      <c r="C54" s="141" t="s">
        <v>160</v>
      </c>
      <c r="D54" s="342">
        <v>40</v>
      </c>
      <c r="E54" s="343">
        <v>39</v>
      </c>
      <c r="F54" s="344">
        <v>11</v>
      </c>
      <c r="G54" s="344">
        <v>19</v>
      </c>
      <c r="H54" s="344"/>
      <c r="I54" s="344">
        <v>1</v>
      </c>
      <c r="J54" s="344">
        <v>3</v>
      </c>
      <c r="K54" s="344"/>
      <c r="L54" s="345"/>
      <c r="M54" s="267">
        <f t="shared" ref="M54:M57" si="19">SUM(D54-E54)</f>
        <v>1</v>
      </c>
      <c r="N54" s="269">
        <f t="shared" si="18"/>
        <v>40</v>
      </c>
      <c r="O54" s="269"/>
      <c r="P54" s="290"/>
      <c r="Q54" s="142"/>
    </row>
    <row r="55" spans="1:20" ht="15.6" thickTop="1" thickBot="1">
      <c r="A55" s="73"/>
      <c r="B55" s="380"/>
      <c r="C55" s="143" t="s">
        <v>170</v>
      </c>
      <c r="D55" s="342">
        <v>22</v>
      </c>
      <c r="E55" s="343">
        <v>19</v>
      </c>
      <c r="F55" s="344">
        <v>3</v>
      </c>
      <c r="G55" s="344">
        <v>4</v>
      </c>
      <c r="H55" s="344"/>
      <c r="I55" s="344"/>
      <c r="J55" s="344"/>
      <c r="K55" s="344"/>
      <c r="L55" s="345"/>
      <c r="M55" s="267">
        <f t="shared" si="19"/>
        <v>3</v>
      </c>
      <c r="N55" s="269">
        <f t="shared" si="18"/>
        <v>22</v>
      </c>
      <c r="O55" s="269"/>
      <c r="P55" s="290"/>
      <c r="Q55" s="142"/>
    </row>
    <row r="56" spans="1:20" ht="15.6" thickTop="1" thickBot="1">
      <c r="A56" s="73"/>
      <c r="B56" s="380"/>
      <c r="C56" s="143"/>
      <c r="D56" s="342"/>
      <c r="E56" s="343"/>
      <c r="F56" s="344"/>
      <c r="G56" s="344"/>
      <c r="H56" s="344"/>
      <c r="I56" s="344"/>
      <c r="J56" s="344"/>
      <c r="K56" s="344"/>
      <c r="L56" s="346"/>
      <c r="M56" s="267">
        <f t="shared" si="19"/>
        <v>0</v>
      </c>
      <c r="N56" s="269">
        <f t="shared" si="18"/>
        <v>0</v>
      </c>
      <c r="O56" s="279"/>
      <c r="P56" s="292"/>
      <c r="Q56" s="148"/>
    </row>
    <row r="57" spans="1:20" ht="15.6" thickTop="1" thickBot="1">
      <c r="A57" s="73"/>
      <c r="B57" s="380"/>
      <c r="C57" s="143"/>
      <c r="D57" s="276"/>
      <c r="E57" s="277"/>
      <c r="F57" s="278"/>
      <c r="G57" s="278"/>
      <c r="H57" s="278"/>
      <c r="I57" s="278"/>
      <c r="J57" s="278"/>
      <c r="K57" s="278"/>
      <c r="L57" s="346"/>
      <c r="M57" s="267">
        <f t="shared" si="19"/>
        <v>0</v>
      </c>
      <c r="N57" s="279">
        <f t="shared" si="18"/>
        <v>0</v>
      </c>
      <c r="O57" s="279"/>
      <c r="P57" s="292"/>
      <c r="Q57" s="148"/>
    </row>
    <row r="58" spans="1:20" ht="15.6" thickTop="1" thickBot="1">
      <c r="A58" s="73"/>
      <c r="B58" s="380"/>
      <c r="C58" s="144" t="s">
        <v>69</v>
      </c>
      <c r="D58" s="266">
        <f>SUM(D52:D57)</f>
        <v>103</v>
      </c>
      <c r="E58" s="267">
        <f>SUM(E52:E57)</f>
        <v>98</v>
      </c>
      <c r="F58" s="268">
        <f>SUM(F52:F57)</f>
        <v>17</v>
      </c>
      <c r="G58" s="268">
        <f t="shared" ref="G58:K58" si="20">SUM(G52:G57)</f>
        <v>36</v>
      </c>
      <c r="H58" s="268">
        <f t="shared" si="20"/>
        <v>0</v>
      </c>
      <c r="I58" s="268">
        <f t="shared" si="20"/>
        <v>3</v>
      </c>
      <c r="J58" s="268">
        <f t="shared" si="20"/>
        <v>5</v>
      </c>
      <c r="K58" s="268">
        <f t="shared" si="20"/>
        <v>0</v>
      </c>
      <c r="L58" s="347">
        <v>90263.5</v>
      </c>
      <c r="M58" s="267">
        <f>SUM(M52:M57)</f>
        <v>5</v>
      </c>
      <c r="N58" s="280">
        <f>SUM(N52:N57)</f>
        <v>103</v>
      </c>
      <c r="O58" s="149">
        <v>3</v>
      </c>
      <c r="P58" s="150">
        <v>5</v>
      </c>
      <c r="Q58" s="148"/>
    </row>
    <row r="59" spans="1:20" ht="15.6" thickTop="1" thickBot="1">
      <c r="A59" s="73"/>
      <c r="B59" s="380"/>
      <c r="C59" s="124" t="s">
        <v>45</v>
      </c>
      <c r="D59" s="272">
        <f>SUM(D52:D57)</f>
        <v>103</v>
      </c>
      <c r="E59" s="272">
        <f>SUM(E52:E57)</f>
        <v>98</v>
      </c>
      <c r="F59" s="381">
        <f>SUM(F58:K58)</f>
        <v>61</v>
      </c>
      <c r="G59" s="382"/>
      <c r="H59" s="382"/>
      <c r="I59" s="382"/>
      <c r="J59" s="382"/>
      <c r="K59" s="383"/>
      <c r="L59" s="353">
        <f>L58</f>
        <v>90263.5</v>
      </c>
      <c r="M59" s="272">
        <f>SUM(M52:M57)</f>
        <v>5</v>
      </c>
      <c r="N59" s="272">
        <f>SUM(N52:N57)</f>
        <v>103</v>
      </c>
      <c r="O59" s="272">
        <f>SUM(O58)</f>
        <v>3</v>
      </c>
      <c r="P59" s="275">
        <f>SUM(P58)</f>
        <v>5</v>
      </c>
      <c r="Q59" s="125"/>
      <c r="T59" s="145">
        <f>$V$3+L11+L19+L27+L35+L43+L51+L59</f>
        <v>7871317.8099999987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43" t="s">
        <v>170</v>
      </c>
      <c r="D60" s="338">
        <v>0</v>
      </c>
      <c r="E60" s="339">
        <v>0</v>
      </c>
      <c r="F60" s="340"/>
      <c r="G60" s="340"/>
      <c r="H60" s="340"/>
      <c r="I60" s="340"/>
      <c r="J60" s="340"/>
      <c r="K60" s="340"/>
      <c r="L60" s="341"/>
      <c r="M60" s="302">
        <f>SUM(D60-E60)</f>
        <v>0</v>
      </c>
      <c r="N60" s="305">
        <f t="shared" ref="N60:N65" si="21">SUM(E60,M60)</f>
        <v>0</v>
      </c>
      <c r="O60" s="305"/>
      <c r="P60" s="306"/>
      <c r="Q60" s="140"/>
    </row>
    <row r="61" spans="1:20" ht="15.6" thickTop="1" thickBot="1">
      <c r="A61" s="73"/>
      <c r="B61" s="380"/>
      <c r="C61" s="141" t="s">
        <v>48</v>
      </c>
      <c r="D61" s="342">
        <v>27</v>
      </c>
      <c r="E61" s="343">
        <v>25</v>
      </c>
      <c r="F61" s="344">
        <v>4</v>
      </c>
      <c r="G61" s="344">
        <v>8</v>
      </c>
      <c r="H61" s="344"/>
      <c r="I61" s="344"/>
      <c r="J61" s="344"/>
      <c r="K61" s="344"/>
      <c r="L61" s="345"/>
      <c r="M61" s="267">
        <f>SUM(D61-E61)</f>
        <v>2</v>
      </c>
      <c r="N61" s="269">
        <f t="shared" si="21"/>
        <v>27</v>
      </c>
      <c r="O61" s="269"/>
      <c r="P61" s="290"/>
      <c r="Q61" s="142"/>
    </row>
    <row r="62" spans="1:20" ht="15.6" thickTop="1" thickBot="1">
      <c r="A62" s="73"/>
      <c r="B62" s="380"/>
      <c r="C62" s="141" t="s">
        <v>50</v>
      </c>
      <c r="D62" s="342">
        <v>15</v>
      </c>
      <c r="E62" s="343">
        <v>15</v>
      </c>
      <c r="F62" s="344">
        <v>3</v>
      </c>
      <c r="G62" s="344">
        <v>1</v>
      </c>
      <c r="H62" s="344"/>
      <c r="I62" s="344"/>
      <c r="J62" s="344"/>
      <c r="K62" s="344"/>
      <c r="L62" s="345"/>
      <c r="M62" s="267">
        <f t="shared" ref="M62:M65" si="22">SUM(D62-E62)</f>
        <v>0</v>
      </c>
      <c r="N62" s="269">
        <f t="shared" si="21"/>
        <v>15</v>
      </c>
      <c r="O62" s="269"/>
      <c r="P62" s="290"/>
      <c r="Q62" s="142"/>
    </row>
    <row r="63" spans="1:20" ht="15.6" thickTop="1" thickBot="1">
      <c r="A63" s="73"/>
      <c r="B63" s="380"/>
      <c r="C63" s="143" t="s">
        <v>49</v>
      </c>
      <c r="D63" s="342">
        <v>32</v>
      </c>
      <c r="E63" s="343">
        <v>32</v>
      </c>
      <c r="F63" s="344">
        <v>6</v>
      </c>
      <c r="G63" s="344">
        <v>15</v>
      </c>
      <c r="H63" s="344"/>
      <c r="I63" s="344">
        <v>1</v>
      </c>
      <c r="J63" s="344"/>
      <c r="K63" s="344"/>
      <c r="L63" s="345"/>
      <c r="M63" s="267">
        <f t="shared" si="22"/>
        <v>0</v>
      </c>
      <c r="N63" s="269">
        <f t="shared" si="21"/>
        <v>32</v>
      </c>
      <c r="O63" s="269"/>
      <c r="P63" s="290"/>
      <c r="Q63" s="142"/>
    </row>
    <row r="64" spans="1:20" ht="15.6" thickTop="1" thickBot="1">
      <c r="A64" s="73"/>
      <c r="B64" s="380"/>
      <c r="C64" s="143" t="s">
        <v>161</v>
      </c>
      <c r="D64" s="342">
        <v>4</v>
      </c>
      <c r="E64" s="343">
        <v>4</v>
      </c>
      <c r="F64" s="344">
        <v>1</v>
      </c>
      <c r="G64" s="344"/>
      <c r="H64" s="344"/>
      <c r="I64" s="344"/>
      <c r="J64" s="344">
        <v>2</v>
      </c>
      <c r="K64" s="344"/>
      <c r="L64" s="346"/>
      <c r="M64" s="267">
        <f t="shared" si="22"/>
        <v>0</v>
      </c>
      <c r="N64" s="269">
        <f t="shared" si="21"/>
        <v>4</v>
      </c>
      <c r="O64" s="279"/>
      <c r="P64" s="292"/>
      <c r="Q64" s="148"/>
    </row>
    <row r="65" spans="1:20" ht="15.6" thickTop="1" thickBot="1">
      <c r="A65" s="73"/>
      <c r="B65" s="380"/>
      <c r="C65" s="143"/>
      <c r="D65" s="342"/>
      <c r="E65" s="343"/>
      <c r="F65" s="344"/>
      <c r="G65" s="344"/>
      <c r="H65" s="344"/>
      <c r="I65" s="344"/>
      <c r="J65" s="344"/>
      <c r="K65" s="349"/>
      <c r="L65" s="346"/>
      <c r="M65" s="267">
        <f t="shared" si="22"/>
        <v>0</v>
      </c>
      <c r="N65" s="279">
        <f t="shared" si="21"/>
        <v>0</v>
      </c>
      <c r="O65" s="279"/>
      <c r="P65" s="292"/>
      <c r="Q65" s="148"/>
    </row>
    <row r="66" spans="1:20" ht="15.6" thickTop="1" thickBot="1">
      <c r="A66" s="73"/>
      <c r="B66" s="380"/>
      <c r="C66" s="144" t="s">
        <v>69</v>
      </c>
      <c r="D66" s="266">
        <f>SUM(D60:D65)</f>
        <v>78</v>
      </c>
      <c r="E66" s="267">
        <f>SUM(E60:E65)</f>
        <v>76</v>
      </c>
      <c r="F66" s="268">
        <f>SUM(F60:F65)</f>
        <v>14</v>
      </c>
      <c r="G66" s="268">
        <f t="shared" ref="G66:K66" si="23">SUM(G60:G65)</f>
        <v>24</v>
      </c>
      <c r="H66" s="268">
        <f t="shared" si="23"/>
        <v>0</v>
      </c>
      <c r="I66" s="268">
        <f t="shared" si="23"/>
        <v>1</v>
      </c>
      <c r="J66" s="268">
        <f t="shared" si="23"/>
        <v>2</v>
      </c>
      <c r="K66" s="268">
        <f t="shared" si="23"/>
        <v>0</v>
      </c>
      <c r="L66" s="347">
        <v>210193.22</v>
      </c>
      <c r="M66" s="267">
        <f>SUM(M60:M65)</f>
        <v>2</v>
      </c>
      <c r="N66" s="280">
        <f>SUM(N60:N65)</f>
        <v>78</v>
      </c>
      <c r="O66" s="149">
        <v>3</v>
      </c>
      <c r="P66" s="150">
        <v>7</v>
      </c>
      <c r="Q66" s="148"/>
    </row>
    <row r="67" spans="1:20" ht="15.6" thickTop="1" thickBot="1">
      <c r="A67" s="73"/>
      <c r="B67" s="380"/>
      <c r="C67" s="124" t="s">
        <v>45</v>
      </c>
      <c r="D67" s="272">
        <f>SUM(D60:D65)</f>
        <v>78</v>
      </c>
      <c r="E67" s="272">
        <f>SUM(E60:E65)</f>
        <v>76</v>
      </c>
      <c r="F67" s="381">
        <f>SUM(F66:K66)</f>
        <v>41</v>
      </c>
      <c r="G67" s="382"/>
      <c r="H67" s="382"/>
      <c r="I67" s="382"/>
      <c r="J67" s="382"/>
      <c r="K67" s="383"/>
      <c r="L67" s="353">
        <f>L66</f>
        <v>210193.22</v>
      </c>
      <c r="M67" s="272">
        <f>SUM(M60:M65)</f>
        <v>2</v>
      </c>
      <c r="N67" s="272">
        <f>SUM(N60:N65)</f>
        <v>78</v>
      </c>
      <c r="O67" s="272">
        <f>SUM(O66)</f>
        <v>3</v>
      </c>
      <c r="P67" s="275">
        <f>SUM(P66)</f>
        <v>7</v>
      </c>
      <c r="Q67" s="125"/>
      <c r="T67" s="145">
        <f>$V$3+L11+L19+L27+L35+L43+L51+L59+L67</f>
        <v>8081511.0299999984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43" t="s">
        <v>161</v>
      </c>
      <c r="D68" s="338">
        <v>3</v>
      </c>
      <c r="E68" s="339">
        <v>3</v>
      </c>
      <c r="F68" s="340">
        <v>2</v>
      </c>
      <c r="G68" s="340"/>
      <c r="H68" s="340"/>
      <c r="I68" s="340"/>
      <c r="J68" s="340"/>
      <c r="K68" s="340"/>
      <c r="L68" s="341"/>
      <c r="M68" s="302">
        <f>SUM(D68-E68)</f>
        <v>0</v>
      </c>
      <c r="N68" s="305">
        <f>SUM(E68,M68)</f>
        <v>3</v>
      </c>
      <c r="O68" s="305"/>
      <c r="P68" s="306"/>
      <c r="Q68" s="140"/>
    </row>
    <row r="69" spans="1:20" ht="15.6" thickTop="1" thickBot="1">
      <c r="A69" s="73"/>
      <c r="B69" s="380"/>
      <c r="C69" s="141" t="s">
        <v>50</v>
      </c>
      <c r="D69" s="342">
        <v>13</v>
      </c>
      <c r="E69" s="343">
        <v>11</v>
      </c>
      <c r="F69" s="344">
        <v>1</v>
      </c>
      <c r="G69" s="344">
        <v>1</v>
      </c>
      <c r="H69" s="344"/>
      <c r="I69" s="344"/>
      <c r="J69" s="344"/>
      <c r="K69" s="344"/>
      <c r="L69" s="345"/>
      <c r="M69" s="267">
        <f>SUM(D69-E69)</f>
        <v>2</v>
      </c>
      <c r="N69" s="269">
        <f>SUM(E69,M69)</f>
        <v>13</v>
      </c>
      <c r="O69" s="269"/>
      <c r="P69" s="290"/>
      <c r="Q69" s="142"/>
    </row>
    <row r="70" spans="1:20" ht="15.6" thickTop="1" thickBot="1">
      <c r="A70" s="73"/>
      <c r="B70" s="380"/>
      <c r="C70" s="141" t="s">
        <v>46</v>
      </c>
      <c r="D70" s="342">
        <v>38</v>
      </c>
      <c r="E70" s="343">
        <v>37</v>
      </c>
      <c r="F70" s="344">
        <v>13</v>
      </c>
      <c r="G70" s="344">
        <v>12</v>
      </c>
      <c r="H70" s="344"/>
      <c r="I70" s="344"/>
      <c r="J70" s="344">
        <v>3</v>
      </c>
      <c r="K70" s="344"/>
      <c r="L70" s="345"/>
      <c r="M70" s="267">
        <f t="shared" ref="M70:M73" si="24">SUM(D70-E70)</f>
        <v>1</v>
      </c>
      <c r="N70" s="269">
        <f>SUM(E70,M70)</f>
        <v>38</v>
      </c>
      <c r="O70" s="269"/>
      <c r="P70" s="290"/>
      <c r="Q70" s="142"/>
    </row>
    <row r="71" spans="1:20" ht="15.6" thickTop="1" thickBot="1">
      <c r="A71" s="73"/>
      <c r="B71" s="380"/>
      <c r="C71" s="143" t="s">
        <v>49</v>
      </c>
      <c r="D71" s="342">
        <v>32</v>
      </c>
      <c r="E71" s="343">
        <v>31</v>
      </c>
      <c r="F71" s="344">
        <v>9</v>
      </c>
      <c r="G71" s="344">
        <v>9</v>
      </c>
      <c r="H71" s="344"/>
      <c r="I71" s="344"/>
      <c r="J71" s="344">
        <v>1</v>
      </c>
      <c r="K71" s="344"/>
      <c r="L71" s="345"/>
      <c r="M71" s="267">
        <f t="shared" si="24"/>
        <v>1</v>
      </c>
      <c r="N71" s="269">
        <f>SUM(E71,M71)</f>
        <v>32</v>
      </c>
      <c r="O71" s="269"/>
      <c r="P71" s="290"/>
      <c r="Q71" s="142"/>
    </row>
    <row r="72" spans="1:20" ht="15.6" thickTop="1" thickBot="1">
      <c r="A72" s="73"/>
      <c r="B72" s="380"/>
      <c r="C72" s="143" t="s">
        <v>51</v>
      </c>
      <c r="D72" s="342">
        <v>16</v>
      </c>
      <c r="E72" s="343">
        <v>15</v>
      </c>
      <c r="F72" s="344">
        <v>4</v>
      </c>
      <c r="G72" s="344"/>
      <c r="H72" s="344"/>
      <c r="I72" s="344">
        <v>2</v>
      </c>
      <c r="J72" s="344">
        <v>1</v>
      </c>
      <c r="K72" s="344"/>
      <c r="L72" s="346"/>
      <c r="M72" s="267">
        <f t="shared" si="24"/>
        <v>1</v>
      </c>
      <c r="N72" s="269">
        <f t="shared" ref="N72:N73" si="25">SUM(E72,M72)</f>
        <v>16</v>
      </c>
      <c r="O72" s="269"/>
      <c r="P72" s="290"/>
      <c r="Q72" s="142"/>
    </row>
    <row r="73" spans="1:20" ht="15.6" thickTop="1" thickBot="1">
      <c r="A73" s="73"/>
      <c r="B73" s="380"/>
      <c r="C73" s="143"/>
      <c r="D73" s="266"/>
      <c r="E73" s="267"/>
      <c r="F73" s="268"/>
      <c r="G73" s="268"/>
      <c r="H73" s="268"/>
      <c r="I73" s="268"/>
      <c r="J73" s="268"/>
      <c r="K73" s="268"/>
      <c r="L73" s="346"/>
      <c r="M73" s="267">
        <f t="shared" si="24"/>
        <v>0</v>
      </c>
      <c r="N73" s="269">
        <f t="shared" si="25"/>
        <v>0</v>
      </c>
      <c r="O73" s="269"/>
      <c r="P73" s="290"/>
      <c r="Q73" s="142"/>
    </row>
    <row r="74" spans="1:20" ht="15.6" thickTop="1" thickBot="1">
      <c r="A74" s="73"/>
      <c r="B74" s="380"/>
      <c r="C74" s="144" t="s">
        <v>69</v>
      </c>
      <c r="D74" s="266">
        <f>SUM(D68:D73)</f>
        <v>102</v>
      </c>
      <c r="E74" s="267">
        <f>SUM(E68:E73)</f>
        <v>97</v>
      </c>
      <c r="F74" s="268">
        <f>SUM(F68:F73)</f>
        <v>29</v>
      </c>
      <c r="G74" s="268">
        <f t="shared" ref="G74:K74" si="26">SUM(G68:G73)</f>
        <v>22</v>
      </c>
      <c r="H74" s="268">
        <f t="shared" si="26"/>
        <v>0</v>
      </c>
      <c r="I74" s="268">
        <f t="shared" si="26"/>
        <v>2</v>
      </c>
      <c r="J74" s="268">
        <f t="shared" si="26"/>
        <v>5</v>
      </c>
      <c r="K74" s="268">
        <f t="shared" si="26"/>
        <v>0</v>
      </c>
      <c r="L74" s="347">
        <v>127599.63</v>
      </c>
      <c r="M74" s="267">
        <f>SUM(M68:M73)</f>
        <v>5</v>
      </c>
      <c r="N74" s="269">
        <f>SUM(N68:N73)</f>
        <v>102</v>
      </c>
      <c r="O74" s="129">
        <v>3</v>
      </c>
      <c r="P74" s="130">
        <v>3</v>
      </c>
      <c r="Q74" s="142"/>
    </row>
    <row r="75" spans="1:20" ht="15.6" thickTop="1" thickBot="1">
      <c r="A75" s="73"/>
      <c r="B75" s="380"/>
      <c r="C75" s="124" t="s">
        <v>45</v>
      </c>
      <c r="D75" s="272">
        <f>SUM(D68:D73)</f>
        <v>102</v>
      </c>
      <c r="E75" s="272">
        <f>SUM(E68:E73)</f>
        <v>97</v>
      </c>
      <c r="F75" s="381">
        <f>SUM(F74:K74)</f>
        <v>58</v>
      </c>
      <c r="G75" s="382"/>
      <c r="H75" s="382"/>
      <c r="I75" s="382"/>
      <c r="J75" s="382"/>
      <c r="K75" s="383"/>
      <c r="L75" s="353">
        <f>L74</f>
        <v>127599.63</v>
      </c>
      <c r="M75" s="272">
        <f>SUM(M68:M73)</f>
        <v>5</v>
      </c>
      <c r="N75" s="272">
        <f>SUM(N68:N73)</f>
        <v>102</v>
      </c>
      <c r="O75" s="272">
        <f>SUM(O74)</f>
        <v>3</v>
      </c>
      <c r="P75" s="275">
        <f>SUM(P74)</f>
        <v>3</v>
      </c>
      <c r="Q75" s="125"/>
      <c r="T75" s="145">
        <f>$V$3+L11+L19+L27+L35+L43+L51+L59+L67+L75</f>
        <v>8209110.6599999983</v>
      </c>
    </row>
    <row r="76" spans="1:20" ht="15.6" thickTop="1" thickBot="1">
      <c r="A76" s="73" t="str">
        <f ca="1">OFFSET('0'!$B$112,($A$1-1)*10,$B76-1)</f>
        <v>SS</v>
      </c>
      <c r="B76" s="380">
        <f ca="1">OFFSET('0'!$B$111,($A$1-1)*10,9)</f>
        <v>10</v>
      </c>
      <c r="C76" s="143" t="s">
        <v>51</v>
      </c>
      <c r="D76" s="338">
        <v>2</v>
      </c>
      <c r="E76" s="339">
        <v>2</v>
      </c>
      <c r="F76" s="340"/>
      <c r="G76" s="340"/>
      <c r="H76" s="340"/>
      <c r="I76" s="340"/>
      <c r="J76" s="340"/>
      <c r="K76" s="340"/>
      <c r="L76" s="341"/>
      <c r="M76" s="302">
        <f>SUM(D76-E76)</f>
        <v>0</v>
      </c>
      <c r="N76" s="305">
        <f t="shared" ref="N76:N81" si="27">SUM(E76,M76)</f>
        <v>2</v>
      </c>
      <c r="O76" s="305"/>
      <c r="P76" s="306"/>
      <c r="Q76" s="140"/>
    </row>
    <row r="77" spans="1:20" ht="15.6" thickTop="1" thickBot="1">
      <c r="A77" s="73"/>
      <c r="B77" s="380"/>
      <c r="C77" s="141" t="s">
        <v>55</v>
      </c>
      <c r="D77" s="342">
        <v>9</v>
      </c>
      <c r="E77" s="343">
        <v>9</v>
      </c>
      <c r="F77" s="344"/>
      <c r="G77" s="344">
        <v>1</v>
      </c>
      <c r="H77" s="344"/>
      <c r="I77" s="344"/>
      <c r="J77" s="344"/>
      <c r="K77" s="344"/>
      <c r="L77" s="345"/>
      <c r="M77" s="267">
        <f>SUM(D77-E77)</f>
        <v>0</v>
      </c>
      <c r="N77" s="269">
        <f t="shared" si="27"/>
        <v>9</v>
      </c>
      <c r="O77" s="269"/>
      <c r="P77" s="290"/>
      <c r="Q77" s="142"/>
    </row>
    <row r="78" spans="1:20" ht="15.6" thickTop="1" thickBot="1">
      <c r="A78" s="73"/>
      <c r="B78" s="380"/>
      <c r="C78" s="141" t="s">
        <v>49</v>
      </c>
      <c r="D78" s="342">
        <v>10</v>
      </c>
      <c r="E78" s="343">
        <v>9</v>
      </c>
      <c r="F78" s="344">
        <v>3</v>
      </c>
      <c r="G78" s="344"/>
      <c r="H78" s="344"/>
      <c r="I78" s="344"/>
      <c r="J78" s="344">
        <v>1</v>
      </c>
      <c r="K78" s="344"/>
      <c r="L78" s="345"/>
      <c r="M78" s="267">
        <f t="shared" ref="M78:M81" si="28">SUM(D78-E78)</f>
        <v>1</v>
      </c>
      <c r="N78" s="269">
        <f t="shared" si="27"/>
        <v>10</v>
      </c>
      <c r="O78" s="269"/>
      <c r="P78" s="290"/>
      <c r="Q78" s="142"/>
    </row>
    <row r="79" spans="1:20" ht="15.6" thickTop="1" thickBot="1">
      <c r="A79" s="73"/>
      <c r="B79" s="380"/>
      <c r="C79" s="143" t="s">
        <v>54</v>
      </c>
      <c r="D79" s="342">
        <v>12</v>
      </c>
      <c r="E79" s="343">
        <v>12</v>
      </c>
      <c r="F79" s="344">
        <v>5</v>
      </c>
      <c r="G79" s="344"/>
      <c r="H79" s="344"/>
      <c r="I79" s="344">
        <v>4</v>
      </c>
      <c r="J79" s="344">
        <v>3</v>
      </c>
      <c r="K79" s="344"/>
      <c r="L79" s="345"/>
      <c r="M79" s="267">
        <f t="shared" si="28"/>
        <v>0</v>
      </c>
      <c r="N79" s="269">
        <f t="shared" si="27"/>
        <v>12</v>
      </c>
      <c r="O79" s="269"/>
      <c r="P79" s="290"/>
      <c r="Q79" s="142"/>
    </row>
    <row r="80" spans="1:20" ht="15.6" thickTop="1" thickBot="1">
      <c r="A80" s="73"/>
      <c r="B80" s="380"/>
      <c r="C80" s="143"/>
      <c r="D80" s="342"/>
      <c r="E80" s="343"/>
      <c r="F80" s="344"/>
      <c r="G80" s="344"/>
      <c r="H80" s="344"/>
      <c r="I80" s="344"/>
      <c r="J80" s="344"/>
      <c r="K80" s="344"/>
      <c r="L80" s="346"/>
      <c r="M80" s="267">
        <f t="shared" si="28"/>
        <v>0</v>
      </c>
      <c r="N80" s="269">
        <f t="shared" si="27"/>
        <v>0</v>
      </c>
      <c r="O80" s="279"/>
      <c r="P80" s="294"/>
      <c r="Q80" s="142"/>
    </row>
    <row r="81" spans="1:20" ht="15.6" thickTop="1" thickBot="1">
      <c r="A81" s="73"/>
      <c r="B81" s="380"/>
      <c r="C81" s="143"/>
      <c r="D81" s="266"/>
      <c r="E81" s="267"/>
      <c r="F81" s="268"/>
      <c r="G81" s="268"/>
      <c r="H81" s="268"/>
      <c r="I81" s="268"/>
      <c r="J81" s="268"/>
      <c r="K81" s="268"/>
      <c r="L81" s="346"/>
      <c r="M81" s="267">
        <f t="shared" si="28"/>
        <v>0</v>
      </c>
      <c r="N81" s="279">
        <f t="shared" si="27"/>
        <v>0</v>
      </c>
      <c r="O81" s="279"/>
      <c r="P81" s="294"/>
      <c r="Q81" s="142"/>
    </row>
    <row r="82" spans="1:20" ht="15.6" thickTop="1" thickBot="1">
      <c r="A82" s="73"/>
      <c r="B82" s="380"/>
      <c r="C82" s="144" t="s">
        <v>69</v>
      </c>
      <c r="D82" s="266">
        <f>SUM(D76:D81)</f>
        <v>33</v>
      </c>
      <c r="E82" s="267">
        <f>SUM(E76:E81)</f>
        <v>32</v>
      </c>
      <c r="F82" s="268">
        <f>SUM(F76:F81)</f>
        <v>8</v>
      </c>
      <c r="G82" s="268">
        <f t="shared" ref="G82:K82" si="29">SUM(G76:G81)</f>
        <v>1</v>
      </c>
      <c r="H82" s="268">
        <f t="shared" si="29"/>
        <v>0</v>
      </c>
      <c r="I82" s="268">
        <f t="shared" si="29"/>
        <v>4</v>
      </c>
      <c r="J82" s="268">
        <f t="shared" si="29"/>
        <v>4</v>
      </c>
      <c r="K82" s="268">
        <f t="shared" si="29"/>
        <v>0</v>
      </c>
      <c r="L82" s="347">
        <v>50517.24</v>
      </c>
      <c r="M82" s="267">
        <f>SUM(M76:M81)</f>
        <v>1</v>
      </c>
      <c r="N82" s="269">
        <f>SUM(N76:N81)</f>
        <v>33</v>
      </c>
      <c r="O82" s="129">
        <v>2</v>
      </c>
      <c r="P82" s="130"/>
      <c r="Q82" s="142"/>
    </row>
    <row r="83" spans="1:20" ht="15.6" thickTop="1" thickBot="1">
      <c r="A83" s="73"/>
      <c r="B83" s="380"/>
      <c r="C83" s="124" t="s">
        <v>45</v>
      </c>
      <c r="D83" s="272">
        <f>SUM(D76:D81)</f>
        <v>33</v>
      </c>
      <c r="E83" s="272">
        <f>SUM(E76:E81)</f>
        <v>32</v>
      </c>
      <c r="F83" s="381">
        <f>SUM(F82:K82)</f>
        <v>17</v>
      </c>
      <c r="G83" s="382"/>
      <c r="H83" s="382"/>
      <c r="I83" s="382"/>
      <c r="J83" s="382"/>
      <c r="K83" s="383"/>
      <c r="L83" s="353">
        <f>L82</f>
        <v>50517.24</v>
      </c>
      <c r="M83" s="272">
        <f>SUM(M76:M81)</f>
        <v>1</v>
      </c>
      <c r="N83" s="272">
        <f>SUM(N76:N81)</f>
        <v>33</v>
      </c>
      <c r="O83" s="272">
        <f>SUM(O82)</f>
        <v>2</v>
      </c>
      <c r="P83" s="275">
        <f>SUM(P82)</f>
        <v>0</v>
      </c>
      <c r="Q83" s="125"/>
      <c r="T83" s="145">
        <f>$V$3+L11+L19+L27+L35+L43+L51+L59+L67+L75+L83</f>
        <v>8259627.8999999985</v>
      </c>
    </row>
    <row r="84" spans="1:20" ht="15.6" thickTop="1" thickBot="1">
      <c r="A84" s="73" t="str">
        <f ca="1">OFFSET('0'!$B$112,($A$1-1)*10,$B84-1)</f>
        <v>SK</v>
      </c>
      <c r="B84" s="380">
        <f ca="1">OFFSET('0'!$B$111,($A$1-1)*10,10)</f>
        <v>11</v>
      </c>
      <c r="C84" s="143" t="s">
        <v>54</v>
      </c>
      <c r="D84" s="338">
        <v>2</v>
      </c>
      <c r="E84" s="339">
        <v>2</v>
      </c>
      <c r="F84" s="340">
        <v>1</v>
      </c>
      <c r="G84" s="340"/>
      <c r="H84" s="340"/>
      <c r="I84" s="340"/>
      <c r="J84" s="340"/>
      <c r="K84" s="340"/>
      <c r="L84" s="341"/>
      <c r="M84" s="302">
        <f>SUM(D84-E84)</f>
        <v>0</v>
      </c>
      <c r="N84" s="305">
        <f t="shared" ref="N84:N89" si="30">SUM(E84,M84)</f>
        <v>2</v>
      </c>
      <c r="O84" s="305"/>
      <c r="P84" s="306"/>
      <c r="Q84" s="140"/>
    </row>
    <row r="85" spans="1:20" ht="15.6" thickTop="1" thickBot="1">
      <c r="A85" s="73"/>
      <c r="B85" s="380"/>
      <c r="C85" s="141" t="s">
        <v>55</v>
      </c>
      <c r="D85" s="342">
        <v>8</v>
      </c>
      <c r="E85" s="343">
        <v>8</v>
      </c>
      <c r="F85" s="344">
        <v>1</v>
      </c>
      <c r="G85" s="344"/>
      <c r="H85" s="344"/>
      <c r="I85" s="344"/>
      <c r="J85" s="344">
        <v>1</v>
      </c>
      <c r="K85" s="344"/>
      <c r="L85" s="345"/>
      <c r="M85" s="267">
        <f>SUM(D85-E85)</f>
        <v>0</v>
      </c>
      <c r="N85" s="269">
        <f t="shared" si="30"/>
        <v>8</v>
      </c>
      <c r="O85" s="269"/>
      <c r="P85" s="290"/>
      <c r="Q85" s="142"/>
    </row>
    <row r="86" spans="1:20" ht="15.6" thickTop="1" thickBot="1">
      <c r="A86" s="73"/>
      <c r="B86" s="380"/>
      <c r="C86" s="141" t="s">
        <v>160</v>
      </c>
      <c r="D86" s="342">
        <v>15</v>
      </c>
      <c r="E86" s="343">
        <v>14</v>
      </c>
      <c r="F86" s="344">
        <v>1</v>
      </c>
      <c r="G86" s="344">
        <v>2</v>
      </c>
      <c r="H86" s="344"/>
      <c r="I86" s="344"/>
      <c r="J86" s="344"/>
      <c r="K86" s="344"/>
      <c r="L86" s="345"/>
      <c r="M86" s="267">
        <f t="shared" ref="M86:M89" si="31">SUM(D86-E86)</f>
        <v>1</v>
      </c>
      <c r="N86" s="269">
        <f t="shared" si="30"/>
        <v>15</v>
      </c>
      <c r="O86" s="269"/>
      <c r="P86" s="290"/>
      <c r="Q86" s="142"/>
    </row>
    <row r="87" spans="1:20" ht="15.6" thickTop="1" thickBot="1">
      <c r="A87" s="73"/>
      <c r="B87" s="380"/>
      <c r="C87" s="143" t="s">
        <v>60</v>
      </c>
      <c r="D87" s="342">
        <v>11</v>
      </c>
      <c r="E87" s="343">
        <v>11</v>
      </c>
      <c r="F87" s="344"/>
      <c r="G87" s="344"/>
      <c r="H87" s="344"/>
      <c r="I87" s="344"/>
      <c r="J87" s="344">
        <v>2</v>
      </c>
      <c r="K87" s="344"/>
      <c r="L87" s="345"/>
      <c r="M87" s="267">
        <f t="shared" si="31"/>
        <v>0</v>
      </c>
      <c r="N87" s="269">
        <f t="shared" si="30"/>
        <v>11</v>
      </c>
      <c r="O87" s="269"/>
      <c r="P87" s="290"/>
      <c r="Q87" s="142"/>
    </row>
    <row r="88" spans="1:20" ht="15.6" thickTop="1" thickBot="1">
      <c r="A88" s="73"/>
      <c r="B88" s="380"/>
      <c r="C88" s="143"/>
      <c r="D88" s="342"/>
      <c r="E88" s="343"/>
      <c r="F88" s="344"/>
      <c r="G88" s="344"/>
      <c r="H88" s="344"/>
      <c r="I88" s="344"/>
      <c r="J88" s="344"/>
      <c r="K88" s="344"/>
      <c r="L88" s="346"/>
      <c r="M88" s="267">
        <f t="shared" si="31"/>
        <v>0</v>
      </c>
      <c r="N88" s="269">
        <f t="shared" si="30"/>
        <v>0</v>
      </c>
      <c r="O88" s="269"/>
      <c r="P88" s="290"/>
      <c r="Q88" s="142"/>
    </row>
    <row r="89" spans="1:20" ht="15.6" thickTop="1" thickBot="1">
      <c r="A89" s="73"/>
      <c r="B89" s="380"/>
      <c r="C89" s="143"/>
      <c r="D89" s="266"/>
      <c r="E89" s="267"/>
      <c r="F89" s="268"/>
      <c r="G89" s="268"/>
      <c r="H89" s="268"/>
      <c r="I89" s="268"/>
      <c r="J89" s="268"/>
      <c r="K89" s="268"/>
      <c r="L89" s="346"/>
      <c r="M89" s="267">
        <f t="shared" si="31"/>
        <v>0</v>
      </c>
      <c r="N89" s="279">
        <f t="shared" si="30"/>
        <v>0</v>
      </c>
      <c r="O89" s="279"/>
      <c r="P89" s="294"/>
      <c r="Q89" s="142"/>
    </row>
    <row r="90" spans="1:20" ht="15.6" thickTop="1" thickBot="1">
      <c r="A90" s="73"/>
      <c r="B90" s="380"/>
      <c r="C90" s="144" t="s">
        <v>69</v>
      </c>
      <c r="D90" s="266">
        <f>SUM(D84:D89)</f>
        <v>36</v>
      </c>
      <c r="E90" s="267">
        <f>SUM(E84:E89)</f>
        <v>35</v>
      </c>
      <c r="F90" s="268">
        <f>SUM(F84:F89)</f>
        <v>3</v>
      </c>
      <c r="G90" s="268">
        <f t="shared" ref="G90:K90" si="32">SUM(G84:G89)</f>
        <v>2</v>
      </c>
      <c r="H90" s="268">
        <f t="shared" si="32"/>
        <v>0</v>
      </c>
      <c r="I90" s="268">
        <f t="shared" si="32"/>
        <v>0</v>
      </c>
      <c r="J90" s="268">
        <f t="shared" si="32"/>
        <v>3</v>
      </c>
      <c r="K90" s="268">
        <f t="shared" si="32"/>
        <v>0</v>
      </c>
      <c r="L90" s="347">
        <v>13232</v>
      </c>
      <c r="M90" s="267">
        <f>SUM(M84:M89)</f>
        <v>1</v>
      </c>
      <c r="N90" s="269">
        <f>SUM(N84:N89)</f>
        <v>36</v>
      </c>
      <c r="O90" s="129">
        <v>1</v>
      </c>
      <c r="P90" s="130"/>
      <c r="Q90" s="142"/>
    </row>
    <row r="91" spans="1:20" ht="15.6" thickTop="1" thickBot="1">
      <c r="A91" s="73"/>
      <c r="B91" s="380"/>
      <c r="C91" s="124" t="s">
        <v>45</v>
      </c>
      <c r="D91" s="272">
        <f>SUM(D84:D89)</f>
        <v>36</v>
      </c>
      <c r="E91" s="272">
        <f>SUM(E84:E89)</f>
        <v>35</v>
      </c>
      <c r="F91" s="381">
        <f>SUM(F90:K90)</f>
        <v>8</v>
      </c>
      <c r="G91" s="382"/>
      <c r="H91" s="382"/>
      <c r="I91" s="382"/>
      <c r="J91" s="382"/>
      <c r="K91" s="383"/>
      <c r="L91" s="353">
        <f>L90</f>
        <v>13232</v>
      </c>
      <c r="M91" s="272">
        <f>SUM(M84:M89)</f>
        <v>1</v>
      </c>
      <c r="N91" s="272">
        <f>SUM(N84:N89)</f>
        <v>36</v>
      </c>
      <c r="O91" s="272">
        <f>SUM(O90)</f>
        <v>1</v>
      </c>
      <c r="P91" s="275">
        <f>SUM(P90)</f>
        <v>0</v>
      </c>
      <c r="Q91" s="125"/>
      <c r="T91" s="145">
        <f>$V$3+L11+L19+L27+L35+L43+L51+L59+L67+L75+L83+L91</f>
        <v>8272859.8999999985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43" t="s">
        <v>60</v>
      </c>
      <c r="D92" s="338">
        <v>0</v>
      </c>
      <c r="E92" s="339">
        <v>0</v>
      </c>
      <c r="F92" s="340"/>
      <c r="G92" s="340"/>
      <c r="H92" s="340"/>
      <c r="I92" s="340"/>
      <c r="J92" s="340"/>
      <c r="K92" s="340"/>
      <c r="L92" s="341"/>
      <c r="M92" s="302">
        <f>SUM(D92-E92)</f>
        <v>0</v>
      </c>
      <c r="N92" s="305">
        <f t="shared" ref="N92:N97" si="33">SUM(E92,M92)</f>
        <v>0</v>
      </c>
      <c r="O92" s="305"/>
      <c r="P92" s="306"/>
      <c r="Q92" s="140"/>
    </row>
    <row r="93" spans="1:20" ht="15.6" thickTop="1" thickBot="1">
      <c r="A93" s="73"/>
      <c r="B93" s="380"/>
      <c r="C93" s="141" t="s">
        <v>56</v>
      </c>
      <c r="D93" s="342">
        <v>29</v>
      </c>
      <c r="E93" s="343">
        <v>28</v>
      </c>
      <c r="F93" s="344">
        <v>5</v>
      </c>
      <c r="G93" s="344">
        <v>6</v>
      </c>
      <c r="H93" s="344"/>
      <c r="I93" s="344">
        <v>2</v>
      </c>
      <c r="J93" s="344">
        <v>1</v>
      </c>
      <c r="K93" s="344"/>
      <c r="L93" s="345"/>
      <c r="M93" s="267">
        <f>SUM(D93-E93)</f>
        <v>1</v>
      </c>
      <c r="N93" s="269">
        <f t="shared" si="33"/>
        <v>29</v>
      </c>
      <c r="O93" s="269"/>
      <c r="P93" s="290"/>
      <c r="Q93" s="142"/>
    </row>
    <row r="94" spans="1:20" ht="15.6" thickTop="1" thickBot="1">
      <c r="A94" s="73"/>
      <c r="B94" s="380"/>
      <c r="C94" s="141" t="s">
        <v>160</v>
      </c>
      <c r="D94" s="342">
        <v>36</v>
      </c>
      <c r="E94" s="343">
        <v>36</v>
      </c>
      <c r="F94" s="344">
        <v>8</v>
      </c>
      <c r="G94" s="344">
        <v>11</v>
      </c>
      <c r="H94" s="344"/>
      <c r="I94" s="344">
        <v>3</v>
      </c>
      <c r="J94" s="344">
        <v>4</v>
      </c>
      <c r="K94" s="344"/>
      <c r="L94" s="345"/>
      <c r="M94" s="267">
        <f t="shared" ref="M94:M97" si="34">SUM(D94-E94)</f>
        <v>0</v>
      </c>
      <c r="N94" s="269">
        <f t="shared" si="33"/>
        <v>36</v>
      </c>
      <c r="O94" s="269"/>
      <c r="P94" s="290"/>
      <c r="Q94" s="142"/>
    </row>
    <row r="95" spans="1:20" ht="15.6" thickTop="1" thickBot="1">
      <c r="A95" s="73"/>
      <c r="B95" s="380"/>
      <c r="C95" s="143" t="s">
        <v>64</v>
      </c>
      <c r="D95" s="342">
        <v>11</v>
      </c>
      <c r="E95" s="343">
        <v>11</v>
      </c>
      <c r="F95" s="344">
        <v>4</v>
      </c>
      <c r="G95" s="344">
        <v>2</v>
      </c>
      <c r="H95" s="344"/>
      <c r="I95" s="344"/>
      <c r="J95" s="344"/>
      <c r="K95" s="344"/>
      <c r="L95" s="345"/>
      <c r="M95" s="267">
        <f t="shared" si="34"/>
        <v>0</v>
      </c>
      <c r="N95" s="269">
        <f t="shared" si="33"/>
        <v>11</v>
      </c>
      <c r="O95" s="269"/>
      <c r="P95" s="290"/>
      <c r="Q95" s="142"/>
    </row>
    <row r="96" spans="1:20" ht="15.6" thickTop="1" thickBot="1">
      <c r="A96" s="73"/>
      <c r="B96" s="380"/>
      <c r="C96" s="143"/>
      <c r="D96" s="342"/>
      <c r="E96" s="343"/>
      <c r="F96" s="344"/>
      <c r="G96" s="344"/>
      <c r="H96" s="344"/>
      <c r="I96" s="344"/>
      <c r="J96" s="344"/>
      <c r="K96" s="344"/>
      <c r="L96" s="346"/>
      <c r="M96" s="267">
        <f t="shared" si="34"/>
        <v>0</v>
      </c>
      <c r="N96" s="269">
        <f t="shared" si="33"/>
        <v>0</v>
      </c>
      <c r="O96" s="269"/>
      <c r="P96" s="290"/>
      <c r="Q96" s="142"/>
    </row>
    <row r="97" spans="1:20" ht="15.6" thickTop="1" thickBot="1">
      <c r="A97" s="73"/>
      <c r="B97" s="380"/>
      <c r="C97" s="143"/>
      <c r="D97" s="342"/>
      <c r="E97" s="343"/>
      <c r="F97" s="344"/>
      <c r="G97" s="344"/>
      <c r="H97" s="344"/>
      <c r="I97" s="344"/>
      <c r="J97" s="344"/>
      <c r="K97" s="349"/>
      <c r="L97" s="346"/>
      <c r="M97" s="267">
        <f t="shared" si="34"/>
        <v>0</v>
      </c>
      <c r="N97" s="279">
        <f t="shared" si="33"/>
        <v>0</v>
      </c>
      <c r="O97" s="279"/>
      <c r="P97" s="294"/>
      <c r="Q97" s="142"/>
    </row>
    <row r="98" spans="1:20" ht="15.6" thickTop="1" thickBot="1">
      <c r="A98" s="73"/>
      <c r="B98" s="380"/>
      <c r="C98" s="144" t="s">
        <v>69</v>
      </c>
      <c r="D98" s="266">
        <f>SUM(D92:D97)</f>
        <v>76</v>
      </c>
      <c r="E98" s="267">
        <f>SUM(E92:E97)</f>
        <v>75</v>
      </c>
      <c r="F98" s="268">
        <f>SUM(F92:F97)</f>
        <v>17</v>
      </c>
      <c r="G98" s="268">
        <f t="shared" ref="G98:K98" si="35">SUM(G92:G97)</f>
        <v>19</v>
      </c>
      <c r="H98" s="268">
        <f t="shared" si="35"/>
        <v>0</v>
      </c>
      <c r="I98" s="268">
        <f t="shared" si="35"/>
        <v>5</v>
      </c>
      <c r="J98" s="268">
        <f t="shared" si="35"/>
        <v>5</v>
      </c>
      <c r="K98" s="268">
        <f t="shared" si="35"/>
        <v>0</v>
      </c>
      <c r="L98" s="347">
        <v>32727.3</v>
      </c>
      <c r="M98" s="267">
        <f>SUM(M92:M97)</f>
        <v>1</v>
      </c>
      <c r="N98" s="269">
        <f>SUM(N92:N97)</f>
        <v>76</v>
      </c>
      <c r="O98" s="129">
        <v>1</v>
      </c>
      <c r="P98" s="130">
        <v>5</v>
      </c>
      <c r="Q98" s="142"/>
    </row>
    <row r="99" spans="1:20" ht="15.6" thickTop="1" thickBot="1">
      <c r="A99" s="73"/>
      <c r="B99" s="380"/>
      <c r="C99" s="124" t="s">
        <v>45</v>
      </c>
      <c r="D99" s="272">
        <f>SUM(D92:D97)</f>
        <v>76</v>
      </c>
      <c r="E99" s="272">
        <f>SUM(E92:E97)</f>
        <v>75</v>
      </c>
      <c r="F99" s="381">
        <f>SUM(F98:K98)</f>
        <v>46</v>
      </c>
      <c r="G99" s="382"/>
      <c r="H99" s="382"/>
      <c r="I99" s="382"/>
      <c r="J99" s="382"/>
      <c r="K99" s="383"/>
      <c r="L99" s="353">
        <f>L98</f>
        <v>32727.3</v>
      </c>
      <c r="M99" s="272">
        <f>SUM(M92:M97)</f>
        <v>1</v>
      </c>
      <c r="N99" s="272">
        <f>SUM(N92:N97)</f>
        <v>76</v>
      </c>
      <c r="O99" s="272">
        <f>SUM(O98)</f>
        <v>1</v>
      </c>
      <c r="P99" s="275">
        <f>SUM(P98)</f>
        <v>5</v>
      </c>
      <c r="Q99" s="125"/>
      <c r="T99" s="145">
        <f>$V$3+L11+L19+L27+L35+L43+L51+L59+L67+L75+L83+L91+L99</f>
        <v>8305587.1999999983</v>
      </c>
    </row>
    <row r="100" spans="1:20" ht="15.6" thickTop="1" thickBot="1">
      <c r="A100" s="73" t="str">
        <f ca="1">OFFSET('0'!$B$112,($A$1-1)*10,$B100-1)</f>
        <v>--</v>
      </c>
      <c r="B100" s="380">
        <f ca="1">OFFSET('0'!$B$111,($A$1-1)*10,12)</f>
        <v>13</v>
      </c>
      <c r="C100" s="143" t="s">
        <v>64</v>
      </c>
      <c r="D100" s="338">
        <v>1</v>
      </c>
      <c r="E100" s="339">
        <v>1</v>
      </c>
      <c r="F100" s="340"/>
      <c r="G100" s="340"/>
      <c r="H100" s="340"/>
      <c r="I100" s="340"/>
      <c r="J100" s="340"/>
      <c r="K100" s="340"/>
      <c r="L100" s="341"/>
      <c r="M100" s="302">
        <f>SUM(D100-E100)</f>
        <v>0</v>
      </c>
      <c r="N100" s="305">
        <f t="shared" ref="N100:N105" si="36">SUM(E100,M100)</f>
        <v>1</v>
      </c>
      <c r="O100" s="305"/>
      <c r="P100" s="306"/>
      <c r="Q100" s="140"/>
    </row>
    <row r="101" spans="1:20" ht="15.6" thickTop="1" thickBot="1">
      <c r="A101" s="73"/>
      <c r="B101" s="380"/>
      <c r="C101" s="141" t="s">
        <v>56</v>
      </c>
      <c r="D101" s="342">
        <v>33</v>
      </c>
      <c r="E101" s="343">
        <v>33</v>
      </c>
      <c r="F101" s="344">
        <v>4</v>
      </c>
      <c r="G101" s="344">
        <v>14</v>
      </c>
      <c r="H101" s="344"/>
      <c r="I101" s="344">
        <v>1</v>
      </c>
      <c r="J101" s="344">
        <v>2</v>
      </c>
      <c r="K101" s="344"/>
      <c r="L101" s="345"/>
      <c r="M101" s="267">
        <f>SUM(D101-E101)</f>
        <v>0</v>
      </c>
      <c r="N101" s="269">
        <f t="shared" si="36"/>
        <v>33</v>
      </c>
      <c r="O101" s="269"/>
      <c r="P101" s="290"/>
      <c r="Q101" s="142"/>
    </row>
    <row r="102" spans="1:20" ht="15.6" thickTop="1" thickBot="1">
      <c r="A102" s="73"/>
      <c r="B102" s="380"/>
      <c r="C102" s="141" t="s">
        <v>48</v>
      </c>
      <c r="D102" s="342">
        <v>40</v>
      </c>
      <c r="E102" s="343">
        <v>39</v>
      </c>
      <c r="F102" s="344">
        <v>2</v>
      </c>
      <c r="G102" s="344">
        <v>16</v>
      </c>
      <c r="H102" s="344"/>
      <c r="I102" s="344">
        <v>3</v>
      </c>
      <c r="J102" s="344">
        <v>1</v>
      </c>
      <c r="K102" s="344"/>
      <c r="L102" s="345"/>
      <c r="M102" s="267">
        <f t="shared" ref="M102:M105" si="37">SUM(D102-E102)</f>
        <v>1</v>
      </c>
      <c r="N102" s="269">
        <f t="shared" si="36"/>
        <v>40</v>
      </c>
      <c r="O102" s="269"/>
      <c r="P102" s="290"/>
      <c r="Q102" s="142"/>
    </row>
    <row r="103" spans="1:20" ht="15.6" thickTop="1" thickBot="1">
      <c r="A103" s="73"/>
      <c r="B103" s="380"/>
      <c r="C103" s="143" t="s">
        <v>161</v>
      </c>
      <c r="D103" s="342">
        <v>14</v>
      </c>
      <c r="E103" s="343">
        <v>14</v>
      </c>
      <c r="F103" s="344">
        <v>1</v>
      </c>
      <c r="G103" s="344">
        <v>2</v>
      </c>
      <c r="H103" s="344"/>
      <c r="I103" s="344"/>
      <c r="J103" s="344">
        <v>1</v>
      </c>
      <c r="K103" s="344"/>
      <c r="L103" s="345"/>
      <c r="M103" s="267">
        <f t="shared" si="37"/>
        <v>0</v>
      </c>
      <c r="N103" s="269">
        <f t="shared" si="36"/>
        <v>14</v>
      </c>
      <c r="O103" s="269"/>
      <c r="P103" s="290"/>
      <c r="Q103" s="142"/>
    </row>
    <row r="104" spans="1:20" ht="15.6" thickTop="1" thickBot="1">
      <c r="A104" s="73"/>
      <c r="B104" s="380"/>
      <c r="C104" s="143"/>
      <c r="D104" s="266"/>
      <c r="E104" s="267"/>
      <c r="F104" s="268"/>
      <c r="G104" s="268"/>
      <c r="H104" s="268"/>
      <c r="I104" s="268"/>
      <c r="J104" s="268"/>
      <c r="K104" s="268"/>
      <c r="L104" s="346"/>
      <c r="M104" s="267">
        <f t="shared" si="37"/>
        <v>0</v>
      </c>
      <c r="N104" s="269">
        <f t="shared" si="36"/>
        <v>0</v>
      </c>
      <c r="O104" s="269"/>
      <c r="P104" s="290"/>
      <c r="Q104" s="142"/>
    </row>
    <row r="105" spans="1:20" ht="15.6" thickTop="1" thickBot="1">
      <c r="A105" s="73"/>
      <c r="B105" s="380"/>
      <c r="C105" s="143"/>
      <c r="D105" s="266"/>
      <c r="E105" s="267"/>
      <c r="F105" s="268"/>
      <c r="G105" s="268"/>
      <c r="H105" s="268"/>
      <c r="I105" s="268"/>
      <c r="J105" s="268"/>
      <c r="K105" s="268"/>
      <c r="L105" s="346"/>
      <c r="M105" s="267">
        <f t="shared" si="37"/>
        <v>0</v>
      </c>
      <c r="N105" s="279">
        <f t="shared" si="36"/>
        <v>0</v>
      </c>
      <c r="O105" s="279"/>
      <c r="P105" s="294"/>
      <c r="Q105" s="142"/>
    </row>
    <row r="106" spans="1:20" ht="15.6" thickTop="1" thickBot="1">
      <c r="A106" s="73"/>
      <c r="B106" s="380"/>
      <c r="C106" s="151" t="s">
        <v>69</v>
      </c>
      <c r="D106" s="266">
        <f>SUM(D100:D105)</f>
        <v>88</v>
      </c>
      <c r="E106" s="267">
        <f>SUM(E100:E105)</f>
        <v>87</v>
      </c>
      <c r="F106" s="268">
        <f>SUM(F100:F105)</f>
        <v>7</v>
      </c>
      <c r="G106" s="268">
        <f t="shared" ref="G106:K106" si="38">SUM(G100:G105)</f>
        <v>32</v>
      </c>
      <c r="H106" s="268">
        <f t="shared" si="38"/>
        <v>0</v>
      </c>
      <c r="I106" s="268">
        <f t="shared" si="38"/>
        <v>4</v>
      </c>
      <c r="J106" s="268">
        <f t="shared" si="38"/>
        <v>4</v>
      </c>
      <c r="K106" s="268">
        <f t="shared" si="38"/>
        <v>0</v>
      </c>
      <c r="L106" s="347">
        <v>64967.39</v>
      </c>
      <c r="M106" s="267">
        <f>SUM(M100:M105)</f>
        <v>1</v>
      </c>
      <c r="N106" s="269">
        <f>SUM(N100:N105)</f>
        <v>88</v>
      </c>
      <c r="O106" s="129">
        <v>3</v>
      </c>
      <c r="P106" s="130">
        <v>5</v>
      </c>
      <c r="Q106" s="142"/>
    </row>
    <row r="107" spans="1:20" ht="15.6" thickTop="1" thickBot="1">
      <c r="A107" s="73"/>
      <c r="B107" s="380"/>
      <c r="C107" s="124" t="s">
        <v>45</v>
      </c>
      <c r="D107" s="272">
        <f>SUM(D100:D105)</f>
        <v>88</v>
      </c>
      <c r="E107" s="272">
        <f>SUM(E100:E105)</f>
        <v>87</v>
      </c>
      <c r="F107" s="381">
        <f>SUM(F106:K106)</f>
        <v>47</v>
      </c>
      <c r="G107" s="382"/>
      <c r="H107" s="382"/>
      <c r="I107" s="382"/>
      <c r="J107" s="382"/>
      <c r="K107" s="383"/>
      <c r="L107" s="353">
        <f>L106</f>
        <v>64967.39</v>
      </c>
      <c r="M107" s="272">
        <f>SUM(M100:M105)</f>
        <v>1</v>
      </c>
      <c r="N107" s="272">
        <f>SUM(N100:N105)</f>
        <v>88</v>
      </c>
      <c r="O107" s="272">
        <f>SUM(O106)</f>
        <v>3</v>
      </c>
      <c r="P107" s="275">
        <f>SUM(P106)</f>
        <v>5</v>
      </c>
      <c r="Q107" s="125"/>
      <c r="T107" s="145">
        <f>$V$3+L11+L19+L27+L35+L43+L51+L59+L67+L75+L83+L91+L99+L107</f>
        <v>8370554.589999998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43" t="s">
        <v>161</v>
      </c>
      <c r="D108" s="338">
        <v>2</v>
      </c>
      <c r="E108" s="339">
        <v>1</v>
      </c>
      <c r="F108" s="340">
        <v>1</v>
      </c>
      <c r="G108" s="340"/>
      <c r="H108" s="340" t="s">
        <v>77</v>
      </c>
      <c r="I108" s="340">
        <v>1</v>
      </c>
      <c r="J108" s="340"/>
      <c r="K108" s="340"/>
      <c r="L108" s="341"/>
      <c r="M108" s="302">
        <f>SUM(D108-E108)</f>
        <v>1</v>
      </c>
      <c r="N108" s="305">
        <f t="shared" ref="N108:N113" si="39">SUM(E108,M108)</f>
        <v>2</v>
      </c>
      <c r="O108" s="305"/>
      <c r="P108" s="306"/>
      <c r="Q108" s="140"/>
    </row>
    <row r="109" spans="1:20" ht="15.6" thickTop="1" thickBot="1">
      <c r="A109" s="73"/>
      <c r="B109" s="380"/>
      <c r="C109" s="141" t="s">
        <v>50</v>
      </c>
      <c r="D109" s="342">
        <v>24</v>
      </c>
      <c r="E109" s="343">
        <v>24</v>
      </c>
      <c r="F109" s="344">
        <v>4</v>
      </c>
      <c r="G109" s="344">
        <v>3</v>
      </c>
      <c r="H109" s="344">
        <v>1</v>
      </c>
      <c r="I109" s="344">
        <v>1</v>
      </c>
      <c r="J109" s="344">
        <v>1</v>
      </c>
      <c r="K109" s="344"/>
      <c r="L109" s="345"/>
      <c r="M109" s="267">
        <f>SUM(D109-E109)</f>
        <v>0</v>
      </c>
      <c r="N109" s="269">
        <f t="shared" si="39"/>
        <v>24</v>
      </c>
      <c r="O109" s="269"/>
      <c r="P109" s="290"/>
      <c r="Q109" s="142"/>
    </row>
    <row r="110" spans="1:20" ht="15.6" thickTop="1" thickBot="1">
      <c r="A110" s="73"/>
      <c r="B110" s="380"/>
      <c r="C110" s="141" t="s">
        <v>48</v>
      </c>
      <c r="D110" s="342">
        <v>43</v>
      </c>
      <c r="E110" s="343">
        <v>40</v>
      </c>
      <c r="F110" s="344">
        <v>2</v>
      </c>
      <c r="G110" s="344">
        <v>12</v>
      </c>
      <c r="H110" s="344"/>
      <c r="I110" s="344">
        <v>2</v>
      </c>
      <c r="J110" s="344">
        <v>1</v>
      </c>
      <c r="K110" s="344"/>
      <c r="L110" s="345"/>
      <c r="M110" s="267">
        <f t="shared" ref="M110:M113" si="40">SUM(D110-E110)</f>
        <v>3</v>
      </c>
      <c r="N110" s="269">
        <f t="shared" si="39"/>
        <v>43</v>
      </c>
      <c r="O110" s="269"/>
      <c r="P110" s="290"/>
      <c r="Q110" s="142"/>
    </row>
    <row r="111" spans="1:20" ht="15.6" thickTop="1" thickBot="1">
      <c r="A111" s="73"/>
      <c r="B111" s="380"/>
      <c r="C111" s="143" t="s">
        <v>53</v>
      </c>
      <c r="D111" s="342">
        <v>19</v>
      </c>
      <c r="E111" s="343">
        <v>19</v>
      </c>
      <c r="F111" s="344">
        <v>2</v>
      </c>
      <c r="G111" s="344">
        <v>3</v>
      </c>
      <c r="H111" s="344"/>
      <c r="I111" s="344"/>
      <c r="J111" s="344">
        <v>1</v>
      </c>
      <c r="K111" s="344"/>
      <c r="L111" s="345"/>
      <c r="M111" s="267">
        <f t="shared" si="40"/>
        <v>0</v>
      </c>
      <c r="N111" s="269">
        <f t="shared" si="39"/>
        <v>19</v>
      </c>
      <c r="O111" s="269"/>
      <c r="P111" s="290"/>
      <c r="Q111" s="142"/>
    </row>
    <row r="112" spans="1:20" ht="15.6" thickTop="1" thickBot="1">
      <c r="A112" s="73"/>
      <c r="B112" s="380"/>
      <c r="C112" s="143"/>
      <c r="D112" s="266"/>
      <c r="E112" s="267"/>
      <c r="F112" s="268"/>
      <c r="G112" s="268"/>
      <c r="H112" s="268"/>
      <c r="I112" s="268"/>
      <c r="J112" s="268"/>
      <c r="K112" s="268"/>
      <c r="L112" s="346"/>
      <c r="M112" s="267">
        <f t="shared" si="40"/>
        <v>0</v>
      </c>
      <c r="N112" s="279">
        <f t="shared" si="39"/>
        <v>0</v>
      </c>
      <c r="O112" s="279"/>
      <c r="P112" s="294"/>
      <c r="Q112" s="142"/>
    </row>
    <row r="113" spans="1:22" ht="15.6" thickTop="1" thickBot="1">
      <c r="A113" s="73"/>
      <c r="B113" s="380"/>
      <c r="C113" s="143"/>
      <c r="D113" s="266"/>
      <c r="E113" s="267"/>
      <c r="F113" s="268"/>
      <c r="G113" s="268"/>
      <c r="H113" s="268"/>
      <c r="I113" s="268"/>
      <c r="J113" s="268"/>
      <c r="K113" s="268"/>
      <c r="L113" s="346"/>
      <c r="M113" s="267">
        <f t="shared" si="40"/>
        <v>0</v>
      </c>
      <c r="N113" s="269">
        <f t="shared" si="39"/>
        <v>0</v>
      </c>
      <c r="O113" s="269"/>
      <c r="P113" s="290"/>
      <c r="Q113" s="142"/>
    </row>
    <row r="114" spans="1:22" ht="15.6" thickTop="1" thickBot="1">
      <c r="A114" s="73"/>
      <c r="B114" s="380"/>
      <c r="C114" s="144" t="s">
        <v>69</v>
      </c>
      <c r="D114" s="266">
        <f>SUM(D108:D113)</f>
        <v>88</v>
      </c>
      <c r="E114" s="267">
        <f>SUM(E108:E113)</f>
        <v>84</v>
      </c>
      <c r="F114" s="268">
        <f>SUM(F108:F113)</f>
        <v>9</v>
      </c>
      <c r="G114" s="268">
        <f t="shared" ref="G114:K114" si="41">SUM(G108:G113)</f>
        <v>18</v>
      </c>
      <c r="H114" s="268">
        <f t="shared" si="41"/>
        <v>1</v>
      </c>
      <c r="I114" s="268">
        <f t="shared" si="41"/>
        <v>4</v>
      </c>
      <c r="J114" s="268">
        <f t="shared" si="41"/>
        <v>3</v>
      </c>
      <c r="K114" s="268">
        <f t="shared" si="41"/>
        <v>0</v>
      </c>
      <c r="L114" s="347">
        <v>87953.05</v>
      </c>
      <c r="M114" s="267">
        <f>SUM(M108:M113)</f>
        <v>4</v>
      </c>
      <c r="N114" s="269">
        <f>SUM(N108:N113)</f>
        <v>88</v>
      </c>
      <c r="O114" s="129">
        <v>3</v>
      </c>
      <c r="P114" s="130">
        <v>6</v>
      </c>
      <c r="Q114" s="142"/>
    </row>
    <row r="115" spans="1:22" ht="15.6" thickTop="1" thickBot="1">
      <c r="A115" s="73"/>
      <c r="B115" s="380"/>
      <c r="C115" s="124" t="s">
        <v>45</v>
      </c>
      <c r="D115" s="272">
        <f>SUM(D108:D113)</f>
        <v>88</v>
      </c>
      <c r="E115" s="272">
        <f>SUM(E108:E113)</f>
        <v>84</v>
      </c>
      <c r="F115" s="381">
        <f>SUM(F114:K114)</f>
        <v>35</v>
      </c>
      <c r="G115" s="382"/>
      <c r="H115" s="382"/>
      <c r="I115" s="382"/>
      <c r="J115" s="382"/>
      <c r="K115" s="383"/>
      <c r="L115" s="353">
        <f>L114</f>
        <v>87953.05</v>
      </c>
      <c r="M115" s="272">
        <f>SUM(M108:M113)</f>
        <v>4</v>
      </c>
      <c r="N115" s="272">
        <f>SUM(N108:N113)</f>
        <v>88</v>
      </c>
      <c r="O115" s="272">
        <f>SUM(O114)</f>
        <v>3</v>
      </c>
      <c r="P115" s="275">
        <f>SUM(P114)</f>
        <v>6</v>
      </c>
      <c r="Q115" s="125"/>
      <c r="S115" s="134"/>
      <c r="T115" s="145">
        <f>$V$3+L11+L19+L27+L35+L43+L51+L59+L67+L75+L83+L91+L99+L107+L115</f>
        <v>8458507.6399999987</v>
      </c>
    </row>
    <row r="116" spans="1:22" ht="15.6" thickTop="1" thickBot="1">
      <c r="A116" s="73" t="str">
        <f ca="1">OFFSET('0'!$B$112,($A$1-1)*10,$B116-1)</f>
        <v>--</v>
      </c>
      <c r="B116" s="380">
        <f ca="1">OFFSET('0'!$B$111,($A$1-1)*10,14)</f>
        <v>15</v>
      </c>
      <c r="C116" s="143" t="s">
        <v>53</v>
      </c>
      <c r="D116" s="338">
        <v>2</v>
      </c>
      <c r="E116" s="339">
        <v>2</v>
      </c>
      <c r="F116" s="340"/>
      <c r="G116" s="340"/>
      <c r="H116" s="340"/>
      <c r="I116" s="340"/>
      <c r="J116" s="340"/>
      <c r="K116" s="340"/>
      <c r="L116" s="341"/>
      <c r="M116" s="302">
        <f>SUM(D116-E116)</f>
        <v>0</v>
      </c>
      <c r="N116" s="305">
        <f t="shared" ref="N116:N121" si="42">SUM(E116,M116)</f>
        <v>2</v>
      </c>
      <c r="O116" s="305"/>
      <c r="P116" s="306"/>
      <c r="Q116" s="140"/>
    </row>
    <row r="117" spans="1:22" ht="15.6" thickTop="1" thickBot="1">
      <c r="A117" s="73"/>
      <c r="B117" s="380"/>
      <c r="C117" s="141" t="s">
        <v>50</v>
      </c>
      <c r="D117" s="342">
        <v>24</v>
      </c>
      <c r="E117" s="343">
        <v>23</v>
      </c>
      <c r="F117" s="344">
        <v>1</v>
      </c>
      <c r="G117" s="344"/>
      <c r="H117" s="344"/>
      <c r="I117" s="344"/>
      <c r="J117" s="344"/>
      <c r="K117" s="344"/>
      <c r="L117" s="345"/>
      <c r="M117" s="267">
        <f>SUM(D117-E117)</f>
        <v>1</v>
      </c>
      <c r="N117" s="269">
        <f t="shared" si="42"/>
        <v>24</v>
      </c>
      <c r="O117" s="269"/>
      <c r="P117" s="290"/>
      <c r="Q117" s="142"/>
    </row>
    <row r="118" spans="1:22" ht="15.6" thickTop="1" thickBot="1">
      <c r="A118" s="73"/>
      <c r="B118" s="380"/>
      <c r="C118" s="141" t="s">
        <v>46</v>
      </c>
      <c r="D118" s="342">
        <v>43</v>
      </c>
      <c r="E118" s="343">
        <v>41</v>
      </c>
      <c r="F118" s="344">
        <v>4</v>
      </c>
      <c r="G118" s="344">
        <v>18</v>
      </c>
      <c r="H118" s="344"/>
      <c r="I118" s="344">
        <v>2</v>
      </c>
      <c r="J118" s="344">
        <v>1</v>
      </c>
      <c r="K118" s="344"/>
      <c r="L118" s="345"/>
      <c r="M118" s="267">
        <f t="shared" ref="M118:M121" si="43">SUM(D118-E118)</f>
        <v>2</v>
      </c>
      <c r="N118" s="269">
        <f t="shared" si="42"/>
        <v>43</v>
      </c>
      <c r="O118" s="269"/>
      <c r="P118" s="290"/>
      <c r="Q118" s="142"/>
      <c r="S118" s="134"/>
    </row>
    <row r="119" spans="1:22" ht="15.6" thickTop="1" thickBot="1">
      <c r="A119" s="73"/>
      <c r="B119" s="380"/>
      <c r="C119" s="143" t="s">
        <v>163</v>
      </c>
      <c r="D119" s="342">
        <v>10</v>
      </c>
      <c r="E119" s="343">
        <v>10</v>
      </c>
      <c r="F119" s="344"/>
      <c r="G119" s="344">
        <v>2</v>
      </c>
      <c r="H119" s="344"/>
      <c r="I119" s="344"/>
      <c r="J119" s="344"/>
      <c r="K119" s="344"/>
      <c r="L119" s="345"/>
      <c r="M119" s="267">
        <f t="shared" si="43"/>
        <v>0</v>
      </c>
      <c r="N119" s="269">
        <f t="shared" si="42"/>
        <v>10</v>
      </c>
      <c r="O119" s="269"/>
      <c r="P119" s="290"/>
      <c r="Q119" s="142"/>
      <c r="S119" s="134"/>
    </row>
    <row r="120" spans="1:22" ht="15.6" thickTop="1" thickBot="1">
      <c r="A120" s="73"/>
      <c r="B120" s="380"/>
      <c r="C120" s="143"/>
      <c r="D120" s="266"/>
      <c r="E120" s="267"/>
      <c r="F120" s="268"/>
      <c r="G120" s="268"/>
      <c r="H120" s="268"/>
      <c r="I120" s="268"/>
      <c r="J120" s="268"/>
      <c r="K120" s="268"/>
      <c r="L120" s="346"/>
      <c r="M120" s="267">
        <f t="shared" si="43"/>
        <v>0</v>
      </c>
      <c r="N120" s="269">
        <f t="shared" si="42"/>
        <v>0</v>
      </c>
      <c r="O120" s="269"/>
      <c r="P120" s="290"/>
      <c r="Q120" s="142"/>
      <c r="S120" s="134"/>
    </row>
    <row r="121" spans="1:22" ht="15.6" thickTop="1" thickBot="1">
      <c r="A121" s="73"/>
      <c r="B121" s="380"/>
      <c r="C121" s="143"/>
      <c r="D121" s="266"/>
      <c r="E121" s="267"/>
      <c r="F121" s="268"/>
      <c r="G121" s="268"/>
      <c r="H121" s="268"/>
      <c r="I121" s="268"/>
      <c r="J121" s="268"/>
      <c r="K121" s="268"/>
      <c r="L121" s="346"/>
      <c r="M121" s="267">
        <f t="shared" si="43"/>
        <v>0</v>
      </c>
      <c r="N121" s="269">
        <f t="shared" si="42"/>
        <v>0</v>
      </c>
      <c r="O121" s="269"/>
      <c r="P121" s="290"/>
      <c r="Q121" s="142"/>
      <c r="S121" s="134"/>
    </row>
    <row r="122" spans="1:22" ht="15.6" thickTop="1" thickBot="1">
      <c r="A122" s="73"/>
      <c r="B122" s="380"/>
      <c r="C122" s="144" t="s">
        <v>69</v>
      </c>
      <c r="D122" s="266">
        <f>SUM(D116:D121)</f>
        <v>79</v>
      </c>
      <c r="E122" s="267">
        <f>SUM(E116:E121)</f>
        <v>76</v>
      </c>
      <c r="F122" s="268">
        <f>SUM(F116:F121)</f>
        <v>5</v>
      </c>
      <c r="G122" s="268">
        <f t="shared" ref="G122:K122" si="44">SUM(G116:G121)</f>
        <v>20</v>
      </c>
      <c r="H122" s="268">
        <f t="shared" si="44"/>
        <v>0</v>
      </c>
      <c r="I122" s="268">
        <f t="shared" si="44"/>
        <v>2</v>
      </c>
      <c r="J122" s="268">
        <f t="shared" si="44"/>
        <v>1</v>
      </c>
      <c r="K122" s="268">
        <f t="shared" si="44"/>
        <v>0</v>
      </c>
      <c r="L122" s="347">
        <v>186598.91</v>
      </c>
      <c r="M122" s="267">
        <f>SUM(M116:M121)</f>
        <v>3</v>
      </c>
      <c r="N122" s="269">
        <f>SUM(N116:N121)</f>
        <v>79</v>
      </c>
      <c r="O122" s="129"/>
      <c r="P122" s="130">
        <v>9</v>
      </c>
      <c r="Q122" s="142"/>
      <c r="S122" s="134"/>
    </row>
    <row r="123" spans="1:22" ht="15.6" thickTop="1" thickBot="1">
      <c r="A123" s="73"/>
      <c r="B123" s="380"/>
      <c r="C123" s="132" t="s">
        <v>45</v>
      </c>
      <c r="D123" s="281">
        <f>SUM(D116:D121)</f>
        <v>79</v>
      </c>
      <c r="E123" s="281">
        <f>SUM(E116:E121)</f>
        <v>76</v>
      </c>
      <c r="F123" s="381">
        <f>SUM(F122:K122)</f>
        <v>28</v>
      </c>
      <c r="G123" s="382"/>
      <c r="H123" s="382"/>
      <c r="I123" s="382"/>
      <c r="J123" s="382"/>
      <c r="K123" s="383"/>
      <c r="L123" s="353">
        <f>L122</f>
        <v>186598.91</v>
      </c>
      <c r="M123" s="281">
        <f>SUM(M116:M121)</f>
        <v>3</v>
      </c>
      <c r="N123" s="281">
        <f>SUM(N116:N121)</f>
        <v>79</v>
      </c>
      <c r="O123" s="272">
        <f>SUM(O122)</f>
        <v>0</v>
      </c>
      <c r="P123" s="275">
        <f>SUM(P122)</f>
        <v>9</v>
      </c>
      <c r="Q123" s="133"/>
      <c r="T123" s="145">
        <f>$V$3+L11+L19+L27+L35+L43+L51+L59+L67+L75+L83+L91+L99+L107+L115+L123</f>
        <v>8645106.5499999989</v>
      </c>
      <c r="U123" s="134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43" t="s">
        <v>163</v>
      </c>
      <c r="D124" s="338">
        <v>2</v>
      </c>
      <c r="E124" s="339">
        <v>2</v>
      </c>
      <c r="F124" s="340"/>
      <c r="G124" s="340"/>
      <c r="H124" s="340"/>
      <c r="I124" s="340"/>
      <c r="J124" s="340"/>
      <c r="K124" s="340"/>
      <c r="L124" s="341"/>
      <c r="M124" s="302">
        <f>SUM(D124-E124)</f>
        <v>0</v>
      </c>
      <c r="N124" s="305">
        <f t="shared" ref="N124:N129" si="45">SUM(E124,M124)</f>
        <v>2</v>
      </c>
      <c r="O124" s="305"/>
      <c r="P124" s="306"/>
      <c r="Q124" s="140"/>
      <c r="V124" s="134"/>
    </row>
    <row r="125" spans="1:22" ht="15.6" thickTop="1" thickBot="1">
      <c r="A125" s="73"/>
      <c r="B125" s="380"/>
      <c r="C125" s="141" t="s">
        <v>158</v>
      </c>
      <c r="D125" s="342">
        <v>25</v>
      </c>
      <c r="E125" s="343">
        <v>23</v>
      </c>
      <c r="F125" s="344">
        <v>4</v>
      </c>
      <c r="G125" s="344">
        <v>8</v>
      </c>
      <c r="H125" s="344"/>
      <c r="I125" s="344">
        <v>2</v>
      </c>
      <c r="J125" s="344"/>
      <c r="K125" s="344"/>
      <c r="L125" s="345"/>
      <c r="M125" s="267">
        <f>SUM(D125-E125)</f>
        <v>2</v>
      </c>
      <c r="N125" s="269">
        <f t="shared" si="45"/>
        <v>25</v>
      </c>
      <c r="O125" s="269"/>
      <c r="P125" s="290"/>
      <c r="Q125" s="142"/>
    </row>
    <row r="126" spans="1:22" ht="15.6" thickTop="1" thickBot="1">
      <c r="A126" s="73"/>
      <c r="B126" s="380"/>
      <c r="C126" s="141" t="s">
        <v>46</v>
      </c>
      <c r="D126" s="342">
        <v>33</v>
      </c>
      <c r="E126" s="343">
        <v>31</v>
      </c>
      <c r="F126" s="344">
        <v>6</v>
      </c>
      <c r="G126" s="344">
        <v>17</v>
      </c>
      <c r="H126" s="344"/>
      <c r="I126" s="344">
        <v>1</v>
      </c>
      <c r="J126" s="344"/>
      <c r="K126" s="344"/>
      <c r="L126" s="345"/>
      <c r="M126" s="267">
        <f t="shared" ref="M126:M129" si="46">SUM(D126-E126)</f>
        <v>2</v>
      </c>
      <c r="N126" s="269">
        <f t="shared" si="45"/>
        <v>33</v>
      </c>
      <c r="O126" s="269"/>
      <c r="P126" s="290"/>
      <c r="Q126" s="142"/>
    </row>
    <row r="127" spans="1:22" ht="15.6" thickTop="1" thickBot="1">
      <c r="A127" s="73"/>
      <c r="B127" s="380"/>
      <c r="C127" s="143" t="s">
        <v>59</v>
      </c>
      <c r="D127" s="342">
        <v>10</v>
      </c>
      <c r="E127" s="343">
        <v>8</v>
      </c>
      <c r="F127" s="344">
        <v>1</v>
      </c>
      <c r="G127" s="344"/>
      <c r="H127" s="344"/>
      <c r="I127" s="344">
        <v>1</v>
      </c>
      <c r="J127" s="344"/>
      <c r="K127" s="344"/>
      <c r="L127" s="345"/>
      <c r="M127" s="267">
        <f t="shared" si="46"/>
        <v>2</v>
      </c>
      <c r="N127" s="269">
        <f t="shared" si="45"/>
        <v>10</v>
      </c>
      <c r="O127" s="269"/>
      <c r="P127" s="290"/>
      <c r="Q127" s="142"/>
    </row>
    <row r="128" spans="1:22" ht="15.6" thickTop="1" thickBot="1">
      <c r="A128" s="73"/>
      <c r="B128" s="380"/>
      <c r="C128" s="143"/>
      <c r="D128" s="342"/>
      <c r="E128" s="343"/>
      <c r="F128" s="344"/>
      <c r="G128" s="344"/>
      <c r="H128" s="344"/>
      <c r="I128" s="344"/>
      <c r="J128" s="344"/>
      <c r="K128" s="344"/>
      <c r="L128" s="346"/>
      <c r="M128" s="267">
        <f t="shared" si="46"/>
        <v>0</v>
      </c>
      <c r="N128" s="279">
        <f t="shared" si="45"/>
        <v>0</v>
      </c>
      <c r="O128" s="279"/>
      <c r="P128" s="294"/>
      <c r="Q128" s="142"/>
    </row>
    <row r="129" spans="1:20" ht="15.6" thickTop="1" thickBot="1">
      <c r="A129" s="73"/>
      <c r="B129" s="380"/>
      <c r="C129" s="143"/>
      <c r="D129" s="266"/>
      <c r="E129" s="267"/>
      <c r="F129" s="268"/>
      <c r="G129" s="268"/>
      <c r="H129" s="268"/>
      <c r="I129" s="268"/>
      <c r="J129" s="268"/>
      <c r="K129" s="268"/>
      <c r="L129" s="346"/>
      <c r="M129" s="267">
        <f t="shared" si="46"/>
        <v>0</v>
      </c>
      <c r="N129" s="269">
        <f t="shared" si="45"/>
        <v>0</v>
      </c>
      <c r="O129" s="269"/>
      <c r="P129" s="290"/>
      <c r="Q129" s="142"/>
    </row>
    <row r="130" spans="1:20" ht="15.6" thickTop="1" thickBot="1">
      <c r="A130" s="73"/>
      <c r="B130" s="380"/>
      <c r="C130" s="144" t="s">
        <v>69</v>
      </c>
      <c r="D130" s="266">
        <f>SUM(D124:D129)</f>
        <v>70</v>
      </c>
      <c r="E130" s="267">
        <f>SUM(E124:E129)</f>
        <v>64</v>
      </c>
      <c r="F130" s="268">
        <f>SUM(F124:F129)</f>
        <v>11</v>
      </c>
      <c r="G130" s="268">
        <f t="shared" ref="G130:K130" si="47">SUM(G124:G129)</f>
        <v>25</v>
      </c>
      <c r="H130" s="268">
        <f t="shared" si="47"/>
        <v>0</v>
      </c>
      <c r="I130" s="268">
        <f t="shared" si="47"/>
        <v>4</v>
      </c>
      <c r="J130" s="268">
        <f t="shared" si="47"/>
        <v>0</v>
      </c>
      <c r="K130" s="268">
        <f t="shared" si="47"/>
        <v>0</v>
      </c>
      <c r="L130" s="347">
        <v>103853.24</v>
      </c>
      <c r="M130" s="267">
        <f>SUM(M124:M129)</f>
        <v>6</v>
      </c>
      <c r="N130" s="269">
        <f>SUM(N124:N129)</f>
        <v>70</v>
      </c>
      <c r="O130" s="129"/>
      <c r="P130" s="130"/>
      <c r="Q130" s="142"/>
      <c r="S130" s="135"/>
    </row>
    <row r="131" spans="1:20" ht="15.6" thickTop="1" thickBot="1">
      <c r="A131" s="73"/>
      <c r="B131" s="380"/>
      <c r="C131" s="124" t="s">
        <v>45</v>
      </c>
      <c r="D131" s="272">
        <f>SUM(D124:D129)</f>
        <v>70</v>
      </c>
      <c r="E131" s="272">
        <f>SUM(E124:E129)</f>
        <v>64</v>
      </c>
      <c r="F131" s="381">
        <f>SUM(F130:K130)</f>
        <v>40</v>
      </c>
      <c r="G131" s="382"/>
      <c r="H131" s="382"/>
      <c r="I131" s="382"/>
      <c r="J131" s="382"/>
      <c r="K131" s="383"/>
      <c r="L131" s="348">
        <f>L130</f>
        <v>103853.24</v>
      </c>
      <c r="M131" s="272">
        <f>SUM(M124:M129)</f>
        <v>6</v>
      </c>
      <c r="N131" s="272">
        <f>SUM(N124:N129)</f>
        <v>70</v>
      </c>
      <c r="O131" s="272">
        <f>SUM(O130)</f>
        <v>0</v>
      </c>
      <c r="P131" s="275">
        <f>SUM(P130)</f>
        <v>0</v>
      </c>
      <c r="Q131" s="125"/>
      <c r="S131" s="134"/>
      <c r="T131" s="145">
        <f>$V$3+L11+L19+L27+L35+L43+L51+L59+L67+L75+L83+L91+L99+L107+L115+L123+L131</f>
        <v>8748959.7899999991</v>
      </c>
    </row>
    <row r="132" spans="1:20" ht="15.6" thickTop="1" thickBot="1">
      <c r="A132" s="73" t="str">
        <f ca="1">OFFSET('0'!$B$112,($A$1-1)*10,$B132-1)</f>
        <v>SS</v>
      </c>
      <c r="B132" s="380">
        <f ca="1">OFFSET('0'!$B$111,($A$1-1)*10,16)</f>
        <v>17</v>
      </c>
      <c r="C132" s="143" t="s">
        <v>59</v>
      </c>
      <c r="D132" s="338">
        <v>1</v>
      </c>
      <c r="E132" s="339">
        <v>1</v>
      </c>
      <c r="F132" s="340"/>
      <c r="G132" s="340"/>
      <c r="H132" s="340"/>
      <c r="I132" s="340"/>
      <c r="J132" s="340"/>
      <c r="K132" s="340"/>
      <c r="L132" s="341"/>
      <c r="M132" s="302">
        <f>SUM(D132-E132)</f>
        <v>0</v>
      </c>
      <c r="N132" s="305">
        <f t="shared" ref="N132:N137" si="48">SUM(E132,M132)</f>
        <v>1</v>
      </c>
      <c r="O132" s="305"/>
      <c r="P132" s="306"/>
      <c r="Q132" s="140"/>
    </row>
    <row r="133" spans="1:20" ht="15.6" thickTop="1" thickBot="1">
      <c r="A133" s="73"/>
      <c r="B133" s="380"/>
      <c r="C133" s="141" t="s">
        <v>158</v>
      </c>
      <c r="D133" s="342">
        <v>8</v>
      </c>
      <c r="E133" s="343">
        <v>8</v>
      </c>
      <c r="F133" s="344">
        <v>2</v>
      </c>
      <c r="G133" s="344">
        <v>2</v>
      </c>
      <c r="H133" s="344"/>
      <c r="I133" s="344">
        <v>2</v>
      </c>
      <c r="J133" s="344">
        <v>1</v>
      </c>
      <c r="K133" s="344"/>
      <c r="L133" s="345"/>
      <c r="M133" s="267">
        <f>SUM(D133-E133)</f>
        <v>0</v>
      </c>
      <c r="N133" s="269">
        <f t="shared" si="48"/>
        <v>8</v>
      </c>
      <c r="O133" s="269"/>
      <c r="P133" s="294"/>
      <c r="Q133" s="147"/>
    </row>
    <row r="134" spans="1:20" ht="15.6" thickTop="1" thickBot="1">
      <c r="A134" s="73"/>
      <c r="B134" s="380"/>
      <c r="C134" s="141" t="s">
        <v>55</v>
      </c>
      <c r="D134" s="342">
        <v>10</v>
      </c>
      <c r="E134" s="343">
        <v>9</v>
      </c>
      <c r="F134" s="344">
        <v>4</v>
      </c>
      <c r="G134" s="344">
        <v>10</v>
      </c>
      <c r="H134" s="344"/>
      <c r="I134" s="344"/>
      <c r="J134" s="344">
        <v>1</v>
      </c>
      <c r="K134" s="344"/>
      <c r="L134" s="345"/>
      <c r="M134" s="267">
        <f t="shared" ref="M134:M137" si="49">SUM(D134-E134)</f>
        <v>1</v>
      </c>
      <c r="N134" s="269">
        <f t="shared" si="48"/>
        <v>10</v>
      </c>
      <c r="O134" s="269"/>
      <c r="P134" s="290"/>
      <c r="Q134" s="142"/>
    </row>
    <row r="135" spans="1:20" ht="15.6" thickTop="1" thickBot="1">
      <c r="A135" s="73"/>
      <c r="B135" s="380"/>
      <c r="C135" s="143" t="s">
        <v>54</v>
      </c>
      <c r="D135" s="342">
        <v>9</v>
      </c>
      <c r="E135" s="343">
        <v>8</v>
      </c>
      <c r="F135" s="344">
        <v>4</v>
      </c>
      <c r="G135" s="344">
        <v>1</v>
      </c>
      <c r="H135" s="344"/>
      <c r="I135" s="344">
        <v>1</v>
      </c>
      <c r="J135" s="344"/>
      <c r="K135" s="344"/>
      <c r="L135" s="345"/>
      <c r="M135" s="267">
        <f t="shared" si="49"/>
        <v>1</v>
      </c>
      <c r="N135" s="269">
        <f t="shared" si="48"/>
        <v>9</v>
      </c>
      <c r="O135" s="269"/>
      <c r="P135" s="290"/>
      <c r="Q135" s="142"/>
    </row>
    <row r="136" spans="1:20" ht="15.6" thickTop="1" thickBot="1">
      <c r="A136" s="73"/>
      <c r="B136" s="380"/>
      <c r="C136" s="143"/>
      <c r="D136" s="342"/>
      <c r="E136" s="343"/>
      <c r="F136" s="344"/>
      <c r="G136" s="344"/>
      <c r="H136" s="344"/>
      <c r="I136" s="344"/>
      <c r="J136" s="344"/>
      <c r="K136" s="344"/>
      <c r="L136" s="346"/>
      <c r="M136" s="267">
        <f t="shared" si="49"/>
        <v>0</v>
      </c>
      <c r="N136" s="269">
        <f t="shared" si="48"/>
        <v>0</v>
      </c>
      <c r="O136" s="269"/>
      <c r="P136" s="290"/>
      <c r="Q136" s="142"/>
    </row>
    <row r="137" spans="1:20" ht="15.6" thickTop="1" thickBot="1">
      <c r="A137" s="73"/>
      <c r="B137" s="380"/>
      <c r="C137" s="143"/>
      <c r="D137" s="342"/>
      <c r="E137" s="343"/>
      <c r="F137" s="344"/>
      <c r="G137" s="344"/>
      <c r="H137" s="344"/>
      <c r="I137" s="344"/>
      <c r="J137" s="344"/>
      <c r="K137" s="349"/>
      <c r="L137" s="346"/>
      <c r="M137" s="267">
        <f t="shared" si="49"/>
        <v>0</v>
      </c>
      <c r="N137" s="280">
        <f t="shared" si="48"/>
        <v>0</v>
      </c>
      <c r="O137" s="280"/>
      <c r="P137" s="293"/>
      <c r="Q137" s="148"/>
    </row>
    <row r="138" spans="1:20" ht="15.6" thickTop="1" thickBot="1">
      <c r="A138" s="73"/>
      <c r="B138" s="380"/>
      <c r="C138" s="144" t="s">
        <v>69</v>
      </c>
      <c r="D138" s="266">
        <f>SUM(D132:D137)</f>
        <v>28</v>
      </c>
      <c r="E138" s="267">
        <f>SUM(E132:E137)</f>
        <v>26</v>
      </c>
      <c r="F138" s="268">
        <f>SUM(F132:F137)</f>
        <v>10</v>
      </c>
      <c r="G138" s="268">
        <f t="shared" ref="G138:K138" si="50">SUM(G132:G137)</f>
        <v>13</v>
      </c>
      <c r="H138" s="268">
        <f t="shared" si="50"/>
        <v>0</v>
      </c>
      <c r="I138" s="268">
        <f t="shared" si="50"/>
        <v>3</v>
      </c>
      <c r="J138" s="268">
        <f t="shared" si="50"/>
        <v>2</v>
      </c>
      <c r="K138" s="268">
        <f t="shared" si="50"/>
        <v>0</v>
      </c>
      <c r="L138" s="347">
        <v>23915.52</v>
      </c>
      <c r="M138" s="267">
        <f>SUM(M132:M137)</f>
        <v>2</v>
      </c>
      <c r="N138" s="280">
        <f>SUM(N132:N137)</f>
        <v>28</v>
      </c>
      <c r="O138" s="149">
        <v>1</v>
      </c>
      <c r="P138" s="150">
        <v>2</v>
      </c>
      <c r="Q138" s="148"/>
    </row>
    <row r="139" spans="1:20" ht="15.6" thickTop="1" thickBot="1">
      <c r="A139" s="73"/>
      <c r="B139" s="380"/>
      <c r="C139" s="124" t="s">
        <v>45</v>
      </c>
      <c r="D139" s="272">
        <f>SUM(D132:D137)</f>
        <v>28</v>
      </c>
      <c r="E139" s="272">
        <f>SUM(E132:E137)</f>
        <v>26</v>
      </c>
      <c r="F139" s="381">
        <f>SUM(F138:K138)</f>
        <v>28</v>
      </c>
      <c r="G139" s="382"/>
      <c r="H139" s="382"/>
      <c r="I139" s="382"/>
      <c r="J139" s="382"/>
      <c r="K139" s="383"/>
      <c r="L139" s="348">
        <f>L138</f>
        <v>23915.52</v>
      </c>
      <c r="M139" s="272">
        <f>SUM(M132:M137)</f>
        <v>2</v>
      </c>
      <c r="N139" s="272">
        <f>SUM(N132:N137)</f>
        <v>28</v>
      </c>
      <c r="O139" s="272">
        <f>SUM(O138)</f>
        <v>1</v>
      </c>
      <c r="P139" s="275">
        <f>SUM(P138)</f>
        <v>2</v>
      </c>
      <c r="Q139" s="125"/>
      <c r="T139" s="145">
        <f>$V$3+L11+L19+L27+L35+L43+L51+L59+L67+L75+L83+L91+L99+L107+L115+L123+L131+L139</f>
        <v>8772875.3099999987</v>
      </c>
    </row>
    <row r="140" spans="1:20" ht="15.6" thickTop="1" thickBot="1">
      <c r="A140" s="73" t="str">
        <f ca="1">OFFSET('0'!$B$112,($A$1-1)*10,$B140-1)</f>
        <v>SK</v>
      </c>
      <c r="B140" s="380">
        <f ca="1">OFFSET('0'!$B$111,($A$1-1)*10,17)</f>
        <v>18</v>
      </c>
      <c r="C140" s="143" t="s">
        <v>54</v>
      </c>
      <c r="D140" s="338">
        <v>1</v>
      </c>
      <c r="E140" s="339">
        <v>1</v>
      </c>
      <c r="F140" s="340">
        <v>1</v>
      </c>
      <c r="G140" s="340"/>
      <c r="H140" s="340"/>
      <c r="I140" s="340"/>
      <c r="J140" s="340"/>
      <c r="K140" s="340"/>
      <c r="L140" s="341"/>
      <c r="M140" s="302">
        <f>SUM(D140-E140)</f>
        <v>0</v>
      </c>
      <c r="N140" s="305">
        <f t="shared" ref="N140:N145" si="51">SUM(E140,M140)</f>
        <v>1</v>
      </c>
      <c r="O140" s="305"/>
      <c r="P140" s="306"/>
      <c r="Q140" s="140"/>
    </row>
    <row r="141" spans="1:20" ht="15.6" thickTop="1" thickBot="1">
      <c r="A141" s="73"/>
      <c r="B141" s="380"/>
      <c r="C141" s="141" t="s">
        <v>48</v>
      </c>
      <c r="D141" s="342">
        <v>14</v>
      </c>
      <c r="E141" s="343">
        <v>13</v>
      </c>
      <c r="F141" s="344">
        <v>4</v>
      </c>
      <c r="G141" s="344"/>
      <c r="H141" s="344"/>
      <c r="I141" s="344"/>
      <c r="J141" s="344"/>
      <c r="K141" s="344"/>
      <c r="L141" s="345"/>
      <c r="M141" s="267">
        <f>SUM(D141-E141)</f>
        <v>1</v>
      </c>
      <c r="N141" s="269">
        <f t="shared" si="51"/>
        <v>14</v>
      </c>
      <c r="O141" s="269"/>
      <c r="P141" s="294"/>
      <c r="Q141" s="147"/>
    </row>
    <row r="142" spans="1:20" ht="15.6" thickTop="1" thickBot="1">
      <c r="A142" s="73"/>
      <c r="B142" s="380"/>
      <c r="C142" s="141" t="s">
        <v>160</v>
      </c>
      <c r="D142" s="342">
        <v>11</v>
      </c>
      <c r="E142" s="343">
        <v>11</v>
      </c>
      <c r="F142" s="344">
        <v>3</v>
      </c>
      <c r="G142" s="344"/>
      <c r="H142" s="344"/>
      <c r="I142" s="344">
        <v>2</v>
      </c>
      <c r="J142" s="344">
        <v>2</v>
      </c>
      <c r="K142" s="344"/>
      <c r="L142" s="345"/>
      <c r="M142" s="267">
        <f t="shared" ref="M142:M145" si="52">SUM(D142-E142)</f>
        <v>0</v>
      </c>
      <c r="N142" s="269">
        <f t="shared" si="51"/>
        <v>11</v>
      </c>
      <c r="O142" s="269"/>
      <c r="P142" s="294"/>
      <c r="Q142" s="147"/>
    </row>
    <row r="143" spans="1:20" ht="15.6" thickTop="1" thickBot="1">
      <c r="A143" s="73"/>
      <c r="B143" s="380"/>
      <c r="C143" s="143" t="s">
        <v>64</v>
      </c>
      <c r="D143" s="342">
        <v>8</v>
      </c>
      <c r="E143" s="343">
        <v>8</v>
      </c>
      <c r="F143" s="344">
        <v>2</v>
      </c>
      <c r="G143" s="344"/>
      <c r="H143" s="344"/>
      <c r="I143" s="344"/>
      <c r="J143" s="344">
        <v>2</v>
      </c>
      <c r="K143" s="344"/>
      <c r="L143" s="345"/>
      <c r="M143" s="267">
        <f t="shared" si="52"/>
        <v>0</v>
      </c>
      <c r="N143" s="269">
        <f t="shared" si="51"/>
        <v>8</v>
      </c>
      <c r="O143" s="269"/>
      <c r="P143" s="290"/>
      <c r="Q143" s="142"/>
    </row>
    <row r="144" spans="1:20" s="120" customFormat="1" ht="15.6" thickTop="1" thickBot="1">
      <c r="A144" s="74"/>
      <c r="B144" s="380"/>
      <c r="C144" s="143"/>
      <c r="D144" s="342"/>
      <c r="E144" s="343"/>
      <c r="F144" s="344"/>
      <c r="G144" s="344"/>
      <c r="H144" s="344"/>
      <c r="I144" s="344"/>
      <c r="J144" s="344"/>
      <c r="K144" s="344"/>
      <c r="L144" s="346"/>
      <c r="M144" s="267">
        <f t="shared" si="52"/>
        <v>0</v>
      </c>
      <c r="N144" s="269">
        <f t="shared" si="51"/>
        <v>0</v>
      </c>
      <c r="O144" s="269"/>
      <c r="P144" s="290"/>
      <c r="Q144" s="142"/>
    </row>
    <row r="145" spans="1:20" s="120" customFormat="1" ht="15.6" thickTop="1" thickBot="1">
      <c r="A145" s="74"/>
      <c r="B145" s="380"/>
      <c r="C145" s="143"/>
      <c r="D145" s="266"/>
      <c r="E145" s="267"/>
      <c r="F145" s="268"/>
      <c r="G145" s="268"/>
      <c r="H145" s="268"/>
      <c r="I145" s="268"/>
      <c r="J145" s="268"/>
      <c r="K145" s="268"/>
      <c r="L145" s="346"/>
      <c r="M145" s="267">
        <f t="shared" si="52"/>
        <v>0</v>
      </c>
      <c r="N145" s="269">
        <f t="shared" si="51"/>
        <v>0</v>
      </c>
      <c r="O145" s="269"/>
      <c r="P145" s="290"/>
      <c r="Q145" s="142"/>
    </row>
    <row r="146" spans="1:20" ht="15.6" thickTop="1" thickBot="1">
      <c r="A146" s="73"/>
      <c r="B146" s="380"/>
      <c r="C146" s="144" t="s">
        <v>69</v>
      </c>
      <c r="D146" s="266">
        <f>SUM(D140:D145)</f>
        <v>34</v>
      </c>
      <c r="E146" s="267">
        <f>SUM(E140:E145)</f>
        <v>33</v>
      </c>
      <c r="F146" s="268">
        <f>SUM(F140:F145)</f>
        <v>10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2</v>
      </c>
      <c r="J146" s="268">
        <f t="shared" si="53"/>
        <v>4</v>
      </c>
      <c r="K146" s="268">
        <f t="shared" si="53"/>
        <v>0</v>
      </c>
      <c r="L146" s="347">
        <v>42553.04</v>
      </c>
      <c r="M146" s="267">
        <f>SUM(M140:M145)</f>
        <v>1</v>
      </c>
      <c r="N146" s="269">
        <f>SUM(N140:N145)</f>
        <v>34</v>
      </c>
      <c r="O146" s="129"/>
      <c r="P146" s="130"/>
      <c r="Q146" s="142"/>
    </row>
    <row r="147" spans="1:20" ht="15.6" thickTop="1" thickBot="1">
      <c r="A147" s="73"/>
      <c r="B147" s="380"/>
      <c r="C147" s="124" t="s">
        <v>45</v>
      </c>
      <c r="D147" s="272">
        <f>SUM(D140:D145)</f>
        <v>34</v>
      </c>
      <c r="E147" s="272">
        <f>SUM(E140:E145)</f>
        <v>33</v>
      </c>
      <c r="F147" s="381">
        <f>SUM(F146:K146)</f>
        <v>16</v>
      </c>
      <c r="G147" s="382"/>
      <c r="H147" s="382"/>
      <c r="I147" s="382"/>
      <c r="J147" s="382"/>
      <c r="K147" s="383"/>
      <c r="L147" s="348">
        <f>L146</f>
        <v>42553.04</v>
      </c>
      <c r="M147" s="272">
        <f>SUM(M140:M145)</f>
        <v>1</v>
      </c>
      <c r="N147" s="272">
        <f>SUM(N140:N145)</f>
        <v>34</v>
      </c>
      <c r="O147" s="272">
        <f>SUM(O146)</f>
        <v>0</v>
      </c>
      <c r="P147" s="275">
        <f>SUM(P146)</f>
        <v>0</v>
      </c>
      <c r="Q147" s="125"/>
      <c r="T147" s="145">
        <f>$V$3+L11+L19+L27+L35+L43+L51+L59+L67+L75+L83+L91+L99+L107+L115+L123+L131+L139+L147</f>
        <v>8815428.3499999978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43" t="s">
        <v>64</v>
      </c>
      <c r="D148" s="338">
        <v>2</v>
      </c>
      <c r="E148" s="339">
        <v>2</v>
      </c>
      <c r="F148" s="340">
        <v>1</v>
      </c>
      <c r="G148" s="340"/>
      <c r="H148" s="340"/>
      <c r="I148" s="340"/>
      <c r="J148" s="340"/>
      <c r="K148" s="340"/>
      <c r="L148" s="341"/>
      <c r="M148" s="302">
        <f>SUM(D148-E148)</f>
        <v>0</v>
      </c>
      <c r="N148" s="305">
        <f t="shared" ref="N148:N153" si="54">SUM(E148,M148)</f>
        <v>2</v>
      </c>
      <c r="O148" s="305"/>
      <c r="P148" s="296"/>
      <c r="Q148" s="140"/>
    </row>
    <row r="149" spans="1:20" s="120" customFormat="1" ht="15.6" thickTop="1" thickBot="1">
      <c r="A149" s="74"/>
      <c r="B149" s="380"/>
      <c r="C149" s="141" t="s">
        <v>48</v>
      </c>
      <c r="D149" s="342">
        <v>41</v>
      </c>
      <c r="E149" s="343">
        <v>39</v>
      </c>
      <c r="F149" s="344">
        <v>3</v>
      </c>
      <c r="G149" s="344">
        <v>12</v>
      </c>
      <c r="H149" s="344"/>
      <c r="I149" s="344">
        <v>2</v>
      </c>
      <c r="J149" s="344"/>
      <c r="K149" s="344"/>
      <c r="L149" s="345"/>
      <c r="M149" s="267">
        <f>SUM(D149-E149)</f>
        <v>2</v>
      </c>
      <c r="N149" s="269">
        <f t="shared" si="54"/>
        <v>41</v>
      </c>
      <c r="O149" s="269"/>
      <c r="P149" s="296"/>
      <c r="Q149" s="147"/>
    </row>
    <row r="150" spans="1:20" ht="15.6" thickTop="1" thickBot="1">
      <c r="A150" s="73"/>
      <c r="B150" s="380"/>
      <c r="C150" s="141" t="s">
        <v>160</v>
      </c>
      <c r="D150" s="342">
        <v>44</v>
      </c>
      <c r="E150" s="343">
        <v>42</v>
      </c>
      <c r="F150" s="344">
        <v>9</v>
      </c>
      <c r="G150" s="344">
        <v>13</v>
      </c>
      <c r="H150" s="344"/>
      <c r="I150" s="344">
        <v>1</v>
      </c>
      <c r="J150" s="344">
        <v>2</v>
      </c>
      <c r="K150" s="344"/>
      <c r="L150" s="345"/>
      <c r="M150" s="267">
        <f t="shared" ref="M150:M153" si="55">SUM(D150-E150)</f>
        <v>2</v>
      </c>
      <c r="N150" s="269">
        <f t="shared" si="54"/>
        <v>44</v>
      </c>
      <c r="O150" s="269"/>
      <c r="P150" s="294"/>
      <c r="Q150" s="147"/>
    </row>
    <row r="151" spans="1:20" ht="15.6" thickTop="1" thickBot="1">
      <c r="A151" s="73"/>
      <c r="B151" s="380"/>
      <c r="C151" s="143" t="s">
        <v>163</v>
      </c>
      <c r="D151" s="342">
        <v>18</v>
      </c>
      <c r="E151" s="343">
        <v>18</v>
      </c>
      <c r="F151" s="344">
        <v>4</v>
      </c>
      <c r="G151" s="344">
        <v>1</v>
      </c>
      <c r="H151" s="344"/>
      <c r="I151" s="344">
        <v>1</v>
      </c>
      <c r="J151" s="344">
        <v>3</v>
      </c>
      <c r="K151" s="344"/>
      <c r="L151" s="345"/>
      <c r="M151" s="267">
        <f t="shared" si="55"/>
        <v>0</v>
      </c>
      <c r="N151" s="269">
        <f t="shared" si="54"/>
        <v>18</v>
      </c>
      <c r="O151" s="269"/>
      <c r="P151" s="290"/>
      <c r="Q151" s="142"/>
    </row>
    <row r="152" spans="1:20" ht="15.6" thickTop="1" thickBot="1">
      <c r="A152" s="73"/>
      <c r="B152" s="380"/>
      <c r="C152" s="143"/>
      <c r="D152" s="342"/>
      <c r="E152" s="343"/>
      <c r="F152" s="344"/>
      <c r="G152" s="344"/>
      <c r="H152" s="344"/>
      <c r="I152" s="344"/>
      <c r="J152" s="344"/>
      <c r="K152" s="344"/>
      <c r="L152" s="346"/>
      <c r="M152" s="267">
        <f t="shared" si="55"/>
        <v>0</v>
      </c>
      <c r="N152" s="269">
        <f t="shared" si="54"/>
        <v>0</v>
      </c>
      <c r="O152" s="269"/>
      <c r="P152" s="290"/>
      <c r="Q152" s="142"/>
    </row>
    <row r="153" spans="1:20" ht="15.6" thickTop="1" thickBot="1">
      <c r="A153" s="73"/>
      <c r="B153" s="380"/>
      <c r="C153" s="143"/>
      <c r="D153" s="266"/>
      <c r="E153" s="267"/>
      <c r="F153" s="268"/>
      <c r="G153" s="268"/>
      <c r="H153" s="268"/>
      <c r="I153" s="268"/>
      <c r="J153" s="268"/>
      <c r="K153" s="268"/>
      <c r="L153" s="346"/>
      <c r="M153" s="267">
        <f t="shared" si="55"/>
        <v>0</v>
      </c>
      <c r="N153" s="269">
        <f t="shared" si="54"/>
        <v>0</v>
      </c>
      <c r="O153" s="269"/>
      <c r="P153" s="290"/>
      <c r="Q153" s="142"/>
    </row>
    <row r="154" spans="1:20" ht="15.6" thickTop="1" thickBot="1">
      <c r="A154" s="73"/>
      <c r="B154" s="380"/>
      <c r="C154" s="144" t="s">
        <v>69</v>
      </c>
      <c r="D154" s="266">
        <f>SUM(D148:D153)</f>
        <v>105</v>
      </c>
      <c r="E154" s="267">
        <f>SUM(E148:E153)</f>
        <v>101</v>
      </c>
      <c r="F154" s="268">
        <f>SUM(F148:F153)</f>
        <v>17</v>
      </c>
      <c r="G154" s="268">
        <f t="shared" ref="G154:K154" si="56">SUM(G148:G153)</f>
        <v>26</v>
      </c>
      <c r="H154" s="268">
        <f t="shared" si="56"/>
        <v>0</v>
      </c>
      <c r="I154" s="268">
        <f t="shared" si="56"/>
        <v>4</v>
      </c>
      <c r="J154" s="268">
        <f t="shared" si="56"/>
        <v>5</v>
      </c>
      <c r="K154" s="268">
        <f t="shared" si="56"/>
        <v>0</v>
      </c>
      <c r="L154" s="347">
        <v>105515.48</v>
      </c>
      <c r="M154" s="267">
        <f>SUM(M148:M153)</f>
        <v>4</v>
      </c>
      <c r="N154" s="269">
        <f>SUM(N148:N153)</f>
        <v>105</v>
      </c>
      <c r="O154" s="129"/>
      <c r="P154" s="130">
        <v>10</v>
      </c>
      <c r="Q154" s="142"/>
    </row>
    <row r="155" spans="1:20" ht="15.6" thickTop="1" thickBot="1">
      <c r="A155" s="73"/>
      <c r="B155" s="380"/>
      <c r="C155" s="124" t="s">
        <v>45</v>
      </c>
      <c r="D155" s="272">
        <f>SUM(D148:D153)</f>
        <v>105</v>
      </c>
      <c r="E155" s="272">
        <f>SUM(E148:E153)</f>
        <v>101</v>
      </c>
      <c r="F155" s="381">
        <f>SUM(F154:K154)</f>
        <v>52</v>
      </c>
      <c r="G155" s="382"/>
      <c r="H155" s="382"/>
      <c r="I155" s="382"/>
      <c r="J155" s="382"/>
      <c r="K155" s="383"/>
      <c r="L155" s="348">
        <f>L154</f>
        <v>105515.48</v>
      </c>
      <c r="M155" s="272">
        <f>SUM(M148:M153)</f>
        <v>4</v>
      </c>
      <c r="N155" s="272">
        <f>SUM(N148:N153)</f>
        <v>105</v>
      </c>
      <c r="O155" s="272">
        <f>SUM(O154)</f>
        <v>0</v>
      </c>
      <c r="P155" s="275">
        <f>SUM(P154)</f>
        <v>10</v>
      </c>
      <c r="Q155" s="125"/>
      <c r="T155" s="145">
        <f>$V$3+L11+L19+L27+L35+L43+L51+L59+L67+L75+L83+L91+L99+L107+L115+L123+L131+L139+L147+L155</f>
        <v>8920943.8299999982</v>
      </c>
    </row>
    <row r="156" spans="1:20" ht="15.6" thickTop="1" thickBot="1">
      <c r="A156" s="73" t="str">
        <f ca="1">OFFSET('0'!$B$112,($A$1-1)*10,$B156-1)</f>
        <v>--</v>
      </c>
      <c r="B156" s="380">
        <f ca="1">OFFSET('0'!$B$111,($A$1-1)*10,19)</f>
        <v>20</v>
      </c>
      <c r="C156" s="143" t="s">
        <v>163</v>
      </c>
      <c r="D156" s="338">
        <v>3</v>
      </c>
      <c r="E156" s="339">
        <v>3</v>
      </c>
      <c r="F156" s="340">
        <v>1</v>
      </c>
      <c r="G156" s="340"/>
      <c r="H156" s="340"/>
      <c r="I156" s="340"/>
      <c r="J156" s="340">
        <v>1</v>
      </c>
      <c r="K156" s="340"/>
      <c r="L156" s="341"/>
      <c r="M156" s="302">
        <f>SUM(D156-E156)</f>
        <v>0</v>
      </c>
      <c r="N156" s="305">
        <f t="shared" ref="N156:N161" si="57">SUM(E156,M156)</f>
        <v>3</v>
      </c>
      <c r="O156" s="305"/>
      <c r="P156" s="296"/>
      <c r="Q156" s="140"/>
    </row>
    <row r="157" spans="1:20" ht="15.6" thickTop="1" thickBot="1">
      <c r="A157" s="73"/>
      <c r="B157" s="380"/>
      <c r="C157" s="141" t="s">
        <v>56</v>
      </c>
      <c r="D157" s="342">
        <v>33</v>
      </c>
      <c r="E157" s="343">
        <v>32</v>
      </c>
      <c r="F157" s="344">
        <v>3</v>
      </c>
      <c r="G157" s="344">
        <v>9</v>
      </c>
      <c r="H157" s="344"/>
      <c r="I157" s="344">
        <v>1</v>
      </c>
      <c r="J157" s="344">
        <v>1</v>
      </c>
      <c r="K157" s="344"/>
      <c r="L157" s="345"/>
      <c r="M157" s="267">
        <f>SUM(D157-E157)</f>
        <v>1</v>
      </c>
      <c r="N157" s="269">
        <f t="shared" si="57"/>
        <v>33</v>
      </c>
      <c r="O157" s="269"/>
      <c r="P157" s="296"/>
      <c r="Q157" s="147"/>
    </row>
    <row r="158" spans="1:20" s="120" customFormat="1" ht="15.6" thickTop="1" thickBot="1">
      <c r="A158" s="74"/>
      <c r="B158" s="380"/>
      <c r="C158" s="141" t="s">
        <v>46</v>
      </c>
      <c r="D158" s="342">
        <v>45</v>
      </c>
      <c r="E158" s="343">
        <v>40</v>
      </c>
      <c r="F158" s="344">
        <v>4</v>
      </c>
      <c r="G158" s="344">
        <v>30</v>
      </c>
      <c r="H158" s="344"/>
      <c r="I158" s="344"/>
      <c r="J158" s="344">
        <v>2</v>
      </c>
      <c r="K158" s="344"/>
      <c r="L158" s="345"/>
      <c r="M158" s="267">
        <f t="shared" ref="M158:M161" si="58">SUM(D158-E158)</f>
        <v>5</v>
      </c>
      <c r="N158" s="269">
        <f t="shared" si="57"/>
        <v>45</v>
      </c>
      <c r="O158" s="269"/>
      <c r="P158" s="296"/>
      <c r="Q158" s="147"/>
    </row>
    <row r="159" spans="1:20" ht="15.6" thickTop="1" thickBot="1">
      <c r="A159" s="73"/>
      <c r="B159" s="380"/>
      <c r="C159" s="143" t="s">
        <v>163</v>
      </c>
      <c r="D159" s="342">
        <v>10</v>
      </c>
      <c r="E159" s="343">
        <v>9</v>
      </c>
      <c r="F159" s="344">
        <v>1</v>
      </c>
      <c r="G159" s="344">
        <v>2</v>
      </c>
      <c r="H159" s="344"/>
      <c r="I159" s="344"/>
      <c r="J159" s="344"/>
      <c r="K159" s="344"/>
      <c r="L159" s="345"/>
      <c r="M159" s="267">
        <f t="shared" si="58"/>
        <v>1</v>
      </c>
      <c r="N159" s="269">
        <f t="shared" si="57"/>
        <v>10</v>
      </c>
      <c r="O159" s="269"/>
      <c r="P159" s="296"/>
      <c r="Q159" s="142"/>
    </row>
    <row r="160" spans="1:20" ht="15.6" thickTop="1" thickBot="1">
      <c r="A160" s="73"/>
      <c r="B160" s="380"/>
      <c r="C160" s="143"/>
      <c r="D160" s="342"/>
      <c r="E160" s="343"/>
      <c r="F160" s="344"/>
      <c r="G160" s="344"/>
      <c r="H160" s="344"/>
      <c r="I160" s="344"/>
      <c r="J160" s="344"/>
      <c r="K160" s="344"/>
      <c r="L160" s="346"/>
      <c r="M160" s="267">
        <f t="shared" si="58"/>
        <v>0</v>
      </c>
      <c r="N160" s="269">
        <f t="shared" si="57"/>
        <v>0</v>
      </c>
      <c r="O160" s="269"/>
      <c r="P160" s="290"/>
      <c r="Q160" s="142"/>
    </row>
    <row r="161" spans="1:20" ht="15.6" thickTop="1" thickBot="1">
      <c r="A161" s="73"/>
      <c r="B161" s="380"/>
      <c r="C161" s="143"/>
      <c r="D161" s="266"/>
      <c r="E161" s="267"/>
      <c r="F161" s="268"/>
      <c r="G161" s="268"/>
      <c r="H161" s="268"/>
      <c r="I161" s="268"/>
      <c r="J161" s="268"/>
      <c r="K161" s="268"/>
      <c r="L161" s="346"/>
      <c r="M161" s="267">
        <f t="shared" si="58"/>
        <v>0</v>
      </c>
      <c r="N161" s="269">
        <f t="shared" si="57"/>
        <v>0</v>
      </c>
      <c r="O161" s="269"/>
      <c r="P161" s="290"/>
      <c r="Q161" s="142"/>
    </row>
    <row r="162" spans="1:20" ht="15.6" thickTop="1" thickBot="1">
      <c r="A162" s="73"/>
      <c r="B162" s="380"/>
      <c r="C162" s="144" t="s">
        <v>69</v>
      </c>
      <c r="D162" s="266">
        <f>SUM(D156:D161)</f>
        <v>91</v>
      </c>
      <c r="E162" s="267">
        <f>SUM(E156:E161)</f>
        <v>84</v>
      </c>
      <c r="F162" s="268">
        <f>SUM(F156:F161)</f>
        <v>9</v>
      </c>
      <c r="G162" s="268">
        <f t="shared" ref="G162:K162" si="59">SUM(G156:G161)</f>
        <v>41</v>
      </c>
      <c r="H162" s="268">
        <f t="shared" si="59"/>
        <v>0</v>
      </c>
      <c r="I162" s="268">
        <f t="shared" si="59"/>
        <v>1</v>
      </c>
      <c r="J162" s="268">
        <f t="shared" si="59"/>
        <v>4</v>
      </c>
      <c r="K162" s="268">
        <f t="shared" si="59"/>
        <v>0</v>
      </c>
      <c r="L162" s="354">
        <v>70707.13</v>
      </c>
      <c r="M162" s="267">
        <f>SUM(M156:M161)</f>
        <v>7</v>
      </c>
      <c r="N162" s="269">
        <f>SUM(N156:N161)</f>
        <v>91</v>
      </c>
      <c r="O162" s="129">
        <v>4</v>
      </c>
      <c r="P162" s="130">
        <v>9</v>
      </c>
      <c r="Q162" s="142"/>
    </row>
    <row r="163" spans="1:20" ht="15.6" thickTop="1" thickBot="1">
      <c r="A163" s="73"/>
      <c r="B163" s="380"/>
      <c r="C163" s="124" t="s">
        <v>45</v>
      </c>
      <c r="D163" s="272">
        <f>SUM(D156:D161)</f>
        <v>91</v>
      </c>
      <c r="E163" s="272">
        <f>SUM(E156:E161)</f>
        <v>84</v>
      </c>
      <c r="F163" s="381">
        <f>SUM(F162:K162)</f>
        <v>55</v>
      </c>
      <c r="G163" s="382"/>
      <c r="H163" s="382"/>
      <c r="I163" s="382"/>
      <c r="J163" s="382"/>
      <c r="K163" s="383"/>
      <c r="L163" s="348">
        <f>L162</f>
        <v>70707.13</v>
      </c>
      <c r="M163" s="272">
        <f>SUM(M156:M161)</f>
        <v>7</v>
      </c>
      <c r="N163" s="272">
        <f>SUM(N156:N161)</f>
        <v>91</v>
      </c>
      <c r="O163" s="272">
        <f>SUM(O162)</f>
        <v>4</v>
      </c>
      <c r="P163" s="275">
        <f>SUM(P162)</f>
        <v>9</v>
      </c>
      <c r="Q163" s="125"/>
      <c r="T163" s="145">
        <f>$V$3+L11+L19+L27+L35+L43+L51+L59+L67+L75+L83+L91+L99+L107+L115+L123+L131+L139+L147+L155+L163</f>
        <v>8991650.959999999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43" t="s">
        <v>163</v>
      </c>
      <c r="D164" s="338">
        <v>2</v>
      </c>
      <c r="E164" s="339">
        <v>1</v>
      </c>
      <c r="F164" s="340">
        <v>1</v>
      </c>
      <c r="G164" s="340"/>
      <c r="H164" s="340"/>
      <c r="I164" s="340"/>
      <c r="J164" s="340"/>
      <c r="K164" s="340"/>
      <c r="L164" s="341"/>
      <c r="M164" s="302">
        <f>SUM(D164-E164)</f>
        <v>1</v>
      </c>
      <c r="N164" s="305">
        <f t="shared" ref="N164:N169" si="60">SUM(E164,M164)</f>
        <v>2</v>
      </c>
      <c r="O164" s="305"/>
      <c r="P164" s="296"/>
      <c r="Q164" s="140"/>
    </row>
    <row r="165" spans="1:20" ht="15.6" thickTop="1" thickBot="1">
      <c r="A165" s="73"/>
      <c r="B165" s="380"/>
      <c r="C165" s="141" t="s">
        <v>56</v>
      </c>
      <c r="D165" s="342">
        <v>23</v>
      </c>
      <c r="E165" s="343">
        <v>23</v>
      </c>
      <c r="F165" s="344">
        <v>2</v>
      </c>
      <c r="G165" s="344">
        <v>10</v>
      </c>
      <c r="H165" s="344"/>
      <c r="I165" s="344"/>
      <c r="J165" s="344">
        <v>1</v>
      </c>
      <c r="K165" s="344"/>
      <c r="L165" s="345"/>
      <c r="M165" s="267">
        <f>SUM(D165-E165)</f>
        <v>0</v>
      </c>
      <c r="N165" s="269">
        <f t="shared" si="60"/>
        <v>23</v>
      </c>
      <c r="O165" s="269"/>
      <c r="P165" s="296"/>
      <c r="Q165" s="147"/>
    </row>
    <row r="166" spans="1:20" s="120" customFormat="1" ht="15.6" thickTop="1" thickBot="1">
      <c r="A166" s="74"/>
      <c r="B166" s="380"/>
      <c r="C166" s="141" t="s">
        <v>49</v>
      </c>
      <c r="D166" s="342">
        <v>31</v>
      </c>
      <c r="E166" s="343">
        <v>28</v>
      </c>
      <c r="F166" s="344">
        <v>6</v>
      </c>
      <c r="G166" s="344">
        <v>12</v>
      </c>
      <c r="H166" s="344"/>
      <c r="I166" s="344"/>
      <c r="J166" s="344"/>
      <c r="K166" s="344"/>
      <c r="L166" s="345"/>
      <c r="M166" s="267">
        <f t="shared" ref="M166:M169" si="61">SUM(D166-E166)</f>
        <v>3</v>
      </c>
      <c r="N166" s="269">
        <f t="shared" si="60"/>
        <v>31</v>
      </c>
      <c r="O166" s="269"/>
      <c r="P166" s="294"/>
      <c r="Q166" s="147"/>
    </row>
    <row r="167" spans="1:20" ht="15.6" thickTop="1" thickBot="1">
      <c r="A167" s="73"/>
      <c r="B167" s="380"/>
      <c r="C167" s="143" t="s">
        <v>54</v>
      </c>
      <c r="D167" s="342">
        <v>18</v>
      </c>
      <c r="E167" s="343">
        <v>18</v>
      </c>
      <c r="F167" s="344">
        <v>4</v>
      </c>
      <c r="G167" s="344">
        <v>3</v>
      </c>
      <c r="H167" s="344"/>
      <c r="I167" s="344">
        <v>2</v>
      </c>
      <c r="J167" s="344">
        <v>1</v>
      </c>
      <c r="K167" s="344"/>
      <c r="L167" s="345"/>
      <c r="M167" s="267">
        <f t="shared" si="61"/>
        <v>0</v>
      </c>
      <c r="N167" s="269">
        <f t="shared" si="60"/>
        <v>18</v>
      </c>
      <c r="O167" s="269"/>
      <c r="P167" s="290"/>
      <c r="Q167" s="142"/>
    </row>
    <row r="168" spans="1:20" ht="15.6" thickTop="1" thickBot="1">
      <c r="A168" s="73"/>
      <c r="B168" s="380"/>
      <c r="C168" s="143"/>
      <c r="D168" s="342"/>
      <c r="E168" s="343"/>
      <c r="F168" s="344"/>
      <c r="G168" s="344"/>
      <c r="H168" s="344"/>
      <c r="I168" s="344"/>
      <c r="J168" s="344"/>
      <c r="K168" s="344"/>
      <c r="L168" s="346"/>
      <c r="M168" s="267">
        <f t="shared" si="61"/>
        <v>0</v>
      </c>
      <c r="N168" s="269">
        <f t="shared" si="60"/>
        <v>0</v>
      </c>
      <c r="O168" s="269"/>
      <c r="P168" s="290"/>
      <c r="Q168" s="142"/>
    </row>
    <row r="169" spans="1:20" ht="15.6" thickTop="1" thickBot="1">
      <c r="A169" s="73"/>
      <c r="B169" s="380"/>
      <c r="C169" s="143"/>
      <c r="D169" s="266"/>
      <c r="E169" s="267"/>
      <c r="F169" s="268"/>
      <c r="G169" s="268"/>
      <c r="H169" s="268"/>
      <c r="I169" s="268"/>
      <c r="J169" s="268"/>
      <c r="K169" s="268"/>
      <c r="L169" s="346"/>
      <c r="M169" s="267">
        <f t="shared" si="61"/>
        <v>0</v>
      </c>
      <c r="N169" s="269">
        <f t="shared" si="60"/>
        <v>0</v>
      </c>
      <c r="O169" s="269"/>
      <c r="P169" s="290"/>
      <c r="Q169" s="142"/>
    </row>
    <row r="170" spans="1:20" ht="15.6" thickTop="1" thickBot="1">
      <c r="A170" s="73"/>
      <c r="B170" s="380"/>
      <c r="C170" s="144" t="s">
        <v>69</v>
      </c>
      <c r="D170" s="266">
        <f>SUM(D164:D169)</f>
        <v>74</v>
      </c>
      <c r="E170" s="267">
        <f>SUM(E164:E169)</f>
        <v>70</v>
      </c>
      <c r="F170" s="268">
        <f>SUM(F164:F169)</f>
        <v>13</v>
      </c>
      <c r="G170" s="268">
        <f t="shared" ref="G170:K170" si="62">SUM(G164:G169)</f>
        <v>25</v>
      </c>
      <c r="H170" s="268">
        <f t="shared" si="62"/>
        <v>0</v>
      </c>
      <c r="I170" s="268">
        <f t="shared" si="62"/>
        <v>2</v>
      </c>
      <c r="J170" s="268">
        <f t="shared" si="62"/>
        <v>2</v>
      </c>
      <c r="K170" s="268">
        <f t="shared" si="62"/>
        <v>0</v>
      </c>
      <c r="L170" s="347">
        <v>217013.43</v>
      </c>
      <c r="M170" s="267">
        <f>SUM(M164:M169)</f>
        <v>4</v>
      </c>
      <c r="N170" s="269">
        <f>SUM(N164:N169)</f>
        <v>74</v>
      </c>
      <c r="O170" s="129">
        <v>2</v>
      </c>
      <c r="P170" s="130">
        <v>10</v>
      </c>
      <c r="Q170" s="142"/>
    </row>
    <row r="171" spans="1:20" ht="15.6" thickTop="1" thickBot="1">
      <c r="A171" s="73"/>
      <c r="B171" s="380"/>
      <c r="C171" s="124" t="s">
        <v>45</v>
      </c>
      <c r="D171" s="272">
        <f>SUM(D164:D169)</f>
        <v>74</v>
      </c>
      <c r="E171" s="272">
        <f>SUM(E164:E169)</f>
        <v>70</v>
      </c>
      <c r="F171" s="381">
        <f>SUM(F170:K170)</f>
        <v>42</v>
      </c>
      <c r="G171" s="382"/>
      <c r="H171" s="382"/>
      <c r="I171" s="382"/>
      <c r="J171" s="382"/>
      <c r="K171" s="383"/>
      <c r="L171" s="348">
        <f>L170</f>
        <v>217013.43</v>
      </c>
      <c r="M171" s="272">
        <f>SUM(M164:M169)</f>
        <v>4</v>
      </c>
      <c r="N171" s="272">
        <f>SUM(N164:N169)</f>
        <v>74</v>
      </c>
      <c r="O171" s="272">
        <f>SUM(O170)</f>
        <v>2</v>
      </c>
      <c r="P171" s="275">
        <f>SUM(P170)</f>
        <v>10</v>
      </c>
      <c r="Q171" s="125"/>
      <c r="T171" s="145">
        <f>$V$3+L11+L19+L27+L35+L43+L51+L59+L67+L75+L83+L91+L99+L107+L115+L123+L131+L139+L147+L155+L163+L171</f>
        <v>9208664.3899999987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43" t="s">
        <v>54</v>
      </c>
      <c r="D172" s="338">
        <v>2</v>
      </c>
      <c r="E172" s="339">
        <v>2</v>
      </c>
      <c r="F172" s="340"/>
      <c r="G172" s="340"/>
      <c r="H172" s="340"/>
      <c r="I172" s="340">
        <v>1</v>
      </c>
      <c r="J172" s="340"/>
      <c r="K172" s="340"/>
      <c r="L172" s="341"/>
      <c r="M172" s="302">
        <f>SUM(D172-E172)</f>
        <v>0</v>
      </c>
      <c r="N172" s="305">
        <f t="shared" ref="N172:N177" si="63">SUM(E172,M172)</f>
        <v>2</v>
      </c>
      <c r="O172" s="305"/>
      <c r="P172" s="306"/>
      <c r="Q172" s="140"/>
    </row>
    <row r="173" spans="1:20" ht="15.6" thickTop="1" thickBot="1">
      <c r="A173" s="73"/>
      <c r="B173" s="380"/>
      <c r="C173" s="141" t="s">
        <v>56</v>
      </c>
      <c r="D173" s="342">
        <v>23</v>
      </c>
      <c r="E173" s="343">
        <v>22</v>
      </c>
      <c r="F173" s="344">
        <v>4</v>
      </c>
      <c r="G173" s="344">
        <v>7</v>
      </c>
      <c r="H173" s="344"/>
      <c r="I173" s="344">
        <v>3</v>
      </c>
      <c r="J173" s="344"/>
      <c r="K173" s="344"/>
      <c r="L173" s="345"/>
      <c r="M173" s="267">
        <f>SUM(D173-E173)</f>
        <v>1</v>
      </c>
      <c r="N173" s="269">
        <f t="shared" si="63"/>
        <v>23</v>
      </c>
      <c r="O173" s="269"/>
      <c r="P173" s="290"/>
      <c r="Q173" s="142"/>
    </row>
    <row r="174" spans="1:20" s="120" customFormat="1" ht="15.6" thickTop="1" thickBot="1">
      <c r="A174" s="74"/>
      <c r="B174" s="380"/>
      <c r="C174" s="141" t="s">
        <v>49</v>
      </c>
      <c r="D174" s="342">
        <v>23</v>
      </c>
      <c r="E174" s="343">
        <v>21</v>
      </c>
      <c r="F174" s="344">
        <v>7</v>
      </c>
      <c r="G174" s="344">
        <v>8</v>
      </c>
      <c r="H174" s="344"/>
      <c r="I174" s="344"/>
      <c r="J174" s="344">
        <v>1</v>
      </c>
      <c r="K174" s="344"/>
      <c r="L174" s="345"/>
      <c r="M174" s="267">
        <f t="shared" ref="M174:M177" si="64">SUM(D174-E174)</f>
        <v>2</v>
      </c>
      <c r="N174" s="269">
        <f t="shared" si="63"/>
        <v>23</v>
      </c>
      <c r="O174" s="269"/>
      <c r="P174" s="290"/>
      <c r="Q174" s="142"/>
    </row>
    <row r="175" spans="1:20" ht="15.6" thickTop="1" thickBot="1">
      <c r="A175" s="73"/>
      <c r="B175" s="380"/>
      <c r="C175" s="143" t="s">
        <v>158</v>
      </c>
      <c r="D175" s="342">
        <v>33</v>
      </c>
      <c r="E175" s="343">
        <v>31</v>
      </c>
      <c r="F175" s="344">
        <v>4</v>
      </c>
      <c r="G175" s="344">
        <v>15</v>
      </c>
      <c r="H175" s="344"/>
      <c r="I175" s="344">
        <v>4</v>
      </c>
      <c r="J175" s="344">
        <v>1</v>
      </c>
      <c r="K175" s="344"/>
      <c r="L175" s="345"/>
      <c r="M175" s="267">
        <f t="shared" si="64"/>
        <v>2</v>
      </c>
      <c r="N175" s="269">
        <f t="shared" si="63"/>
        <v>33</v>
      </c>
      <c r="O175" s="269"/>
      <c r="P175" s="290"/>
      <c r="Q175" s="142"/>
    </row>
    <row r="176" spans="1:20" ht="15.6" thickTop="1" thickBot="1">
      <c r="A176" s="73"/>
      <c r="B176" s="380"/>
      <c r="C176" s="143" t="s">
        <v>54</v>
      </c>
      <c r="D176" s="342">
        <v>12</v>
      </c>
      <c r="E176" s="343">
        <v>12</v>
      </c>
      <c r="F176" s="344">
        <v>4</v>
      </c>
      <c r="G176" s="344">
        <v>2</v>
      </c>
      <c r="H176" s="344"/>
      <c r="I176" s="344">
        <v>4</v>
      </c>
      <c r="J176" s="344">
        <v>2</v>
      </c>
      <c r="K176" s="344"/>
      <c r="L176" s="346"/>
      <c r="M176" s="267">
        <f t="shared" si="64"/>
        <v>0</v>
      </c>
      <c r="N176" s="269">
        <f t="shared" si="63"/>
        <v>12</v>
      </c>
      <c r="O176" s="269"/>
      <c r="P176" s="290"/>
      <c r="Q176" s="142"/>
    </row>
    <row r="177" spans="1:20" ht="15.6" thickTop="1" thickBot="1">
      <c r="A177" s="73"/>
      <c r="B177" s="380"/>
      <c r="C177" s="143"/>
      <c r="D177" s="266"/>
      <c r="E177" s="267"/>
      <c r="F177" s="268"/>
      <c r="G177" s="268"/>
      <c r="H177" s="268"/>
      <c r="I177" s="268"/>
      <c r="J177" s="268"/>
      <c r="K177" s="268"/>
      <c r="L177" s="346"/>
      <c r="M177" s="267">
        <f t="shared" si="64"/>
        <v>0</v>
      </c>
      <c r="N177" s="269">
        <f t="shared" si="63"/>
        <v>0</v>
      </c>
      <c r="O177" s="269"/>
      <c r="P177" s="290"/>
      <c r="Q177" s="142"/>
    </row>
    <row r="178" spans="1:20" ht="15.6" thickTop="1" thickBot="1">
      <c r="A178" s="73"/>
      <c r="B178" s="380"/>
      <c r="C178" s="144" t="s">
        <v>69</v>
      </c>
      <c r="D178" s="266">
        <f>SUM(D172:D177)</f>
        <v>93</v>
      </c>
      <c r="E178" s="267">
        <f>SUM(E172:E177)</f>
        <v>88</v>
      </c>
      <c r="F178" s="268">
        <f>SUM(F172:F177)</f>
        <v>19</v>
      </c>
      <c r="G178" s="268">
        <f t="shared" ref="G178:K178" si="65">SUM(G172:G177)</f>
        <v>32</v>
      </c>
      <c r="H178" s="268">
        <f t="shared" si="65"/>
        <v>0</v>
      </c>
      <c r="I178" s="268">
        <f t="shared" si="65"/>
        <v>12</v>
      </c>
      <c r="J178" s="268">
        <f t="shared" si="65"/>
        <v>4</v>
      </c>
      <c r="K178" s="268">
        <f t="shared" si="65"/>
        <v>0</v>
      </c>
      <c r="L178" s="347">
        <v>75157.179999999993</v>
      </c>
      <c r="M178" s="267">
        <f>SUM(M172:M177)</f>
        <v>5</v>
      </c>
      <c r="N178" s="269">
        <f>SUM(N172:N177)</f>
        <v>93</v>
      </c>
      <c r="O178" s="129">
        <v>1</v>
      </c>
      <c r="P178" s="130">
        <v>8</v>
      </c>
      <c r="Q178" s="142"/>
    </row>
    <row r="179" spans="1:20" ht="15.6" thickTop="1" thickBot="1">
      <c r="A179" s="73"/>
      <c r="B179" s="380"/>
      <c r="C179" s="124" t="s">
        <v>45</v>
      </c>
      <c r="D179" s="272">
        <f>SUM(D172:D177)</f>
        <v>93</v>
      </c>
      <c r="E179" s="272">
        <f>SUM(E172:E177)</f>
        <v>88</v>
      </c>
      <c r="F179" s="381">
        <f>SUM(F178:K178)</f>
        <v>67</v>
      </c>
      <c r="G179" s="382"/>
      <c r="H179" s="382"/>
      <c r="I179" s="382"/>
      <c r="J179" s="382"/>
      <c r="K179" s="383"/>
      <c r="L179" s="348">
        <f>L178</f>
        <v>75157.179999999993</v>
      </c>
      <c r="M179" s="272">
        <f>SUM(M172:M177)</f>
        <v>5</v>
      </c>
      <c r="N179" s="272">
        <f>SUM(N172:N177)</f>
        <v>93</v>
      </c>
      <c r="O179" s="272">
        <f>SUM(O178)</f>
        <v>1</v>
      </c>
      <c r="P179" s="275">
        <f>SUM(P178)</f>
        <v>8</v>
      </c>
      <c r="Q179" s="125"/>
      <c r="T179" s="145">
        <f>$V$3+L11+L19+L27+L35+L43+L51+L59+L67+L75+L83+L91+L99+L107+L115+L123+L131+L139+L147+L155+L163+L171+L179</f>
        <v>9283821.5699999984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43" t="s">
        <v>54</v>
      </c>
      <c r="D180" s="338">
        <v>4</v>
      </c>
      <c r="E180" s="339">
        <v>4</v>
      </c>
      <c r="F180" s="340">
        <v>2</v>
      </c>
      <c r="G180" s="340"/>
      <c r="H180" s="340"/>
      <c r="I180" s="340"/>
      <c r="J180" s="340">
        <v>1</v>
      </c>
      <c r="K180" s="340"/>
      <c r="L180" s="341"/>
      <c r="M180" s="302">
        <f>SUM(D180-E180)</f>
        <v>0</v>
      </c>
      <c r="N180" s="305">
        <f t="shared" ref="N180:N185" si="66">SUM(E180,M180)</f>
        <v>4</v>
      </c>
      <c r="O180" s="305"/>
      <c r="P180" s="296"/>
      <c r="Q180" s="140"/>
    </row>
    <row r="181" spans="1:20" s="120" customFormat="1" ht="15.6" thickTop="1" thickBot="1">
      <c r="A181" s="74"/>
      <c r="B181" s="380"/>
      <c r="C181" s="141" t="s">
        <v>164</v>
      </c>
      <c r="D181" s="342">
        <v>45</v>
      </c>
      <c r="E181" s="343">
        <v>41</v>
      </c>
      <c r="F181" s="344">
        <v>4</v>
      </c>
      <c r="G181" s="344">
        <v>16</v>
      </c>
      <c r="H181" s="344"/>
      <c r="I181" s="344">
        <v>1</v>
      </c>
      <c r="J181" s="344">
        <v>2</v>
      </c>
      <c r="K181" s="344"/>
      <c r="L181" s="345"/>
      <c r="M181" s="267">
        <f>SUM(D181-E181)</f>
        <v>4</v>
      </c>
      <c r="N181" s="269">
        <f t="shared" si="66"/>
        <v>45</v>
      </c>
      <c r="O181" s="269"/>
      <c r="P181" s="296"/>
      <c r="Q181" s="147"/>
    </row>
    <row r="182" spans="1:20" ht="15.6" thickTop="1" thickBot="1">
      <c r="A182" s="73"/>
      <c r="B182" s="380"/>
      <c r="C182" s="141" t="s">
        <v>56</v>
      </c>
      <c r="D182" s="342">
        <v>30</v>
      </c>
      <c r="E182" s="343">
        <v>26</v>
      </c>
      <c r="F182" s="344">
        <v>5</v>
      </c>
      <c r="G182" s="344">
        <v>7</v>
      </c>
      <c r="H182" s="344"/>
      <c r="I182" s="344">
        <v>1</v>
      </c>
      <c r="J182" s="344"/>
      <c r="K182" s="344"/>
      <c r="L182" s="345"/>
      <c r="M182" s="267">
        <f t="shared" ref="M182:M185" si="67">SUM(D182-E182)</f>
        <v>4</v>
      </c>
      <c r="N182" s="269">
        <f t="shared" si="66"/>
        <v>30</v>
      </c>
      <c r="O182" s="269"/>
      <c r="P182" s="296"/>
      <c r="Q182" s="142"/>
    </row>
    <row r="183" spans="1:20" ht="15.6" thickTop="1" thickBot="1">
      <c r="A183" s="73"/>
      <c r="B183" s="380"/>
      <c r="C183" s="143" t="s">
        <v>157</v>
      </c>
      <c r="D183" s="342">
        <v>7</v>
      </c>
      <c r="E183" s="343">
        <v>5</v>
      </c>
      <c r="F183" s="344">
        <v>1</v>
      </c>
      <c r="G183" s="344">
        <v>1</v>
      </c>
      <c r="H183" s="344"/>
      <c r="I183" s="344"/>
      <c r="J183" s="344"/>
      <c r="K183" s="344"/>
      <c r="L183" s="345"/>
      <c r="M183" s="267">
        <f t="shared" si="67"/>
        <v>2</v>
      </c>
      <c r="N183" s="269">
        <f t="shared" si="66"/>
        <v>7</v>
      </c>
      <c r="O183" s="269"/>
      <c r="P183" s="290"/>
      <c r="Q183" s="142"/>
    </row>
    <row r="184" spans="1:20" ht="15.6" thickTop="1" thickBot="1">
      <c r="A184" s="73"/>
      <c r="B184" s="380"/>
      <c r="C184" s="143"/>
      <c r="D184" s="342"/>
      <c r="E184" s="343"/>
      <c r="F184" s="344"/>
      <c r="G184" s="344"/>
      <c r="H184" s="344"/>
      <c r="I184" s="344"/>
      <c r="J184" s="344"/>
      <c r="K184" s="344"/>
      <c r="L184" s="346"/>
      <c r="M184" s="267">
        <f t="shared" si="67"/>
        <v>0</v>
      </c>
      <c r="N184" s="269">
        <f t="shared" si="66"/>
        <v>0</v>
      </c>
      <c r="O184" s="269"/>
      <c r="P184" s="290"/>
      <c r="Q184" s="142"/>
    </row>
    <row r="185" spans="1:20" ht="15.6" thickTop="1" thickBot="1">
      <c r="A185" s="73"/>
      <c r="B185" s="380"/>
      <c r="C185" s="143"/>
      <c r="D185" s="342"/>
      <c r="E185" s="343"/>
      <c r="F185" s="344"/>
      <c r="G185" s="344"/>
      <c r="H185" s="344"/>
      <c r="I185" s="344"/>
      <c r="J185" s="344"/>
      <c r="K185" s="349"/>
      <c r="L185" s="346"/>
      <c r="M185" s="267">
        <f t="shared" si="67"/>
        <v>0</v>
      </c>
      <c r="N185" s="269">
        <f t="shared" si="66"/>
        <v>0</v>
      </c>
      <c r="O185" s="269"/>
      <c r="P185" s="290"/>
      <c r="Q185" s="142"/>
    </row>
    <row r="186" spans="1:20" ht="15.6" thickTop="1" thickBot="1">
      <c r="A186" s="73"/>
      <c r="B186" s="380"/>
      <c r="C186" s="144" t="s">
        <v>69</v>
      </c>
      <c r="D186" s="266">
        <f>SUM(D180:D185)</f>
        <v>86</v>
      </c>
      <c r="E186" s="267">
        <f>SUM(E180:E185)</f>
        <v>76</v>
      </c>
      <c r="F186" s="268">
        <f>SUM(F180:F185)</f>
        <v>12</v>
      </c>
      <c r="G186" s="268">
        <f t="shared" ref="G186:K186" si="68">SUM(G180:G185)</f>
        <v>24</v>
      </c>
      <c r="H186" s="268">
        <f t="shared" si="68"/>
        <v>0</v>
      </c>
      <c r="I186" s="268">
        <f t="shared" si="68"/>
        <v>2</v>
      </c>
      <c r="J186" s="268">
        <f t="shared" si="68"/>
        <v>3</v>
      </c>
      <c r="K186" s="268">
        <f t="shared" si="68"/>
        <v>0</v>
      </c>
      <c r="L186" s="347">
        <v>122291.05</v>
      </c>
      <c r="M186" s="267">
        <f>SUM(M180:M185)</f>
        <v>10</v>
      </c>
      <c r="N186" s="269">
        <f>SUM(N180:N185)</f>
        <v>86</v>
      </c>
      <c r="O186" s="129">
        <v>1</v>
      </c>
      <c r="P186" s="130">
        <v>7</v>
      </c>
      <c r="Q186" s="142"/>
    </row>
    <row r="187" spans="1:20" ht="15.6" thickTop="1" thickBot="1">
      <c r="A187" s="73"/>
      <c r="B187" s="380"/>
      <c r="C187" s="124" t="s">
        <v>45</v>
      </c>
      <c r="D187" s="272">
        <f>SUM(D180:D185)</f>
        <v>86</v>
      </c>
      <c r="E187" s="272">
        <f>SUM(E180:E185)</f>
        <v>76</v>
      </c>
      <c r="F187" s="381">
        <f>SUM(F186:K186)</f>
        <v>41</v>
      </c>
      <c r="G187" s="382"/>
      <c r="H187" s="382"/>
      <c r="I187" s="382"/>
      <c r="J187" s="382"/>
      <c r="K187" s="383"/>
      <c r="L187" s="348">
        <f>L186</f>
        <v>122291.05</v>
      </c>
      <c r="M187" s="272">
        <f>SUM(M180:M185)</f>
        <v>10</v>
      </c>
      <c r="N187" s="272">
        <f>SUM(N180:N185)</f>
        <v>86</v>
      </c>
      <c r="O187" s="272">
        <f>SUM(O186)</f>
        <v>1</v>
      </c>
      <c r="P187" s="275">
        <f>SUM(P186)</f>
        <v>7</v>
      </c>
      <c r="Q187" s="125"/>
      <c r="T187" s="145">
        <f>$V$3+L11+L19+L27+L35+L43+L51+L59+L67+L75+L83+L91+L99+L107+L115+L123+L131+L139+L147+L155+L163+L171+L179+L187</f>
        <v>9406112.6199999992</v>
      </c>
    </row>
    <row r="188" spans="1:20" ht="15.6" thickTop="1" thickBot="1">
      <c r="A188" s="73" t="str">
        <f ca="1">OFFSET('0'!$B$112,($A$1-1)*10,$B188-1)</f>
        <v>SS</v>
      </c>
      <c r="B188" s="380">
        <f ca="1">OFFSET('0'!$B$111,($A$1-1)*10,23)</f>
        <v>24</v>
      </c>
      <c r="C188" s="143" t="s">
        <v>157</v>
      </c>
      <c r="D188" s="338">
        <v>0</v>
      </c>
      <c r="E188" s="339"/>
      <c r="F188" s="340"/>
      <c r="G188" s="340"/>
      <c r="H188" s="340"/>
      <c r="I188" s="340"/>
      <c r="J188" s="340"/>
      <c r="K188" s="340"/>
      <c r="L188" s="341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40"/>
    </row>
    <row r="189" spans="1:20" ht="15.6" thickTop="1" thickBot="1">
      <c r="A189" s="73"/>
      <c r="B189" s="380"/>
      <c r="C189" s="143" t="s">
        <v>48</v>
      </c>
      <c r="D189" s="342">
        <v>7</v>
      </c>
      <c r="E189" s="343">
        <v>5</v>
      </c>
      <c r="F189" s="344">
        <v>3</v>
      </c>
      <c r="G189" s="344"/>
      <c r="H189" s="344"/>
      <c r="I189" s="344">
        <v>2</v>
      </c>
      <c r="J189" s="344"/>
      <c r="K189" s="344"/>
      <c r="L189" s="345"/>
      <c r="M189" s="267">
        <f>SUM(D189-E189)</f>
        <v>2</v>
      </c>
      <c r="N189" s="269">
        <f t="shared" si="69"/>
        <v>7</v>
      </c>
      <c r="O189" s="269"/>
      <c r="P189" s="290"/>
      <c r="Q189" s="142"/>
    </row>
    <row r="190" spans="1:20" s="120" customFormat="1" ht="15.6" thickTop="1" thickBot="1">
      <c r="A190" s="74"/>
      <c r="B190" s="380"/>
      <c r="C190" s="141" t="s">
        <v>160</v>
      </c>
      <c r="D190" s="342">
        <v>13</v>
      </c>
      <c r="E190" s="343">
        <v>9</v>
      </c>
      <c r="F190" s="344">
        <v>2</v>
      </c>
      <c r="G190" s="344">
        <v>2</v>
      </c>
      <c r="H190" s="344"/>
      <c r="I190" s="344">
        <v>2</v>
      </c>
      <c r="J190" s="344">
        <v>1</v>
      </c>
      <c r="K190" s="344"/>
      <c r="L190" s="345"/>
      <c r="M190" s="267">
        <f t="shared" ref="M190:M193" si="70">SUM(D190-E190)</f>
        <v>4</v>
      </c>
      <c r="N190" s="269">
        <f t="shared" si="69"/>
        <v>13</v>
      </c>
      <c r="O190" s="269"/>
      <c r="P190" s="290"/>
      <c r="Q190" s="142"/>
    </row>
    <row r="191" spans="1:20" ht="15.6" thickTop="1" thickBot="1">
      <c r="A191" s="73"/>
      <c r="B191" s="380"/>
      <c r="C191" s="143" t="s">
        <v>163</v>
      </c>
      <c r="D191" s="342">
        <v>6</v>
      </c>
      <c r="E191" s="343">
        <v>6</v>
      </c>
      <c r="F191" s="344">
        <v>2</v>
      </c>
      <c r="G191" s="344">
        <v>1</v>
      </c>
      <c r="H191" s="344"/>
      <c r="I191" s="344"/>
      <c r="J191" s="344"/>
      <c r="K191" s="344"/>
      <c r="L191" s="345"/>
      <c r="M191" s="267">
        <f t="shared" si="70"/>
        <v>0</v>
      </c>
      <c r="N191" s="269">
        <f t="shared" si="69"/>
        <v>6</v>
      </c>
      <c r="O191" s="269"/>
      <c r="P191" s="290"/>
      <c r="Q191" s="142"/>
    </row>
    <row r="192" spans="1:20" ht="15.6" thickTop="1" thickBot="1">
      <c r="A192" s="73"/>
      <c r="B192" s="380"/>
      <c r="C192" s="143"/>
      <c r="D192" s="266"/>
      <c r="E192" s="267"/>
      <c r="F192" s="268"/>
      <c r="G192" s="268"/>
      <c r="H192" s="268"/>
      <c r="I192" s="268"/>
      <c r="J192" s="268"/>
      <c r="K192" s="268"/>
      <c r="L192" s="346"/>
      <c r="M192" s="267">
        <f t="shared" si="70"/>
        <v>0</v>
      </c>
      <c r="N192" s="269">
        <f t="shared" si="69"/>
        <v>0</v>
      </c>
      <c r="O192" s="269"/>
      <c r="P192" s="290"/>
      <c r="Q192" s="142"/>
    </row>
    <row r="193" spans="1:20" ht="15.6" thickTop="1" thickBot="1">
      <c r="A193" s="73"/>
      <c r="B193" s="380"/>
      <c r="C193" s="143"/>
      <c r="D193" s="266"/>
      <c r="E193" s="267"/>
      <c r="F193" s="268"/>
      <c r="G193" s="268"/>
      <c r="H193" s="268"/>
      <c r="I193" s="268"/>
      <c r="J193" s="268"/>
      <c r="K193" s="268"/>
      <c r="L193" s="346"/>
      <c r="M193" s="267">
        <f t="shared" si="70"/>
        <v>0</v>
      </c>
      <c r="N193" s="269">
        <f t="shared" si="69"/>
        <v>0</v>
      </c>
      <c r="O193" s="269"/>
      <c r="P193" s="290"/>
      <c r="Q193" s="142"/>
    </row>
    <row r="194" spans="1:20" ht="15.6" thickTop="1" thickBot="1">
      <c r="A194" s="73"/>
      <c r="B194" s="380"/>
      <c r="C194" s="144" t="s">
        <v>69</v>
      </c>
      <c r="D194" s="266">
        <f>SUM(D188:D193)</f>
        <v>26</v>
      </c>
      <c r="E194" s="267">
        <f>SUM(E188:E193)</f>
        <v>20</v>
      </c>
      <c r="F194" s="268">
        <f>SUM(F188:F193)</f>
        <v>7</v>
      </c>
      <c r="G194" s="268">
        <f t="shared" ref="G194:K194" si="71">SUM(G188:G193)</f>
        <v>3</v>
      </c>
      <c r="H194" s="268">
        <f t="shared" si="71"/>
        <v>0</v>
      </c>
      <c r="I194" s="268">
        <f t="shared" si="71"/>
        <v>4</v>
      </c>
      <c r="J194" s="268">
        <f t="shared" si="71"/>
        <v>1</v>
      </c>
      <c r="K194" s="268">
        <f t="shared" si="71"/>
        <v>0</v>
      </c>
      <c r="L194" s="347">
        <v>29836.13</v>
      </c>
      <c r="M194" s="267">
        <f>SUM(M188:M193)</f>
        <v>6</v>
      </c>
      <c r="N194" s="269">
        <f>SUM(N188:N193)</f>
        <v>26</v>
      </c>
      <c r="O194" s="129">
        <v>1</v>
      </c>
      <c r="P194" s="130">
        <v>2</v>
      </c>
      <c r="Q194" s="142"/>
    </row>
    <row r="195" spans="1:20" ht="15.6" thickTop="1" thickBot="1">
      <c r="A195" s="73"/>
      <c r="B195" s="380"/>
      <c r="C195" s="124" t="s">
        <v>45</v>
      </c>
      <c r="D195" s="272">
        <f>SUM(D188:D193)</f>
        <v>26</v>
      </c>
      <c r="E195" s="272">
        <f>SUM(E188:E193)</f>
        <v>20</v>
      </c>
      <c r="F195" s="381">
        <f>SUM(F194:K194)</f>
        <v>15</v>
      </c>
      <c r="G195" s="382"/>
      <c r="H195" s="382"/>
      <c r="I195" s="382"/>
      <c r="J195" s="382"/>
      <c r="K195" s="383"/>
      <c r="L195" s="348">
        <f>L194</f>
        <v>29836.13</v>
      </c>
      <c r="M195" s="272">
        <f>SUM(M188:M193)</f>
        <v>6</v>
      </c>
      <c r="N195" s="272">
        <f>SUM(N188:N193)</f>
        <v>26</v>
      </c>
      <c r="O195" s="272">
        <f>SUM(O194)</f>
        <v>1</v>
      </c>
      <c r="P195" s="275">
        <f>SUM(P194)</f>
        <v>2</v>
      </c>
      <c r="Q195" s="125"/>
      <c r="T195" s="145">
        <f>$V$3+L11+L19+L27+L35+L43+L51+L59+L67+L75+L83+L91+L99+L107+L115+L123+L131+L139+L147+L155+L163+L171+L179+L187+L195</f>
        <v>9435948.75</v>
      </c>
    </row>
    <row r="196" spans="1:20" ht="15.6" thickTop="1" thickBot="1">
      <c r="A196" s="73" t="str">
        <f ca="1">OFFSET('0'!$B$112,($A$1-1)*10,$B196-1)</f>
        <v>SK</v>
      </c>
      <c r="B196" s="380">
        <f ca="1">OFFSET('0'!$B$111,($A$1-1)*10,24)</f>
        <v>25</v>
      </c>
      <c r="C196" s="143" t="s">
        <v>163</v>
      </c>
      <c r="D196" s="338">
        <v>0</v>
      </c>
      <c r="E196" s="339"/>
      <c r="F196" s="340"/>
      <c r="G196" s="340"/>
      <c r="H196" s="340"/>
      <c r="I196" s="340"/>
      <c r="J196" s="340"/>
      <c r="K196" s="340"/>
      <c r="L196" s="341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40"/>
    </row>
    <row r="197" spans="1:20" ht="15.6" thickTop="1" thickBot="1">
      <c r="A197" s="73"/>
      <c r="B197" s="380"/>
      <c r="C197" s="141" t="s">
        <v>48</v>
      </c>
      <c r="D197" s="342">
        <v>13</v>
      </c>
      <c r="E197" s="343">
        <v>13</v>
      </c>
      <c r="F197" s="344">
        <v>1</v>
      </c>
      <c r="G197" s="344">
        <v>1</v>
      </c>
      <c r="H197" s="344"/>
      <c r="I197" s="344">
        <v>1</v>
      </c>
      <c r="J197" s="344"/>
      <c r="K197" s="344"/>
      <c r="L197" s="345"/>
      <c r="M197" s="267">
        <f>SUM(D197-E197)</f>
        <v>0</v>
      </c>
      <c r="N197" s="269">
        <f t="shared" si="72"/>
        <v>13</v>
      </c>
      <c r="O197" s="269"/>
      <c r="P197" s="290"/>
      <c r="Q197" s="142"/>
    </row>
    <row r="198" spans="1:20" ht="15.6" thickTop="1" thickBot="1">
      <c r="A198" s="73"/>
      <c r="B198" s="380"/>
      <c r="C198" s="141" t="s">
        <v>49</v>
      </c>
      <c r="D198" s="342">
        <v>5</v>
      </c>
      <c r="E198" s="343">
        <v>5</v>
      </c>
      <c r="F198" s="344">
        <v>1</v>
      </c>
      <c r="G198" s="344"/>
      <c r="H198" s="344"/>
      <c r="I198" s="344"/>
      <c r="J198" s="344"/>
      <c r="K198" s="344"/>
      <c r="L198" s="345"/>
      <c r="M198" s="267">
        <f t="shared" ref="M198:M201" si="73">SUM(D198-E198)</f>
        <v>0</v>
      </c>
      <c r="N198" s="269">
        <f t="shared" si="72"/>
        <v>5</v>
      </c>
      <c r="O198" s="269"/>
      <c r="P198" s="290"/>
      <c r="Q198" s="142"/>
    </row>
    <row r="199" spans="1:20" ht="15.6" thickTop="1" thickBot="1">
      <c r="A199" s="73"/>
      <c r="B199" s="380"/>
      <c r="C199" s="143" t="s">
        <v>161</v>
      </c>
      <c r="D199" s="342">
        <v>0</v>
      </c>
      <c r="E199" s="343"/>
      <c r="F199" s="344"/>
      <c r="G199" s="344"/>
      <c r="H199" s="344"/>
      <c r="I199" s="344"/>
      <c r="J199" s="344"/>
      <c r="K199" s="344"/>
      <c r="L199" s="345"/>
      <c r="M199" s="267">
        <f t="shared" si="73"/>
        <v>0</v>
      </c>
      <c r="N199" s="269">
        <f t="shared" si="72"/>
        <v>0</v>
      </c>
      <c r="O199" s="269"/>
      <c r="P199" s="290"/>
      <c r="Q199" s="142"/>
    </row>
    <row r="200" spans="1:20" ht="15.6" thickTop="1" thickBot="1">
      <c r="A200" s="73"/>
      <c r="B200" s="380"/>
      <c r="C200" s="143"/>
      <c r="D200" s="266"/>
      <c r="E200" s="267"/>
      <c r="F200" s="268"/>
      <c r="G200" s="268"/>
      <c r="H200" s="268"/>
      <c r="I200" s="268"/>
      <c r="J200" s="268"/>
      <c r="K200" s="270"/>
      <c r="L200" s="346"/>
      <c r="M200" s="267">
        <f t="shared" si="73"/>
        <v>0</v>
      </c>
      <c r="N200" s="269">
        <f t="shared" si="72"/>
        <v>0</v>
      </c>
      <c r="O200" s="269"/>
      <c r="P200" s="290"/>
      <c r="Q200" s="142"/>
    </row>
    <row r="201" spans="1:20" ht="15.6" thickTop="1" thickBot="1">
      <c r="A201" s="73"/>
      <c r="B201" s="380"/>
      <c r="C201" s="143"/>
      <c r="D201" s="266"/>
      <c r="E201" s="267"/>
      <c r="F201" s="268"/>
      <c r="G201" s="268"/>
      <c r="H201" s="268"/>
      <c r="I201" s="268"/>
      <c r="J201" s="268"/>
      <c r="K201" s="270"/>
      <c r="L201" s="346"/>
      <c r="M201" s="267">
        <f t="shared" si="73"/>
        <v>0</v>
      </c>
      <c r="N201" s="279">
        <f t="shared" si="72"/>
        <v>0</v>
      </c>
      <c r="O201" s="279"/>
      <c r="P201" s="294"/>
      <c r="Q201" s="142"/>
    </row>
    <row r="202" spans="1:20" ht="15.6" thickTop="1" thickBot="1">
      <c r="A202" s="73"/>
      <c r="B202" s="380"/>
      <c r="C202" s="136" t="s">
        <v>69</v>
      </c>
      <c r="D202" s="266">
        <f>SUM(D196:D201)</f>
        <v>18</v>
      </c>
      <c r="E202" s="267">
        <f>SUM(E196:E201)</f>
        <v>18</v>
      </c>
      <c r="F202" s="268">
        <f>SUM(F196:F201)</f>
        <v>2</v>
      </c>
      <c r="G202" s="268">
        <f t="shared" ref="G202:K202" si="74">SUM(G196:G201)</f>
        <v>1</v>
      </c>
      <c r="H202" s="268">
        <f t="shared" si="74"/>
        <v>0</v>
      </c>
      <c r="I202" s="268">
        <f t="shared" si="74"/>
        <v>1</v>
      </c>
      <c r="J202" s="268">
        <f t="shared" si="74"/>
        <v>0</v>
      </c>
      <c r="K202" s="268">
        <f t="shared" si="74"/>
        <v>0</v>
      </c>
      <c r="L202" s="347">
        <v>11253</v>
      </c>
      <c r="M202" s="267">
        <f>SUM(M196:M201)</f>
        <v>0</v>
      </c>
      <c r="N202" s="269">
        <f>SUM(N196:N201)</f>
        <v>18</v>
      </c>
      <c r="O202" s="129"/>
      <c r="P202" s="130"/>
      <c r="Q202" s="142"/>
    </row>
    <row r="203" spans="1:20" ht="15.6" thickTop="1" thickBot="1">
      <c r="A203" s="73"/>
      <c r="B203" s="380"/>
      <c r="C203" s="124" t="s">
        <v>45</v>
      </c>
      <c r="D203" s="272">
        <f>SUM(D196:D201)</f>
        <v>18</v>
      </c>
      <c r="E203" s="272">
        <f>SUM(E196:E201)</f>
        <v>18</v>
      </c>
      <c r="F203" s="381">
        <f>SUM(F202:K202)</f>
        <v>4</v>
      </c>
      <c r="G203" s="382"/>
      <c r="H203" s="382"/>
      <c r="I203" s="382"/>
      <c r="J203" s="382"/>
      <c r="K203" s="383"/>
      <c r="L203" s="348">
        <f>L202</f>
        <v>11253</v>
      </c>
      <c r="M203" s="272">
        <f>SUM(M196:M201)</f>
        <v>0</v>
      </c>
      <c r="N203" s="272">
        <f>SUM(N196:N201)</f>
        <v>18</v>
      </c>
      <c r="O203" s="272">
        <f>SUM(O202)</f>
        <v>0</v>
      </c>
      <c r="P203" s="275">
        <f>SUM(P202)</f>
        <v>0</v>
      </c>
      <c r="Q203" s="125"/>
      <c r="T203" s="145">
        <f>$V$3+L11+L19+L27+L35+L43+L51+L59+L67+L75+L83+L91+L99+L107+L115+L123+L131+L139+L147+L155+L163+L171+L179+L187+L195+L203</f>
        <v>9447201.75</v>
      </c>
    </row>
    <row r="204" spans="1:20" ht="15.6" thickTop="1" thickBot="1">
      <c r="A204" s="73" t="str">
        <f ca="1">OFFSET('0'!$B$112,($A$1-1)*10,$B204-1)</f>
        <v>--</v>
      </c>
      <c r="B204" s="380">
        <f ca="1">OFFSET('0'!$B$111,($A$1-1)*10,25)</f>
        <v>26</v>
      </c>
      <c r="C204" s="143" t="s">
        <v>161</v>
      </c>
      <c r="D204" s="338">
        <v>2</v>
      </c>
      <c r="E204" s="339">
        <v>2</v>
      </c>
      <c r="F204" s="340"/>
      <c r="G204" s="340"/>
      <c r="H204" s="340"/>
      <c r="I204" s="340"/>
      <c r="J204" s="340"/>
      <c r="K204" s="340"/>
      <c r="L204" s="341"/>
      <c r="M204" s="302">
        <f>SUM(D204-E204)</f>
        <v>0</v>
      </c>
      <c r="N204" s="312">
        <f t="shared" ref="N204:N209" si="75">SUM(E204,M204)</f>
        <v>2</v>
      </c>
      <c r="O204" s="312"/>
      <c r="P204" s="313"/>
      <c r="Q204" s="140"/>
    </row>
    <row r="205" spans="1:20" s="120" customFormat="1" ht="15.6" thickTop="1" thickBot="1">
      <c r="A205" s="74"/>
      <c r="B205" s="380"/>
      <c r="C205" s="141" t="s">
        <v>158</v>
      </c>
      <c r="D205" s="342">
        <v>35</v>
      </c>
      <c r="E205" s="343">
        <v>34</v>
      </c>
      <c r="F205" s="344">
        <v>4</v>
      </c>
      <c r="G205" s="344">
        <v>8</v>
      </c>
      <c r="H205" s="344"/>
      <c r="I205" s="344">
        <v>6</v>
      </c>
      <c r="J205" s="344"/>
      <c r="K205" s="344"/>
      <c r="L205" s="345"/>
      <c r="M205" s="267">
        <f>SUM(D205-E205)</f>
        <v>1</v>
      </c>
      <c r="N205" s="279">
        <f t="shared" si="75"/>
        <v>35</v>
      </c>
      <c r="O205" s="279"/>
      <c r="P205" s="294"/>
      <c r="Q205" s="147"/>
    </row>
    <row r="206" spans="1:20" ht="15.6" thickTop="1" thickBot="1">
      <c r="A206" s="73"/>
      <c r="B206" s="380"/>
      <c r="C206" s="141" t="s">
        <v>48</v>
      </c>
      <c r="D206" s="342">
        <v>32</v>
      </c>
      <c r="E206" s="343">
        <v>29</v>
      </c>
      <c r="F206" s="344">
        <v>1</v>
      </c>
      <c r="G206" s="344">
        <v>9</v>
      </c>
      <c r="H206" s="344"/>
      <c r="I206" s="344"/>
      <c r="J206" s="344"/>
      <c r="K206" s="344"/>
      <c r="L206" s="345"/>
      <c r="M206" s="267">
        <f t="shared" ref="M206:M209" si="76">SUM(D206-E206)</f>
        <v>3</v>
      </c>
      <c r="N206" s="269">
        <f t="shared" si="75"/>
        <v>32</v>
      </c>
      <c r="O206" s="269"/>
      <c r="P206" s="290"/>
      <c r="Q206" s="142"/>
    </row>
    <row r="207" spans="1:20" ht="15.6" thickTop="1" thickBot="1">
      <c r="A207" s="73"/>
      <c r="B207" s="380"/>
      <c r="C207" s="143" t="s">
        <v>161</v>
      </c>
      <c r="D207" s="342">
        <v>8</v>
      </c>
      <c r="E207" s="343">
        <v>8</v>
      </c>
      <c r="F207" s="344">
        <v>4</v>
      </c>
      <c r="G207" s="344"/>
      <c r="H207" s="344"/>
      <c r="I207" s="344"/>
      <c r="J207" s="344"/>
      <c r="K207" s="344"/>
      <c r="L207" s="345"/>
      <c r="M207" s="267">
        <f t="shared" si="76"/>
        <v>0</v>
      </c>
      <c r="N207" s="269">
        <f t="shared" si="75"/>
        <v>8</v>
      </c>
      <c r="O207" s="269"/>
      <c r="P207" s="290"/>
      <c r="Q207" s="142"/>
    </row>
    <row r="208" spans="1:20" ht="15.6" thickTop="1" thickBot="1">
      <c r="A208" s="73"/>
      <c r="B208" s="380"/>
      <c r="C208" s="143"/>
      <c r="D208" s="266"/>
      <c r="E208" s="267"/>
      <c r="F208" s="268"/>
      <c r="G208" s="268"/>
      <c r="H208" s="268"/>
      <c r="I208" s="268"/>
      <c r="J208" s="268"/>
      <c r="K208" s="268"/>
      <c r="L208" s="346"/>
      <c r="M208" s="267">
        <f t="shared" si="76"/>
        <v>0</v>
      </c>
      <c r="N208" s="269">
        <f t="shared" si="75"/>
        <v>0</v>
      </c>
      <c r="O208" s="269"/>
      <c r="P208" s="290"/>
      <c r="Q208" s="142"/>
    </row>
    <row r="209" spans="1:20" ht="15.6" thickTop="1" thickBot="1">
      <c r="A209" s="73"/>
      <c r="B209" s="380"/>
      <c r="C209" s="143"/>
      <c r="D209" s="266"/>
      <c r="E209" s="267"/>
      <c r="F209" s="268"/>
      <c r="G209" s="268"/>
      <c r="H209" s="268"/>
      <c r="I209" s="268"/>
      <c r="J209" s="268"/>
      <c r="K209" s="270"/>
      <c r="L209" s="346"/>
      <c r="M209" s="267">
        <f t="shared" si="76"/>
        <v>0</v>
      </c>
      <c r="N209" s="269">
        <f t="shared" si="75"/>
        <v>0</v>
      </c>
      <c r="O209" s="269"/>
      <c r="P209" s="290"/>
      <c r="Q209" s="142"/>
    </row>
    <row r="210" spans="1:20" ht="15.6" thickTop="1" thickBot="1">
      <c r="A210" s="73"/>
      <c r="B210" s="380"/>
      <c r="C210" s="136" t="s">
        <v>69</v>
      </c>
      <c r="D210" s="266">
        <f>SUM(D204:D209)</f>
        <v>77</v>
      </c>
      <c r="E210" s="267">
        <f>SUM(E204:E209)</f>
        <v>73</v>
      </c>
      <c r="F210" s="268">
        <f>SUM(F204:F209)</f>
        <v>9</v>
      </c>
      <c r="G210" s="268">
        <f t="shared" ref="G210:K210" si="77">SUM(G204:G209)</f>
        <v>17</v>
      </c>
      <c r="H210" s="268">
        <f t="shared" si="77"/>
        <v>0</v>
      </c>
      <c r="I210" s="268">
        <f t="shared" si="77"/>
        <v>6</v>
      </c>
      <c r="J210" s="268">
        <f t="shared" si="77"/>
        <v>0</v>
      </c>
      <c r="K210" s="268">
        <f t="shared" si="77"/>
        <v>0</v>
      </c>
      <c r="L210" s="347">
        <v>298246.45</v>
      </c>
      <c r="M210" s="267">
        <f>SUM(M204:M209)</f>
        <v>4</v>
      </c>
      <c r="N210" s="269">
        <f>SUM(N204:N209)</f>
        <v>77</v>
      </c>
      <c r="O210" s="129">
        <v>4</v>
      </c>
      <c r="P210" s="130">
        <v>6</v>
      </c>
      <c r="Q210" s="142"/>
    </row>
    <row r="211" spans="1:20" ht="15.6" thickTop="1" thickBot="1">
      <c r="A211" s="73"/>
      <c r="B211" s="380"/>
      <c r="C211" s="124" t="s">
        <v>45</v>
      </c>
      <c r="D211" s="272">
        <f>SUM(D204:D209)</f>
        <v>77</v>
      </c>
      <c r="E211" s="272">
        <f>SUM(E204:E209)</f>
        <v>73</v>
      </c>
      <c r="F211" s="381">
        <f>SUM(F210:K210)</f>
        <v>32</v>
      </c>
      <c r="G211" s="382"/>
      <c r="H211" s="382"/>
      <c r="I211" s="382"/>
      <c r="J211" s="382"/>
      <c r="K211" s="383"/>
      <c r="L211" s="348">
        <f>L210</f>
        <v>298246.45</v>
      </c>
      <c r="M211" s="272">
        <f>SUM(M204:M209)</f>
        <v>4</v>
      </c>
      <c r="N211" s="272">
        <f>SUM(N204:N209)</f>
        <v>77</v>
      </c>
      <c r="O211" s="272">
        <f>SUM(O210)</f>
        <v>4</v>
      </c>
      <c r="P211" s="275">
        <f>SUM(P210)</f>
        <v>6</v>
      </c>
      <c r="Q211" s="125"/>
      <c r="T211" s="145">
        <f>$V$3+L11+L19+L27+L35+L43+L51+L59+L67+L75+L83+L91+L99+L107+L115+L123+L131+L139+L147+L155+L163+L171+L179+L187+L195+L203+L211</f>
        <v>9745448.1999999993</v>
      </c>
    </row>
    <row r="212" spans="1:20" ht="15.6" thickTop="1" thickBot="1">
      <c r="A212" s="73" t="str">
        <f ca="1">OFFSET('0'!$B$112,($A$1-1)*10,$B212-1)</f>
        <v>--</v>
      </c>
      <c r="B212" s="380">
        <f ca="1">OFFSET('0'!$B$111,($A$1-1)*10,26)</f>
        <v>27</v>
      </c>
      <c r="C212" s="143" t="s">
        <v>161</v>
      </c>
      <c r="D212" s="338">
        <v>0</v>
      </c>
      <c r="E212" s="339">
        <v>0</v>
      </c>
      <c r="F212" s="340"/>
      <c r="G212" s="340"/>
      <c r="H212" s="340"/>
      <c r="I212" s="340"/>
      <c r="J212" s="340"/>
      <c r="K212" s="340"/>
      <c r="L212" s="341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40"/>
    </row>
    <row r="213" spans="1:20" ht="15.6" thickTop="1" thickBot="1">
      <c r="A213" s="73"/>
      <c r="B213" s="380"/>
      <c r="C213" s="141" t="s">
        <v>158</v>
      </c>
      <c r="D213" s="342">
        <v>41</v>
      </c>
      <c r="E213" s="343">
        <v>39</v>
      </c>
      <c r="F213" s="344">
        <v>2</v>
      </c>
      <c r="G213" s="344">
        <v>24</v>
      </c>
      <c r="H213" s="344"/>
      <c r="I213" s="344">
        <v>2</v>
      </c>
      <c r="J213" s="344"/>
      <c r="K213" s="344"/>
      <c r="L213" s="345"/>
      <c r="M213" s="267">
        <f>SUM(D213-E213)</f>
        <v>2</v>
      </c>
      <c r="N213" s="269">
        <f t="shared" si="78"/>
        <v>41</v>
      </c>
      <c r="O213" s="269"/>
      <c r="P213" s="290"/>
      <c r="Q213" s="142"/>
    </row>
    <row r="214" spans="1:20" s="120" customFormat="1" ht="15.6" thickTop="1" thickBot="1">
      <c r="A214" s="74"/>
      <c r="B214" s="380"/>
      <c r="C214" s="141" t="s">
        <v>51</v>
      </c>
      <c r="D214" s="342">
        <v>12</v>
      </c>
      <c r="E214" s="343">
        <v>11</v>
      </c>
      <c r="F214" s="344">
        <v>2</v>
      </c>
      <c r="G214" s="344"/>
      <c r="H214" s="344"/>
      <c r="I214" s="344"/>
      <c r="J214" s="344"/>
      <c r="K214" s="344"/>
      <c r="L214" s="345"/>
      <c r="M214" s="267">
        <f t="shared" ref="M214:M217" si="79">SUM(D214-E214)</f>
        <v>1</v>
      </c>
      <c r="N214" s="269">
        <f t="shared" si="78"/>
        <v>12</v>
      </c>
      <c r="O214" s="269"/>
      <c r="P214" s="290"/>
      <c r="Q214" s="142"/>
    </row>
    <row r="215" spans="1:20" s="120" customFormat="1" ht="15.6" thickTop="1" thickBot="1">
      <c r="A215" s="74"/>
      <c r="B215" s="380"/>
      <c r="C215" s="143" t="s">
        <v>52</v>
      </c>
      <c r="D215" s="342">
        <v>10</v>
      </c>
      <c r="E215" s="343">
        <v>10</v>
      </c>
      <c r="F215" s="344">
        <v>1</v>
      </c>
      <c r="G215" s="344"/>
      <c r="H215" s="344"/>
      <c r="I215" s="344"/>
      <c r="J215" s="344"/>
      <c r="K215" s="344"/>
      <c r="L215" s="345"/>
      <c r="M215" s="267">
        <f t="shared" si="79"/>
        <v>0</v>
      </c>
      <c r="N215" s="269">
        <f t="shared" si="78"/>
        <v>10</v>
      </c>
      <c r="O215" s="269"/>
      <c r="P215" s="290"/>
      <c r="Q215" s="142"/>
    </row>
    <row r="216" spans="1:20" ht="15.6" thickTop="1" thickBot="1">
      <c r="A216" s="73"/>
      <c r="B216" s="380"/>
      <c r="C216" s="143"/>
      <c r="D216" s="266"/>
      <c r="E216" s="267"/>
      <c r="F216" s="268"/>
      <c r="G216" s="268"/>
      <c r="H216" s="268"/>
      <c r="I216" s="268"/>
      <c r="J216" s="268"/>
      <c r="K216" s="268"/>
      <c r="L216" s="346"/>
      <c r="M216" s="267">
        <f t="shared" si="79"/>
        <v>0</v>
      </c>
      <c r="N216" s="269">
        <f t="shared" si="78"/>
        <v>0</v>
      </c>
      <c r="O216" s="269"/>
      <c r="P216" s="290"/>
      <c r="Q216" s="142"/>
    </row>
    <row r="217" spans="1:20" ht="15.6" thickTop="1" thickBot="1">
      <c r="A217" s="73"/>
      <c r="B217" s="380"/>
      <c r="C217" s="143"/>
      <c r="D217" s="266"/>
      <c r="E217" s="267"/>
      <c r="F217" s="268"/>
      <c r="G217" s="268"/>
      <c r="H217" s="268"/>
      <c r="I217" s="268"/>
      <c r="J217" s="268"/>
      <c r="K217" s="268"/>
      <c r="L217" s="346"/>
      <c r="M217" s="267">
        <f t="shared" si="79"/>
        <v>0</v>
      </c>
      <c r="N217" s="269">
        <f t="shared" si="78"/>
        <v>0</v>
      </c>
      <c r="O217" s="269"/>
      <c r="P217" s="290"/>
      <c r="Q217" s="142"/>
    </row>
    <row r="218" spans="1:20" ht="15.6" thickTop="1" thickBot="1">
      <c r="A218" s="73"/>
      <c r="B218" s="380"/>
      <c r="C218" s="136" t="s">
        <v>69</v>
      </c>
      <c r="D218" s="266">
        <f>SUM(D212:D217)</f>
        <v>63</v>
      </c>
      <c r="E218" s="267">
        <f>SUM(E212:E217)</f>
        <v>60</v>
      </c>
      <c r="F218" s="268">
        <f>SUM(F212:F217)</f>
        <v>5</v>
      </c>
      <c r="G218" s="268">
        <f t="shared" ref="G218:K218" si="80">SUM(G212:G217)</f>
        <v>24</v>
      </c>
      <c r="H218" s="268">
        <f t="shared" si="80"/>
        <v>0</v>
      </c>
      <c r="I218" s="268">
        <f t="shared" si="80"/>
        <v>2</v>
      </c>
      <c r="J218" s="268">
        <f t="shared" si="80"/>
        <v>0</v>
      </c>
      <c r="K218" s="268">
        <f t="shared" si="80"/>
        <v>0</v>
      </c>
      <c r="L218" s="355">
        <v>159551.15</v>
      </c>
      <c r="M218" s="267">
        <f>SUM(M212:M217)</f>
        <v>3</v>
      </c>
      <c r="N218" s="269">
        <f>SUM(N212:N217)</f>
        <v>63</v>
      </c>
      <c r="O218" s="129">
        <v>1</v>
      </c>
      <c r="P218" s="130">
        <v>7</v>
      </c>
      <c r="Q218" s="142"/>
    </row>
    <row r="219" spans="1:20" ht="15.6" thickTop="1" thickBot="1">
      <c r="A219" s="73"/>
      <c r="B219" s="380"/>
      <c r="C219" s="124" t="s">
        <v>45</v>
      </c>
      <c r="D219" s="272">
        <f>SUM(D212:D217)</f>
        <v>63</v>
      </c>
      <c r="E219" s="272">
        <f>SUM(E212:E217)</f>
        <v>60</v>
      </c>
      <c r="F219" s="381">
        <f>SUM(F218:K218)</f>
        <v>31</v>
      </c>
      <c r="G219" s="382"/>
      <c r="H219" s="382"/>
      <c r="I219" s="382"/>
      <c r="J219" s="382"/>
      <c r="K219" s="383"/>
      <c r="L219" s="348">
        <f>L218</f>
        <v>159551.15</v>
      </c>
      <c r="M219" s="272">
        <f>SUM(M212:M217)</f>
        <v>3</v>
      </c>
      <c r="N219" s="272">
        <f>SUM(N212:N217)</f>
        <v>63</v>
      </c>
      <c r="O219" s="272">
        <f>SUM(O218)</f>
        <v>1</v>
      </c>
      <c r="P219" s="275">
        <f>SUM(P218)</f>
        <v>7</v>
      </c>
      <c r="Q219" s="125"/>
      <c r="T219" s="145">
        <f>$V$3+L11+L19+L27+L35+L43+L51+L59+L67+L75+L83+L91+L99+L107+L115+L123+L131+L139+L147+L155+L163+L171+L179+L187+L195+L203+L211+L219</f>
        <v>9904999.3499999996</v>
      </c>
    </row>
    <row r="220" spans="1:20" ht="15.6" thickTop="1" thickBot="1">
      <c r="A220" s="73" t="str">
        <f ca="1">OFFSET('0'!$B$112,($A$1-1)*10,$B220-1)</f>
        <v>--</v>
      </c>
      <c r="B220" s="380">
        <f ca="1">OFFSET('0'!$B$111,($A$1-1)*10,27)</f>
        <v>28</v>
      </c>
      <c r="C220" s="141" t="s">
        <v>51</v>
      </c>
      <c r="D220" s="338">
        <v>1</v>
      </c>
      <c r="E220" s="339">
        <v>1</v>
      </c>
      <c r="F220" s="340">
        <v>1</v>
      </c>
      <c r="G220" s="340"/>
      <c r="H220" s="340"/>
      <c r="I220" s="340"/>
      <c r="J220" s="340"/>
      <c r="K220" s="340"/>
      <c r="L220" s="341"/>
      <c r="M220" s="302">
        <f>SUM(D220-E220)</f>
        <v>0</v>
      </c>
      <c r="N220" s="305">
        <f t="shared" ref="N220:N225" si="81">SUM(E220,M220)</f>
        <v>1</v>
      </c>
      <c r="O220" s="305"/>
      <c r="P220" s="296"/>
      <c r="Q220" s="140"/>
    </row>
    <row r="221" spans="1:20" s="120" customFormat="1" ht="15.6" thickTop="1" thickBot="1">
      <c r="A221" s="74"/>
      <c r="B221" s="380"/>
      <c r="C221" s="141" t="s">
        <v>46</v>
      </c>
      <c r="D221" s="342">
        <v>35</v>
      </c>
      <c r="E221" s="343">
        <v>35</v>
      </c>
      <c r="F221" s="344">
        <v>3</v>
      </c>
      <c r="G221" s="344">
        <v>24</v>
      </c>
      <c r="H221" s="344"/>
      <c r="I221" s="344"/>
      <c r="J221" s="344">
        <v>1</v>
      </c>
      <c r="K221" s="344"/>
      <c r="L221" s="345"/>
      <c r="M221" s="267">
        <f>SUM(D221-E221)</f>
        <v>0</v>
      </c>
      <c r="N221" s="269">
        <f t="shared" si="81"/>
        <v>35</v>
      </c>
      <c r="O221" s="269"/>
      <c r="P221" s="296"/>
      <c r="Q221" s="147"/>
    </row>
    <row r="222" spans="1:20" ht="15.6" thickTop="1" thickBot="1">
      <c r="A222" s="73"/>
      <c r="B222" s="380"/>
      <c r="C222" s="141" t="s">
        <v>158</v>
      </c>
      <c r="D222" s="342">
        <v>51</v>
      </c>
      <c r="E222" s="343">
        <v>50</v>
      </c>
      <c r="F222" s="344">
        <v>5</v>
      </c>
      <c r="G222" s="344">
        <v>25</v>
      </c>
      <c r="H222" s="344"/>
      <c r="I222" s="344">
        <v>3</v>
      </c>
      <c r="J222" s="344"/>
      <c r="K222" s="344"/>
      <c r="L222" s="345"/>
      <c r="M222" s="267">
        <f t="shared" ref="M222:M225" si="82">SUM(D222-E222)</f>
        <v>1</v>
      </c>
      <c r="N222" s="269">
        <f t="shared" si="81"/>
        <v>51</v>
      </c>
      <c r="O222" s="269"/>
      <c r="P222" s="290"/>
      <c r="Q222" s="142"/>
    </row>
    <row r="223" spans="1:20" s="120" customFormat="1" ht="15.6" thickTop="1" thickBot="1">
      <c r="A223" s="74"/>
      <c r="B223" s="380"/>
      <c r="C223" s="143" t="s">
        <v>53</v>
      </c>
      <c r="D223" s="342">
        <v>22</v>
      </c>
      <c r="E223" s="343">
        <v>20</v>
      </c>
      <c r="F223" s="344">
        <v>5</v>
      </c>
      <c r="G223" s="344">
        <v>2</v>
      </c>
      <c r="H223" s="344">
        <v>1</v>
      </c>
      <c r="I223" s="344">
        <v>3</v>
      </c>
      <c r="J223" s="344">
        <v>3</v>
      </c>
      <c r="K223" s="344"/>
      <c r="L223" s="345"/>
      <c r="M223" s="267">
        <f t="shared" si="82"/>
        <v>2</v>
      </c>
      <c r="N223" s="269">
        <f t="shared" si="81"/>
        <v>22</v>
      </c>
      <c r="O223" s="269"/>
      <c r="P223" s="290"/>
      <c r="Q223" s="142"/>
    </row>
    <row r="224" spans="1:20" ht="15.6" thickTop="1" thickBot="1">
      <c r="A224" s="73"/>
      <c r="B224" s="380"/>
      <c r="C224" s="143"/>
      <c r="D224" s="342"/>
      <c r="E224" s="343"/>
      <c r="F224" s="344"/>
      <c r="G224" s="344"/>
      <c r="H224" s="344"/>
      <c r="I224" s="344"/>
      <c r="J224" s="344"/>
      <c r="K224" s="344"/>
      <c r="L224" s="346"/>
      <c r="M224" s="267">
        <f t="shared" si="82"/>
        <v>0</v>
      </c>
      <c r="N224" s="269">
        <f t="shared" si="81"/>
        <v>0</v>
      </c>
      <c r="O224" s="269"/>
      <c r="P224" s="290"/>
      <c r="Q224" s="142"/>
    </row>
    <row r="225" spans="1:20" ht="15.6" thickTop="1" thickBot="1">
      <c r="A225" s="73"/>
      <c r="B225" s="380"/>
      <c r="C225" s="143"/>
      <c r="D225" s="266"/>
      <c r="E225" s="267"/>
      <c r="F225" s="268"/>
      <c r="G225" s="268"/>
      <c r="H225" s="268"/>
      <c r="I225" s="268"/>
      <c r="J225" s="268"/>
      <c r="K225" s="268"/>
      <c r="L225" s="346"/>
      <c r="M225" s="267">
        <f t="shared" si="82"/>
        <v>0</v>
      </c>
      <c r="N225" s="279">
        <f t="shared" si="81"/>
        <v>0</v>
      </c>
      <c r="O225" s="279"/>
      <c r="P225" s="294"/>
      <c r="Q225" s="142"/>
    </row>
    <row r="226" spans="1:20" ht="15.6" thickTop="1" thickBot="1">
      <c r="A226" s="73"/>
      <c r="B226" s="380"/>
      <c r="C226" s="136" t="s">
        <v>69</v>
      </c>
      <c r="D226" s="266">
        <f>SUM(D220:D225)</f>
        <v>109</v>
      </c>
      <c r="E226" s="267">
        <f>SUM(E220:E225)</f>
        <v>106</v>
      </c>
      <c r="F226" s="268">
        <f>SUM(F220:F225)</f>
        <v>14</v>
      </c>
      <c r="G226" s="268">
        <f t="shared" ref="G226:K226" si="83">SUM(G220:G225)</f>
        <v>51</v>
      </c>
      <c r="H226" s="268">
        <f t="shared" si="83"/>
        <v>1</v>
      </c>
      <c r="I226" s="268">
        <f t="shared" si="83"/>
        <v>6</v>
      </c>
      <c r="J226" s="268">
        <f t="shared" si="83"/>
        <v>4</v>
      </c>
      <c r="K226" s="268">
        <f t="shared" si="83"/>
        <v>0</v>
      </c>
      <c r="L226" s="347">
        <v>155202.88</v>
      </c>
      <c r="M226" s="267">
        <f>SUM(M220:M225)</f>
        <v>3</v>
      </c>
      <c r="N226" s="269">
        <f>SUM(N220:N225)</f>
        <v>109</v>
      </c>
      <c r="O226" s="129">
        <v>2</v>
      </c>
      <c r="P226" s="130">
        <v>5</v>
      </c>
      <c r="Q226" s="142"/>
    </row>
    <row r="227" spans="1:20" ht="15.6" thickTop="1" thickBot="1">
      <c r="A227" s="73"/>
      <c r="B227" s="380"/>
      <c r="C227" s="124" t="s">
        <v>45</v>
      </c>
      <c r="D227" s="272">
        <f>SUM(D220:D225)</f>
        <v>109</v>
      </c>
      <c r="E227" s="272">
        <f>SUM(E220:E225)</f>
        <v>106</v>
      </c>
      <c r="F227" s="381">
        <f>SUM(F226:K226)</f>
        <v>76</v>
      </c>
      <c r="G227" s="382"/>
      <c r="H227" s="382"/>
      <c r="I227" s="382"/>
      <c r="J227" s="382"/>
      <c r="K227" s="383"/>
      <c r="L227" s="348">
        <f>L226</f>
        <v>155202.88</v>
      </c>
      <c r="M227" s="272">
        <f>SUM(M220:M225)</f>
        <v>3</v>
      </c>
      <c r="N227" s="272">
        <f>SUM(N220:N225)</f>
        <v>109</v>
      </c>
      <c r="O227" s="272">
        <f>SUM(O226)</f>
        <v>2</v>
      </c>
      <c r="P227" s="275">
        <f>SUM(P226)</f>
        <v>5</v>
      </c>
      <c r="Q227" s="125"/>
      <c r="T227" s="145">
        <f>$V$3+L11+L19+L27+L35+L43+L51+L59+L67+L75+L83+L91+L99+L107+L115+L123+L131+L139+L147+L155+L163+L171+L179+L187+L195+L203+L211+L219+L227</f>
        <v>10060202.23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43" t="s">
        <v>53</v>
      </c>
      <c r="D228" s="338">
        <v>2</v>
      </c>
      <c r="E228" s="339">
        <v>2</v>
      </c>
      <c r="F228" s="340"/>
      <c r="G228" s="340"/>
      <c r="H228" s="340"/>
      <c r="I228" s="340"/>
      <c r="J228" s="340"/>
      <c r="K228" s="340"/>
      <c r="L228" s="341"/>
      <c r="M228" s="302">
        <f>SUM(D228-E228)</f>
        <v>0</v>
      </c>
      <c r="N228" s="305">
        <f t="shared" ref="N228:N233" si="84">SUM(E228,M228)</f>
        <v>2</v>
      </c>
      <c r="O228" s="305"/>
      <c r="P228" s="296"/>
      <c r="Q228" s="140"/>
    </row>
    <row r="229" spans="1:20" ht="15.6" thickTop="1" thickBot="1">
      <c r="A229" s="73"/>
      <c r="B229" s="380"/>
      <c r="C229" s="141" t="s">
        <v>164</v>
      </c>
      <c r="D229" s="342">
        <v>43</v>
      </c>
      <c r="E229" s="343">
        <v>42</v>
      </c>
      <c r="F229" s="344">
        <v>8</v>
      </c>
      <c r="G229" s="344">
        <v>18</v>
      </c>
      <c r="H229" s="344"/>
      <c r="I229" s="344">
        <v>2</v>
      </c>
      <c r="J229" s="344">
        <v>4</v>
      </c>
      <c r="K229" s="344"/>
      <c r="L229" s="345"/>
      <c r="M229" s="267">
        <f>SUM(D229-E229)</f>
        <v>1</v>
      </c>
      <c r="N229" s="269">
        <f t="shared" si="84"/>
        <v>43</v>
      </c>
      <c r="O229" s="269"/>
      <c r="P229" s="296"/>
      <c r="Q229" s="147"/>
    </row>
    <row r="230" spans="1:20" ht="15.6" thickTop="1" thickBot="1">
      <c r="A230" s="73"/>
      <c r="B230" s="380"/>
      <c r="C230" s="141" t="s">
        <v>49</v>
      </c>
      <c r="D230" s="342">
        <v>36</v>
      </c>
      <c r="E230" s="343">
        <v>35</v>
      </c>
      <c r="F230" s="344">
        <v>2</v>
      </c>
      <c r="G230" s="344">
        <v>10</v>
      </c>
      <c r="H230" s="344"/>
      <c r="I230" s="344">
        <v>1</v>
      </c>
      <c r="J230" s="344">
        <v>1</v>
      </c>
      <c r="K230" s="344"/>
      <c r="L230" s="345"/>
      <c r="M230" s="267">
        <f t="shared" ref="M230:M233" si="85">SUM(D230-E230)</f>
        <v>1</v>
      </c>
      <c r="N230" s="269">
        <f t="shared" si="84"/>
        <v>36</v>
      </c>
      <c r="O230" s="269"/>
      <c r="P230" s="290"/>
      <c r="Q230" s="142"/>
    </row>
    <row r="231" spans="1:20" s="120" customFormat="1" ht="15.6" thickTop="1" thickBot="1">
      <c r="A231" s="74"/>
      <c r="B231" s="380"/>
      <c r="C231" s="143" t="s">
        <v>157</v>
      </c>
      <c r="D231" s="342">
        <v>16</v>
      </c>
      <c r="E231" s="343">
        <v>14</v>
      </c>
      <c r="F231" s="344">
        <v>4</v>
      </c>
      <c r="G231" s="344">
        <v>4</v>
      </c>
      <c r="H231" s="344"/>
      <c r="I231" s="344">
        <v>2</v>
      </c>
      <c r="J231" s="344"/>
      <c r="K231" s="344"/>
      <c r="L231" s="345"/>
      <c r="M231" s="267">
        <f t="shared" si="85"/>
        <v>2</v>
      </c>
      <c r="N231" s="269">
        <f t="shared" si="84"/>
        <v>16</v>
      </c>
      <c r="O231" s="269"/>
      <c r="P231" s="290"/>
      <c r="Q231" s="142"/>
    </row>
    <row r="232" spans="1:20" s="120" customFormat="1" ht="15.6" thickTop="1" thickBot="1">
      <c r="A232" s="74"/>
      <c r="B232" s="380"/>
      <c r="C232" s="143"/>
      <c r="D232" s="342"/>
      <c r="E232" s="343"/>
      <c r="F232" s="344"/>
      <c r="G232" s="344"/>
      <c r="H232" s="344"/>
      <c r="I232" s="344"/>
      <c r="J232" s="344"/>
      <c r="K232" s="344"/>
      <c r="L232" s="346"/>
      <c r="M232" s="267">
        <f t="shared" si="85"/>
        <v>0</v>
      </c>
      <c r="N232" s="269">
        <f t="shared" si="84"/>
        <v>0</v>
      </c>
      <c r="O232" s="269"/>
      <c r="P232" s="290"/>
      <c r="Q232" s="142"/>
    </row>
    <row r="233" spans="1:20" ht="15.6" thickTop="1" thickBot="1">
      <c r="A233" s="73"/>
      <c r="B233" s="380"/>
      <c r="C233" s="143"/>
      <c r="D233" s="266"/>
      <c r="E233" s="267"/>
      <c r="F233" s="268"/>
      <c r="G233" s="268"/>
      <c r="H233" s="268"/>
      <c r="I233" s="268"/>
      <c r="J233" s="268"/>
      <c r="K233" s="268"/>
      <c r="L233" s="346"/>
      <c r="M233" s="267">
        <f t="shared" si="85"/>
        <v>0</v>
      </c>
      <c r="N233" s="269">
        <f t="shared" si="84"/>
        <v>0</v>
      </c>
      <c r="O233" s="269"/>
      <c r="P233" s="290"/>
      <c r="Q233" s="142"/>
    </row>
    <row r="234" spans="1:20" ht="15.6" thickTop="1" thickBot="1">
      <c r="A234" s="73"/>
      <c r="B234" s="380"/>
      <c r="C234" s="136" t="s">
        <v>69</v>
      </c>
      <c r="D234" s="266">
        <f>SUM(D228:D233)</f>
        <v>97</v>
      </c>
      <c r="E234" s="267">
        <f>SUM(E228:E233)</f>
        <v>93</v>
      </c>
      <c r="F234" s="268">
        <f>SUM(F228:F233)</f>
        <v>14</v>
      </c>
      <c r="G234" s="268">
        <f t="shared" ref="G234:K234" si="86">SUM(G228:G233)</f>
        <v>32</v>
      </c>
      <c r="H234" s="268">
        <f t="shared" si="86"/>
        <v>0</v>
      </c>
      <c r="I234" s="268">
        <f t="shared" si="86"/>
        <v>5</v>
      </c>
      <c r="J234" s="268">
        <f t="shared" si="86"/>
        <v>5</v>
      </c>
      <c r="K234" s="268">
        <f t="shared" si="86"/>
        <v>0</v>
      </c>
      <c r="L234" s="347">
        <v>92963.56</v>
      </c>
      <c r="M234" s="267">
        <f>SUM(M228:M233)</f>
        <v>4</v>
      </c>
      <c r="N234" s="269">
        <f>SUM(N228:N233)</f>
        <v>97</v>
      </c>
      <c r="O234" s="129">
        <v>1</v>
      </c>
      <c r="P234" s="130">
        <v>3</v>
      </c>
      <c r="Q234" s="142"/>
    </row>
    <row r="235" spans="1:20" ht="15.6" thickTop="1" thickBot="1">
      <c r="A235" s="73"/>
      <c r="B235" s="380"/>
      <c r="C235" s="124" t="s">
        <v>45</v>
      </c>
      <c r="D235" s="272">
        <f>SUM(D228:D233)</f>
        <v>97</v>
      </c>
      <c r="E235" s="272">
        <f>SUM(E228:E233)</f>
        <v>93</v>
      </c>
      <c r="F235" s="381">
        <f>SUM(F234:K234)</f>
        <v>56</v>
      </c>
      <c r="G235" s="382"/>
      <c r="H235" s="382"/>
      <c r="I235" s="382"/>
      <c r="J235" s="382"/>
      <c r="K235" s="383"/>
      <c r="L235" s="348">
        <f>L234</f>
        <v>92963.56</v>
      </c>
      <c r="M235" s="272">
        <f>SUM(M228:M233)</f>
        <v>4</v>
      </c>
      <c r="N235" s="272">
        <f>SUM(N228:N233)</f>
        <v>97</v>
      </c>
      <c r="O235" s="272">
        <f>SUM(O234)</f>
        <v>1</v>
      </c>
      <c r="P235" s="275">
        <f>SUM(P234)</f>
        <v>3</v>
      </c>
      <c r="Q235" s="125"/>
      <c r="T235" s="145">
        <f>$V$3+L11+L19+L27+L35+L43+L51+L59+L67+L75+L83+L91+L99+L107+L115+L123+L131+L139+L147+L155+L163+L171+L179+L187+L195+L203+L211+L219+L227+L235</f>
        <v>10153165.790000001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43" t="s">
        <v>157</v>
      </c>
      <c r="D236" s="338">
        <v>0</v>
      </c>
      <c r="E236" s="339"/>
      <c r="F236" s="340"/>
      <c r="G236" s="340"/>
      <c r="H236" s="340"/>
      <c r="I236" s="340"/>
      <c r="J236" s="340"/>
      <c r="K236" s="340"/>
      <c r="L236" s="341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40"/>
    </row>
    <row r="237" spans="1:20" ht="15.6" thickTop="1" thickBot="1">
      <c r="A237" s="73"/>
      <c r="B237" s="380"/>
      <c r="C237" s="141" t="s">
        <v>48</v>
      </c>
      <c r="D237" s="342">
        <v>38</v>
      </c>
      <c r="E237" s="343">
        <v>34</v>
      </c>
      <c r="F237" s="344">
        <v>4</v>
      </c>
      <c r="G237" s="344">
        <v>13</v>
      </c>
      <c r="H237" s="344">
        <v>1</v>
      </c>
      <c r="I237" s="344">
        <v>1</v>
      </c>
      <c r="J237" s="344">
        <v>2</v>
      </c>
      <c r="K237" s="344"/>
      <c r="L237" s="345"/>
      <c r="M237" s="267">
        <f>SUM(D237-E237)</f>
        <v>4</v>
      </c>
      <c r="N237" s="269">
        <f t="shared" si="87"/>
        <v>38</v>
      </c>
      <c r="O237" s="269"/>
      <c r="P237" s="296"/>
      <c r="Q237" s="147"/>
    </row>
    <row r="238" spans="1:20" s="120" customFormat="1" ht="15.6" thickTop="1" thickBot="1">
      <c r="A238" s="74"/>
      <c r="B238" s="380"/>
      <c r="C238" s="141" t="s">
        <v>49</v>
      </c>
      <c r="D238" s="342">
        <v>37</v>
      </c>
      <c r="E238" s="343">
        <v>36</v>
      </c>
      <c r="F238" s="344">
        <v>2</v>
      </c>
      <c r="G238" s="344">
        <v>25</v>
      </c>
      <c r="H238" s="344"/>
      <c r="I238" s="344">
        <v>1</v>
      </c>
      <c r="J238" s="344">
        <v>1</v>
      </c>
      <c r="K238" s="344"/>
      <c r="L238" s="345"/>
      <c r="M238" s="267">
        <f t="shared" ref="M238:M241" si="88">SUM(D238-E238)</f>
        <v>1</v>
      </c>
      <c r="N238" s="269">
        <f t="shared" si="87"/>
        <v>37</v>
      </c>
      <c r="O238" s="269"/>
      <c r="P238" s="294"/>
      <c r="Q238" s="147"/>
    </row>
    <row r="239" spans="1:20" s="120" customFormat="1" ht="15.6" thickTop="1" thickBot="1">
      <c r="A239" s="74"/>
      <c r="B239" s="380"/>
      <c r="C239" s="143" t="s">
        <v>163</v>
      </c>
      <c r="D239" s="342">
        <v>9</v>
      </c>
      <c r="E239" s="343">
        <v>8</v>
      </c>
      <c r="F239" s="344">
        <v>1</v>
      </c>
      <c r="G239" s="344">
        <v>2</v>
      </c>
      <c r="H239" s="344"/>
      <c r="I239" s="344">
        <v>1</v>
      </c>
      <c r="J239" s="344">
        <v>1</v>
      </c>
      <c r="K239" s="344"/>
      <c r="L239" s="345"/>
      <c r="M239" s="267">
        <f t="shared" si="88"/>
        <v>1</v>
      </c>
      <c r="N239" s="269">
        <f t="shared" si="87"/>
        <v>9</v>
      </c>
      <c r="O239" s="269"/>
      <c r="P239" s="294"/>
      <c r="Q239" s="147"/>
    </row>
    <row r="240" spans="1:20" ht="15.6" thickTop="1" thickBot="1">
      <c r="A240" s="73"/>
      <c r="B240" s="380"/>
      <c r="C240" s="143"/>
      <c r="D240" s="342"/>
      <c r="E240" s="343"/>
      <c r="F240" s="344"/>
      <c r="G240" s="344"/>
      <c r="H240" s="344"/>
      <c r="I240" s="344"/>
      <c r="J240" s="344"/>
      <c r="K240" s="344"/>
      <c r="L240" s="346"/>
      <c r="M240" s="267">
        <f t="shared" si="88"/>
        <v>0</v>
      </c>
      <c r="N240" s="269">
        <f t="shared" si="87"/>
        <v>0</v>
      </c>
      <c r="O240" s="269"/>
      <c r="P240" s="290"/>
      <c r="Q240" s="142"/>
    </row>
    <row r="241" spans="1:20" ht="15.6" thickTop="1" thickBot="1">
      <c r="A241" s="73"/>
      <c r="B241" s="380"/>
      <c r="C241" s="143"/>
      <c r="D241" s="266"/>
      <c r="E241" s="267"/>
      <c r="F241" s="268"/>
      <c r="G241" s="268"/>
      <c r="H241" s="268"/>
      <c r="I241" s="268"/>
      <c r="J241" s="268"/>
      <c r="K241" s="268"/>
      <c r="L241" s="346"/>
      <c r="M241" s="267">
        <f t="shared" si="88"/>
        <v>0</v>
      </c>
      <c r="N241" s="269">
        <f t="shared" si="87"/>
        <v>0</v>
      </c>
      <c r="O241" s="269"/>
      <c r="P241" s="290"/>
      <c r="Q241" s="142"/>
    </row>
    <row r="242" spans="1:20" ht="15.6" thickTop="1" thickBot="1">
      <c r="A242" s="73"/>
      <c r="B242" s="380"/>
      <c r="C242" s="136" t="s">
        <v>69</v>
      </c>
      <c r="D242" s="266">
        <f>SUM(D236:D241)</f>
        <v>84</v>
      </c>
      <c r="E242" s="267">
        <f>SUM(E236:E241)</f>
        <v>78</v>
      </c>
      <c r="F242" s="268">
        <f>SUM(F236:F241)</f>
        <v>7</v>
      </c>
      <c r="G242" s="268">
        <f t="shared" ref="G242:K242" si="89">SUM(G236:G241)</f>
        <v>40</v>
      </c>
      <c r="H242" s="268">
        <f t="shared" si="89"/>
        <v>1</v>
      </c>
      <c r="I242" s="268">
        <f t="shared" si="89"/>
        <v>3</v>
      </c>
      <c r="J242" s="268">
        <f t="shared" si="89"/>
        <v>4</v>
      </c>
      <c r="K242" s="268">
        <f t="shared" si="89"/>
        <v>0</v>
      </c>
      <c r="L242" s="356">
        <v>512731.08</v>
      </c>
      <c r="M242" s="267">
        <f>SUM(M236:M241)</f>
        <v>6</v>
      </c>
      <c r="N242" s="269">
        <f>SUM(N236:N241)</f>
        <v>84</v>
      </c>
      <c r="O242" s="129">
        <v>6</v>
      </c>
      <c r="P242" s="130">
        <v>6</v>
      </c>
      <c r="Q242" s="142"/>
    </row>
    <row r="243" spans="1:20" ht="15.6" thickTop="1" thickBot="1">
      <c r="A243" s="73"/>
      <c r="B243" s="380"/>
      <c r="C243" s="124" t="s">
        <v>45</v>
      </c>
      <c r="D243" s="272">
        <f>SUM(D236:D241)</f>
        <v>84</v>
      </c>
      <c r="E243" s="272">
        <f>SUM(E236:E241)</f>
        <v>78</v>
      </c>
      <c r="F243" s="381">
        <f>SUM(F242:K242)</f>
        <v>55</v>
      </c>
      <c r="G243" s="382"/>
      <c r="H243" s="382"/>
      <c r="I243" s="382"/>
      <c r="J243" s="382"/>
      <c r="K243" s="383"/>
      <c r="L243" s="348">
        <f>L242</f>
        <v>512731.08</v>
      </c>
      <c r="M243" s="272">
        <f>SUM(M236:M241)</f>
        <v>6</v>
      </c>
      <c r="N243" s="272">
        <f>SUM(N236:N241)</f>
        <v>84</v>
      </c>
      <c r="O243" s="272">
        <f>SUM(O242)</f>
        <v>6</v>
      </c>
      <c r="P243" s="275">
        <f>SUM(P242)</f>
        <v>6</v>
      </c>
      <c r="Q243" s="125"/>
      <c r="T243" s="145">
        <f>$V$3+L11+L19+L27+L35+L43+L51+L59+L67+L75+L83+L91+L99+L107+L115+L123+L131+L139+L147+L155+L163+L171+L179+L187+L195+L203+L211+L219+L227+L235+L243</f>
        <v>10665896.870000001</v>
      </c>
    </row>
    <row r="244" spans="1:20" ht="15.6" thickTop="1" thickBot="1">
      <c r="A244" s="73" t="str">
        <f ca="1">OFFSET('0'!$B$112,($A$1-1)*10,$B244-1)</f>
        <v>SS</v>
      </c>
      <c r="B244" s="380">
        <f ca="1">OFFSET('0'!$B$111,($A$1-1)*10,30)</f>
        <v>31</v>
      </c>
      <c r="C244" s="143" t="s">
        <v>163</v>
      </c>
      <c r="D244" s="338">
        <v>0</v>
      </c>
      <c r="E244" s="339"/>
      <c r="F244" s="340"/>
      <c r="G244" s="340"/>
      <c r="H244" s="340"/>
      <c r="I244" s="340"/>
      <c r="J244" s="340"/>
      <c r="K244" s="340"/>
      <c r="L244" s="341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40"/>
    </row>
    <row r="245" spans="1:20" s="120" customFormat="1" ht="15.6" thickTop="1" thickBot="1">
      <c r="A245" s="74"/>
      <c r="B245" s="380"/>
      <c r="C245" s="141" t="s">
        <v>48</v>
      </c>
      <c r="D245" s="342">
        <v>8</v>
      </c>
      <c r="E245" s="343">
        <v>8</v>
      </c>
      <c r="F245" s="344">
        <v>1</v>
      </c>
      <c r="G245" s="344">
        <v>2</v>
      </c>
      <c r="H245" s="344"/>
      <c r="I245" s="344">
        <v>1</v>
      </c>
      <c r="J245" s="344"/>
      <c r="K245" s="344">
        <v>1</v>
      </c>
      <c r="L245" s="345"/>
      <c r="M245" s="267">
        <f>SUM(D245-E245)</f>
        <v>0</v>
      </c>
      <c r="N245" s="269">
        <f t="shared" si="90"/>
        <v>8</v>
      </c>
      <c r="O245" s="269"/>
      <c r="P245" s="296"/>
      <c r="Q245" s="147"/>
    </row>
    <row r="246" spans="1:20" s="120" customFormat="1" ht="15.6" thickTop="1" thickBot="1">
      <c r="A246" s="74"/>
      <c r="B246" s="380"/>
      <c r="C246" s="141" t="s">
        <v>160</v>
      </c>
      <c r="D246" s="342">
        <v>15</v>
      </c>
      <c r="E246" s="343">
        <v>15</v>
      </c>
      <c r="F246" s="344">
        <v>3</v>
      </c>
      <c r="G246" s="344">
        <v>1</v>
      </c>
      <c r="H246" s="344"/>
      <c r="I246" s="344">
        <v>1</v>
      </c>
      <c r="J246" s="344">
        <v>1</v>
      </c>
      <c r="K246" s="344"/>
      <c r="L246" s="345"/>
      <c r="M246" s="267">
        <f t="shared" ref="M246:M249" si="91">SUM(D246-E246)</f>
        <v>0</v>
      </c>
      <c r="N246" s="269">
        <f t="shared" si="90"/>
        <v>15</v>
      </c>
      <c r="O246" s="269"/>
      <c r="P246" s="294"/>
      <c r="Q246" s="147"/>
    </row>
    <row r="247" spans="1:20" s="120" customFormat="1" ht="15.6" thickTop="1" thickBot="1">
      <c r="A247" s="74"/>
      <c r="B247" s="380"/>
      <c r="C247" s="143" t="s">
        <v>60</v>
      </c>
      <c r="D247" s="342">
        <v>6</v>
      </c>
      <c r="E247" s="343">
        <v>5</v>
      </c>
      <c r="F247" s="344">
        <v>1</v>
      </c>
      <c r="G247" s="344"/>
      <c r="H247" s="344"/>
      <c r="I247" s="344"/>
      <c r="J247" s="344"/>
      <c r="K247" s="344"/>
      <c r="L247" s="345"/>
      <c r="M247" s="267">
        <f t="shared" si="91"/>
        <v>1</v>
      </c>
      <c r="N247" s="269">
        <f t="shared" si="90"/>
        <v>6</v>
      </c>
      <c r="O247" s="269"/>
      <c r="P247" s="294"/>
      <c r="Q247" s="147"/>
    </row>
    <row r="248" spans="1:20" ht="15.6" thickTop="1" thickBot="1">
      <c r="A248" s="73"/>
      <c r="B248" s="380"/>
      <c r="C248" s="143"/>
      <c r="D248" s="342"/>
      <c r="E248" s="343"/>
      <c r="F248" s="344"/>
      <c r="G248" s="344"/>
      <c r="H248" s="344"/>
      <c r="I248" s="344"/>
      <c r="J248" s="344"/>
      <c r="K248" s="344"/>
      <c r="L248" s="346"/>
      <c r="M248" s="267">
        <f t="shared" si="91"/>
        <v>0</v>
      </c>
      <c r="N248" s="269">
        <f t="shared" si="90"/>
        <v>0</v>
      </c>
      <c r="O248" s="269"/>
      <c r="P248" s="290"/>
      <c r="Q248" s="142"/>
    </row>
    <row r="249" spans="1:20" ht="15.6" thickTop="1" thickBot="1">
      <c r="A249" s="73"/>
      <c r="B249" s="380"/>
      <c r="C249" s="143"/>
      <c r="D249" s="266"/>
      <c r="E249" s="267"/>
      <c r="F249" s="268"/>
      <c r="G249" s="268"/>
      <c r="H249" s="268"/>
      <c r="I249" s="268"/>
      <c r="J249" s="268"/>
      <c r="K249" s="268"/>
      <c r="L249" s="346"/>
      <c r="M249" s="267">
        <f t="shared" si="91"/>
        <v>0</v>
      </c>
      <c r="N249" s="269">
        <f t="shared" si="90"/>
        <v>0</v>
      </c>
      <c r="O249" s="269"/>
      <c r="P249" s="290"/>
      <c r="Q249" s="142"/>
    </row>
    <row r="250" spans="1:20" ht="15.6" thickTop="1" thickBot="1">
      <c r="A250" s="73"/>
      <c r="B250" s="380"/>
      <c r="C250" s="136" t="s">
        <v>69</v>
      </c>
      <c r="D250" s="266">
        <f>SUM(D244:D249)</f>
        <v>29</v>
      </c>
      <c r="E250" s="267">
        <f>SUM(E244:E249)</f>
        <v>28</v>
      </c>
      <c r="F250" s="268">
        <f>SUM(F244:F249)</f>
        <v>5</v>
      </c>
      <c r="G250" s="268">
        <f t="shared" ref="G250:K250" si="92">SUM(G244:G249)</f>
        <v>3</v>
      </c>
      <c r="H250" s="268">
        <f t="shared" si="92"/>
        <v>0</v>
      </c>
      <c r="I250" s="268">
        <f t="shared" si="92"/>
        <v>2</v>
      </c>
      <c r="J250" s="268">
        <f t="shared" si="92"/>
        <v>1</v>
      </c>
      <c r="K250" s="268">
        <f t="shared" si="92"/>
        <v>1</v>
      </c>
      <c r="L250" s="347">
        <v>121076.34</v>
      </c>
      <c r="M250" s="267">
        <f>SUM(M244:M249)</f>
        <v>1</v>
      </c>
      <c r="N250" s="269">
        <f>SUM(N244:N249)</f>
        <v>29</v>
      </c>
      <c r="O250" s="129">
        <v>1</v>
      </c>
      <c r="P250" s="130"/>
      <c r="Q250" s="142"/>
    </row>
    <row r="251" spans="1:20" ht="15.6" thickTop="1" thickBot="1">
      <c r="A251" s="73"/>
      <c r="B251" s="380"/>
      <c r="C251" s="124" t="s">
        <v>45</v>
      </c>
      <c r="D251" s="272">
        <f>SUM(D244:D249)</f>
        <v>29</v>
      </c>
      <c r="E251" s="272">
        <f>SUM(E244:E249)</f>
        <v>28</v>
      </c>
      <c r="F251" s="381">
        <f>SUM(F250:K250)</f>
        <v>12</v>
      </c>
      <c r="G251" s="382"/>
      <c r="H251" s="382"/>
      <c r="I251" s="382"/>
      <c r="J251" s="382"/>
      <c r="K251" s="383"/>
      <c r="L251" s="274">
        <f>L250</f>
        <v>121076.34</v>
      </c>
      <c r="M251" s="272">
        <f>SUM(M244:M249)</f>
        <v>1</v>
      </c>
      <c r="N251" s="272">
        <f>SUM(N244:N249)</f>
        <v>29</v>
      </c>
      <c r="O251" s="272">
        <f>SUM(O250)</f>
        <v>1</v>
      </c>
      <c r="P251" s="275">
        <f>SUM(P250)</f>
        <v>0</v>
      </c>
      <c r="Q251" s="125"/>
      <c r="T251" s="145">
        <f>$V$3+L11+L19+L27+L35+L43+L51+L59+L67+L75+L83+L91+L99+L107+L115+L123+L131+L139+L147+L155+L163+L171+L179+L187+L195+L203+L211+L219+L227+L235+L243+L251</f>
        <v>10786973.210000001</v>
      </c>
    </row>
    <row r="252" spans="1:20" ht="15" thickTop="1">
      <c r="A252" s="72"/>
    </row>
    <row r="253" spans="1:20">
      <c r="C253" s="126" t="s">
        <v>31</v>
      </c>
      <c r="D253" s="117">
        <f t="shared" ref="D253:P253" si="93">SUM(D250,D242,D234,D226,D218,D210,D202,D194,D186,D178,D170,D162,D154,D146,D138,D130,D122,D114,D106,D98,D90,D82,D74,D66,D58,D50,D42,D34,D26,D18,D10)</f>
        <v>2122</v>
      </c>
      <c r="E253" s="298">
        <f t="shared" si="93"/>
        <v>2020</v>
      </c>
      <c r="F253" s="299">
        <f t="shared" si="93"/>
        <v>345</v>
      </c>
      <c r="G253" s="299">
        <f t="shared" si="93"/>
        <v>632</v>
      </c>
      <c r="H253" s="299">
        <f t="shared" si="93"/>
        <v>3</v>
      </c>
      <c r="I253" s="299">
        <f t="shared" si="93"/>
        <v>100</v>
      </c>
      <c r="J253" s="299">
        <f t="shared" si="93"/>
        <v>86</v>
      </c>
      <c r="K253" s="299">
        <f t="shared" si="93"/>
        <v>1</v>
      </c>
      <c r="L253" s="300">
        <f t="shared" si="93"/>
        <v>3452913.39</v>
      </c>
      <c r="M253" s="298">
        <f t="shared" si="93"/>
        <v>102</v>
      </c>
      <c r="N253" s="117">
        <f t="shared" si="93"/>
        <v>2122</v>
      </c>
      <c r="O253" s="117">
        <f t="shared" si="93"/>
        <v>59</v>
      </c>
      <c r="P253" s="117">
        <f t="shared" si="93"/>
        <v>139</v>
      </c>
    </row>
    <row r="254" spans="1:20">
      <c r="C254" s="126" t="s">
        <v>57</v>
      </c>
      <c r="D254" s="287">
        <f>D253</f>
        <v>2122</v>
      </c>
      <c r="E254" s="287">
        <f>E253</f>
        <v>2020</v>
      </c>
      <c r="F254" s="377">
        <f>SUM(F251,F243,F235,F227,F219,F211,F203,F195,F187,F179,F171,F163,F155,F147,F139,F131,F123,F115,F107,F99,F91,F83,F75,F67,F59,F51,F43,F35,F27,F19,F11)</f>
        <v>1167</v>
      </c>
      <c r="G254" s="378"/>
      <c r="H254" s="378"/>
      <c r="I254" s="378"/>
      <c r="J254" s="378"/>
      <c r="K254" s="379"/>
      <c r="L254" s="288">
        <f>L253</f>
        <v>3452913.39</v>
      </c>
    </row>
  </sheetData>
  <mergeCells count="75">
    <mergeCell ref="F254:K254"/>
    <mergeCell ref="B220:B227"/>
    <mergeCell ref="F227:K227"/>
    <mergeCell ref="B228:B235"/>
    <mergeCell ref="F235:K235"/>
    <mergeCell ref="B236:B243"/>
    <mergeCell ref="F243:K243"/>
    <mergeCell ref="B204:B211"/>
    <mergeCell ref="F211:K211"/>
    <mergeCell ref="B212:B219"/>
    <mergeCell ref="F219:K219"/>
    <mergeCell ref="B244:B251"/>
    <mergeCell ref="F251:K251"/>
    <mergeCell ref="B180:B187"/>
    <mergeCell ref="F187:K187"/>
    <mergeCell ref="B188:B195"/>
    <mergeCell ref="F195:K195"/>
    <mergeCell ref="B196:B203"/>
    <mergeCell ref="F203:K203"/>
    <mergeCell ref="B156:B163"/>
    <mergeCell ref="F163:K163"/>
    <mergeCell ref="B164:B171"/>
    <mergeCell ref="F171:K171"/>
    <mergeCell ref="B172:B179"/>
    <mergeCell ref="F179:K179"/>
    <mergeCell ref="B132:B139"/>
    <mergeCell ref="F139:K139"/>
    <mergeCell ref="B140:B147"/>
    <mergeCell ref="F147:K147"/>
    <mergeCell ref="B148:B155"/>
    <mergeCell ref="F155:K155"/>
    <mergeCell ref="B108:B115"/>
    <mergeCell ref="F115:K115"/>
    <mergeCell ref="B116:B123"/>
    <mergeCell ref="F123:K123"/>
    <mergeCell ref="B124:B131"/>
    <mergeCell ref="F131:K131"/>
    <mergeCell ref="B84:B91"/>
    <mergeCell ref="F91:K91"/>
    <mergeCell ref="B92:B99"/>
    <mergeCell ref="F99:K99"/>
    <mergeCell ref="B100:B107"/>
    <mergeCell ref="F107:K107"/>
    <mergeCell ref="B60:B67"/>
    <mergeCell ref="F67:K67"/>
    <mergeCell ref="B68:B75"/>
    <mergeCell ref="F75:K75"/>
    <mergeCell ref="B76:B83"/>
    <mergeCell ref="F83:K83"/>
    <mergeCell ref="B36:B43"/>
    <mergeCell ref="F43:K43"/>
    <mergeCell ref="B44:B51"/>
    <mergeCell ref="F51:K51"/>
    <mergeCell ref="B52:B59"/>
    <mergeCell ref="F59:K59"/>
    <mergeCell ref="B12:B19"/>
    <mergeCell ref="F19:K19"/>
    <mergeCell ref="B20:B27"/>
    <mergeCell ref="F27:K27"/>
    <mergeCell ref="B28:B35"/>
    <mergeCell ref="F35:K35"/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</mergeCells>
  <conditionalFormatting sqref="B12:B19">
    <cfRule type="expression" dxfId="288" priority="32">
      <formula>$A12&lt;&gt;"--"</formula>
    </cfRule>
  </conditionalFormatting>
  <conditionalFormatting sqref="B20:B27">
    <cfRule type="expression" dxfId="287" priority="31">
      <formula>$A20&lt;&gt;"--"</formula>
    </cfRule>
  </conditionalFormatting>
  <conditionalFormatting sqref="B28:B35">
    <cfRule type="expression" dxfId="286" priority="30">
      <formula>$A28&lt;&gt;"--"</formula>
    </cfRule>
  </conditionalFormatting>
  <conditionalFormatting sqref="B36:B43">
    <cfRule type="expression" dxfId="285" priority="29">
      <formula>$A36&lt;&gt;"--"</formula>
    </cfRule>
  </conditionalFormatting>
  <conditionalFormatting sqref="B44:B51">
    <cfRule type="expression" dxfId="284" priority="28">
      <formula>$A44&lt;&gt;"--"</formula>
    </cfRule>
  </conditionalFormatting>
  <conditionalFormatting sqref="B52:B59">
    <cfRule type="expression" dxfId="283" priority="27">
      <formula>$A52&lt;&gt;"--"</formula>
    </cfRule>
  </conditionalFormatting>
  <conditionalFormatting sqref="B60:B67">
    <cfRule type="expression" dxfId="282" priority="26">
      <formula>$A60&lt;&gt;"--"</formula>
    </cfRule>
  </conditionalFormatting>
  <conditionalFormatting sqref="B68:B75">
    <cfRule type="expression" dxfId="281" priority="25">
      <formula>$A68&lt;&gt;"--"</formula>
    </cfRule>
  </conditionalFormatting>
  <conditionalFormatting sqref="B76:B83">
    <cfRule type="expression" dxfId="280" priority="24">
      <formula>$A76&lt;&gt;"--"</formula>
    </cfRule>
  </conditionalFormatting>
  <conditionalFormatting sqref="B84:B91">
    <cfRule type="expression" dxfId="279" priority="23">
      <formula>$A84&lt;&gt;"--"</formula>
    </cfRule>
  </conditionalFormatting>
  <conditionalFormatting sqref="B92:B99">
    <cfRule type="expression" dxfId="278" priority="22">
      <formula>$A92&lt;&gt;"--"</formula>
    </cfRule>
  </conditionalFormatting>
  <conditionalFormatting sqref="B100:B107">
    <cfRule type="expression" dxfId="277" priority="21">
      <formula>$A100&lt;&gt;"--"</formula>
    </cfRule>
  </conditionalFormatting>
  <conditionalFormatting sqref="B108:B115">
    <cfRule type="expression" dxfId="276" priority="20">
      <formula>$A108&lt;&gt;"--"</formula>
    </cfRule>
  </conditionalFormatting>
  <conditionalFormatting sqref="B116:B123">
    <cfRule type="expression" dxfId="275" priority="19">
      <formula>$A116&lt;&gt;"--"</formula>
    </cfRule>
  </conditionalFormatting>
  <conditionalFormatting sqref="B124:B131">
    <cfRule type="expression" dxfId="274" priority="18">
      <formula>$A124&lt;&gt;"--"</formula>
    </cfRule>
  </conditionalFormatting>
  <conditionalFormatting sqref="B132:B139">
    <cfRule type="expression" dxfId="273" priority="17">
      <formula>$A132&lt;&gt;"--"</formula>
    </cfRule>
  </conditionalFormatting>
  <conditionalFormatting sqref="B140:B147">
    <cfRule type="expression" dxfId="272" priority="16">
      <formula>$A140&lt;&gt;"--"</formula>
    </cfRule>
  </conditionalFormatting>
  <conditionalFormatting sqref="B148:B155">
    <cfRule type="expression" dxfId="271" priority="15">
      <formula>$A148&lt;&gt;"--"</formula>
    </cfRule>
  </conditionalFormatting>
  <conditionalFormatting sqref="B156:B163">
    <cfRule type="expression" dxfId="270" priority="14">
      <formula>$A156&lt;&gt;"--"</formula>
    </cfRule>
  </conditionalFormatting>
  <conditionalFormatting sqref="B164:B171">
    <cfRule type="expression" dxfId="269" priority="13">
      <formula>$A164&lt;&gt;"--"</formula>
    </cfRule>
  </conditionalFormatting>
  <conditionalFormatting sqref="B172:B179">
    <cfRule type="expression" dxfId="268" priority="12">
      <formula>$A172&lt;&gt;"--"</formula>
    </cfRule>
  </conditionalFormatting>
  <conditionalFormatting sqref="B180:B187">
    <cfRule type="expression" dxfId="267" priority="11">
      <formula>$A180&lt;&gt;"--"</formula>
    </cfRule>
  </conditionalFormatting>
  <conditionalFormatting sqref="B188:B195">
    <cfRule type="expression" dxfId="266" priority="10">
      <formula>$A188&lt;&gt;"--"</formula>
    </cfRule>
  </conditionalFormatting>
  <conditionalFormatting sqref="B196:B203">
    <cfRule type="expression" dxfId="265" priority="9">
      <formula>$A196&lt;&gt;"--"</formula>
    </cfRule>
  </conditionalFormatting>
  <conditionalFormatting sqref="B204:B211">
    <cfRule type="expression" dxfId="264" priority="8">
      <formula>$A204&lt;&gt;"--"</formula>
    </cfRule>
  </conditionalFormatting>
  <conditionalFormatting sqref="B212:B219">
    <cfRule type="expression" dxfId="263" priority="7">
      <formula>$A212&lt;&gt;"--"</formula>
    </cfRule>
  </conditionalFormatting>
  <conditionalFormatting sqref="B220:B227">
    <cfRule type="expression" dxfId="262" priority="6">
      <formula>$A220&lt;&gt;"--"</formula>
    </cfRule>
  </conditionalFormatting>
  <conditionalFormatting sqref="B228:B251">
    <cfRule type="expression" dxfId="261" priority="5">
      <formula>$A228&lt;&gt;"--"</formula>
    </cfRule>
  </conditionalFormatting>
  <conditionalFormatting sqref="B236:B243">
    <cfRule type="expression" dxfId="260" priority="4">
      <formula>$A236&lt;&gt;"--"</formula>
    </cfRule>
  </conditionalFormatting>
  <conditionalFormatting sqref="B244:B251">
    <cfRule type="expression" dxfId="259" priority="3">
      <formula>$A244&lt;&gt;"--"</formula>
    </cfRule>
  </conditionalFormatting>
  <conditionalFormatting sqref="B4:B11">
    <cfRule type="expression" dxfId="258" priority="2">
      <formula>$A4&lt;&gt;"--"</formula>
    </cfRule>
  </conditionalFormatting>
  <conditionalFormatting sqref="B228:B251">
    <cfRule type="cellIs" dxfId="257" priority="1" operator="lessThan">
      <formula>0</formula>
    </cfRule>
  </conditionalFormatting>
  <dataValidations count="1">
    <dataValidation type="list" allowBlank="1" showInputMessage="1" showErrorMessage="1" sqref="C4:C9 C236:C241 C228:C233 C220:C225 C212:C217 C204:C209 C196:C201 C188:C193 C180:C185 C172:C177 C164:C169 C156:C161 C148:C153 C140:C145 C132:C137 C124:C129 C116:C121 C108:C113 C100:C105 C92:C97 C84:C89 C76:C81 C68:C73 C60:C65 C52:C57 C44:C49 C36:C41 C28:C33 C20:C25 C12:C17 C244:C24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V254"/>
  <sheetViews>
    <sheetView topLeftCell="K1" workbookViewId="0">
      <selection activeCell="U5" sqref="U5:V16"/>
    </sheetView>
  </sheetViews>
  <sheetFormatPr defaultColWidth="15.109375" defaultRowHeight="14.4"/>
  <cols>
    <col min="1" max="2" width="15.109375" style="119"/>
    <col min="3" max="3" width="22.109375" style="120" customWidth="1"/>
    <col min="4" max="11" width="15.109375" style="119"/>
    <col min="12" max="12" width="12.88671875" style="66" customWidth="1"/>
    <col min="13" max="14" width="10.109375" style="121" customWidth="1"/>
    <col min="15" max="16" width="10.109375" style="120" customWidth="1"/>
    <col min="17" max="17" width="22" style="120" customWidth="1"/>
    <col min="18" max="19" width="15.109375" style="119"/>
    <col min="20" max="20" width="26" style="120" customWidth="1"/>
    <col min="21" max="16384" width="15.109375" style="119"/>
  </cols>
  <sheetData>
    <row r="1" spans="1:22">
      <c r="A1" s="119">
        <v>6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22" t="s">
        <v>10</v>
      </c>
      <c r="G3" s="122" t="s">
        <v>11</v>
      </c>
      <c r="H3" s="122" t="s">
        <v>12</v>
      </c>
      <c r="I3" s="122" t="s">
        <v>13</v>
      </c>
      <c r="J3" s="122" t="s">
        <v>14</v>
      </c>
      <c r="K3" s="122" t="s">
        <v>44</v>
      </c>
      <c r="L3" s="387"/>
      <c r="M3" s="385"/>
      <c r="N3" s="388"/>
      <c r="O3" s="388"/>
      <c r="P3" s="389"/>
      <c r="Q3" s="390"/>
      <c r="T3" s="384"/>
      <c r="U3" s="119" t="s">
        <v>168</v>
      </c>
      <c r="V3" s="160">
        <f>SUM('Bendras metų'!V6:V10)</f>
        <v>10786973.209999999</v>
      </c>
    </row>
    <row r="4" spans="1:22" ht="16.5" customHeight="1" thickTop="1">
      <c r="A4" s="73" t="str">
        <f ca="1">OFFSET('0'!$B$112,($A$1-1)*10,$B4-1)</f>
        <v>SK</v>
      </c>
      <c r="B4" s="391">
        <f ca="1">OFFSET('0'!$B$111,($A$1-1)*10,0)</f>
        <v>1</v>
      </c>
      <c r="C4" s="137" t="s">
        <v>60</v>
      </c>
      <c r="D4" s="338">
        <v>1</v>
      </c>
      <c r="E4" s="339">
        <v>1</v>
      </c>
      <c r="F4" s="340">
        <v>1</v>
      </c>
      <c r="G4" s="340"/>
      <c r="H4" s="340"/>
      <c r="I4" s="340"/>
      <c r="J4" s="340">
        <v>1</v>
      </c>
      <c r="K4" s="340"/>
      <c r="L4" s="304"/>
      <c r="M4" s="302">
        <f>SUM(D4-E4)</f>
        <v>0</v>
      </c>
      <c r="N4" s="305">
        <f t="shared" ref="N4:N9" si="0">SUM(E4,M4)</f>
        <v>1</v>
      </c>
      <c r="O4" s="305"/>
      <c r="P4" s="306"/>
      <c r="Q4" s="140"/>
      <c r="T4" s="384"/>
    </row>
    <row r="5" spans="1:22">
      <c r="A5" s="73"/>
      <c r="B5" s="392"/>
      <c r="C5" s="141" t="s">
        <v>56</v>
      </c>
      <c r="D5" s="342">
        <v>4</v>
      </c>
      <c r="E5" s="343">
        <v>3</v>
      </c>
      <c r="F5" s="344"/>
      <c r="G5" s="344"/>
      <c r="H5" s="344"/>
      <c r="I5" s="344"/>
      <c r="J5" s="344">
        <v>1</v>
      </c>
      <c r="K5" s="344"/>
      <c r="L5" s="289"/>
      <c r="M5" s="267">
        <f>SUM(D5-E5)</f>
        <v>1</v>
      </c>
      <c r="N5" s="269">
        <f t="shared" si="0"/>
        <v>4</v>
      </c>
      <c r="O5" s="269"/>
      <c r="P5" s="290"/>
      <c r="Q5" s="142"/>
    </row>
    <row r="6" spans="1:22">
      <c r="A6" s="73"/>
      <c r="B6" s="392"/>
      <c r="C6" s="141" t="s">
        <v>46</v>
      </c>
      <c r="D6" s="342">
        <v>6</v>
      </c>
      <c r="E6" s="343">
        <v>6</v>
      </c>
      <c r="F6" s="344">
        <v>1</v>
      </c>
      <c r="G6" s="344"/>
      <c r="H6" s="344"/>
      <c r="I6" s="344"/>
      <c r="J6" s="344"/>
      <c r="K6" s="344"/>
      <c r="L6" s="289"/>
      <c r="M6" s="267">
        <f t="shared" ref="M6:M9" si="1">SUM(D6-E6)</f>
        <v>0</v>
      </c>
      <c r="N6" s="269">
        <f t="shared" si="0"/>
        <v>6</v>
      </c>
      <c r="O6" s="269"/>
      <c r="P6" s="290"/>
      <c r="Q6" s="142"/>
      <c r="V6" s="86"/>
    </row>
    <row r="7" spans="1:22">
      <c r="A7" s="73"/>
      <c r="B7" s="392"/>
      <c r="C7" s="143" t="s">
        <v>161</v>
      </c>
      <c r="D7" s="342">
        <v>11</v>
      </c>
      <c r="E7" s="343">
        <v>11</v>
      </c>
      <c r="F7" s="344">
        <v>6</v>
      </c>
      <c r="G7" s="344"/>
      <c r="H7" s="344"/>
      <c r="I7" s="344">
        <v>4</v>
      </c>
      <c r="J7" s="344">
        <v>2</v>
      </c>
      <c r="K7" s="344"/>
      <c r="L7" s="289"/>
      <c r="M7" s="267">
        <f t="shared" si="1"/>
        <v>0</v>
      </c>
      <c r="N7" s="269">
        <f t="shared" si="0"/>
        <v>11</v>
      </c>
      <c r="O7" s="269"/>
      <c r="P7" s="290"/>
      <c r="Q7" s="142"/>
      <c r="V7" s="86"/>
    </row>
    <row r="8" spans="1:22">
      <c r="A8" s="73"/>
      <c r="B8" s="392"/>
      <c r="C8" s="143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42"/>
      <c r="V8" s="86"/>
    </row>
    <row r="9" spans="1:22" ht="15" thickBot="1">
      <c r="A9" s="73"/>
      <c r="B9" s="392"/>
      <c r="C9" s="143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42"/>
      <c r="V9" s="86"/>
    </row>
    <row r="10" spans="1:22" ht="15" thickBot="1">
      <c r="A10" s="73"/>
      <c r="B10" s="392"/>
      <c r="C10" s="144" t="s">
        <v>69</v>
      </c>
      <c r="D10" s="266">
        <f>SUM(D4:D9)</f>
        <v>22</v>
      </c>
      <c r="E10" s="267">
        <f>SUM(E4:E9)</f>
        <v>21</v>
      </c>
      <c r="F10" s="268">
        <f>SUM(F4:F9)</f>
        <v>8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4</v>
      </c>
      <c r="J10" s="268">
        <f t="shared" si="2"/>
        <v>4</v>
      </c>
      <c r="K10" s="268">
        <f t="shared" si="2"/>
        <v>0</v>
      </c>
      <c r="L10" s="347">
        <v>34315.269999999997</v>
      </c>
      <c r="M10" s="267">
        <f>SUM(M4:M9)</f>
        <v>1</v>
      </c>
      <c r="N10" s="269">
        <f>SUM(N4:N9)</f>
        <v>22</v>
      </c>
      <c r="O10" s="155">
        <v>0</v>
      </c>
      <c r="P10" s="91">
        <v>2</v>
      </c>
      <c r="Q10" s="142"/>
      <c r="V10" s="86"/>
    </row>
    <row r="11" spans="1:22" ht="15" thickBot="1">
      <c r="A11" s="73"/>
      <c r="B11" s="393"/>
      <c r="C11" s="124" t="s">
        <v>45</v>
      </c>
      <c r="D11" s="272">
        <f>SUM(D4:D9)</f>
        <v>22</v>
      </c>
      <c r="E11" s="272">
        <f>SUM(E4:E9)</f>
        <v>21</v>
      </c>
      <c r="F11" s="381">
        <f>SUM(F10:K10)</f>
        <v>16</v>
      </c>
      <c r="G11" s="382"/>
      <c r="H11" s="382"/>
      <c r="I11" s="382"/>
      <c r="J11" s="382"/>
      <c r="K11" s="383"/>
      <c r="L11" s="274">
        <f>L10</f>
        <v>34315.269999999997</v>
      </c>
      <c r="M11" s="272">
        <f>SUM(M4:M9)</f>
        <v>1</v>
      </c>
      <c r="N11" s="272">
        <f>SUM(N4:N9)</f>
        <v>22</v>
      </c>
      <c r="O11" s="272">
        <f>SUM(O10)</f>
        <v>0</v>
      </c>
      <c r="P11" s="275">
        <f>SUM(P10)</f>
        <v>2</v>
      </c>
      <c r="Q11" s="125"/>
      <c r="T11" s="145">
        <f>$V$3+L11</f>
        <v>10821288.479999999</v>
      </c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143" t="s">
        <v>161</v>
      </c>
      <c r="D12" s="338">
        <v>2</v>
      </c>
      <c r="E12" s="339">
        <v>2</v>
      </c>
      <c r="F12" s="340">
        <v>1</v>
      </c>
      <c r="G12" s="340"/>
      <c r="H12" s="340"/>
      <c r="I12" s="340"/>
      <c r="J12" s="340"/>
      <c r="K12" s="340"/>
      <c r="L12" s="341"/>
      <c r="M12" s="302">
        <f>SUM(D12-E12)</f>
        <v>0</v>
      </c>
      <c r="N12" s="305">
        <f t="shared" ref="N12:N17" si="3">SUM(E12,M12)</f>
        <v>2</v>
      </c>
      <c r="O12" s="305"/>
      <c r="P12" s="292"/>
      <c r="Q12" s="147"/>
    </row>
    <row r="13" spans="1:22" ht="17.25" customHeight="1">
      <c r="A13" s="73"/>
      <c r="B13" s="392"/>
      <c r="C13" s="141" t="s">
        <v>56</v>
      </c>
      <c r="D13" s="342">
        <v>28</v>
      </c>
      <c r="E13" s="343">
        <v>27</v>
      </c>
      <c r="F13" s="344">
        <v>5</v>
      </c>
      <c r="G13" s="344">
        <v>6</v>
      </c>
      <c r="H13" s="344"/>
      <c r="I13" s="344">
        <v>3</v>
      </c>
      <c r="J13" s="344">
        <v>3</v>
      </c>
      <c r="K13" s="344"/>
      <c r="L13" s="345"/>
      <c r="M13" s="267">
        <f>SUM(D13-E13)</f>
        <v>1</v>
      </c>
      <c r="N13" s="269">
        <f t="shared" si="3"/>
        <v>28</v>
      </c>
      <c r="O13" s="269"/>
      <c r="P13" s="290"/>
      <c r="Q13" s="142"/>
    </row>
    <row r="14" spans="1:22">
      <c r="A14" s="73"/>
      <c r="B14" s="392"/>
      <c r="C14" s="141" t="s">
        <v>158</v>
      </c>
      <c r="D14" s="266">
        <v>42</v>
      </c>
      <c r="E14" s="267">
        <v>40</v>
      </c>
      <c r="F14" s="268">
        <v>3</v>
      </c>
      <c r="G14" s="268">
        <v>10</v>
      </c>
      <c r="H14" s="268"/>
      <c r="I14" s="268">
        <v>4</v>
      </c>
      <c r="J14" s="268"/>
      <c r="K14" s="268"/>
      <c r="L14" s="345"/>
      <c r="M14" s="267">
        <f t="shared" ref="M14:M17" si="4">SUM(D14-E14)</f>
        <v>2</v>
      </c>
      <c r="N14" s="269">
        <f t="shared" si="3"/>
        <v>42</v>
      </c>
      <c r="O14" s="269"/>
      <c r="P14" s="290"/>
      <c r="Q14" s="142"/>
    </row>
    <row r="15" spans="1:22">
      <c r="A15" s="73"/>
      <c r="B15" s="392"/>
      <c r="C15" s="143" t="s">
        <v>54</v>
      </c>
      <c r="D15" s="342">
        <v>19</v>
      </c>
      <c r="E15" s="343">
        <v>19</v>
      </c>
      <c r="F15" s="344">
        <v>4</v>
      </c>
      <c r="G15" s="344">
        <v>1</v>
      </c>
      <c r="H15" s="344"/>
      <c r="I15" s="344">
        <v>2</v>
      </c>
      <c r="J15" s="344">
        <v>2</v>
      </c>
      <c r="K15" s="344"/>
      <c r="L15" s="345"/>
      <c r="M15" s="267">
        <f t="shared" si="4"/>
        <v>0</v>
      </c>
      <c r="N15" s="269">
        <f t="shared" si="3"/>
        <v>19</v>
      </c>
      <c r="O15" s="269"/>
      <c r="P15" s="290"/>
      <c r="Q15" s="142"/>
    </row>
    <row r="16" spans="1:22">
      <c r="A16" s="73"/>
      <c r="B16" s="392"/>
      <c r="C16" s="143"/>
      <c r="D16" s="342"/>
      <c r="E16" s="343"/>
      <c r="F16" s="344"/>
      <c r="G16" s="344"/>
      <c r="H16" s="344"/>
      <c r="I16" s="344"/>
      <c r="J16" s="344"/>
      <c r="K16" s="344"/>
      <c r="L16" s="346"/>
      <c r="M16" s="267">
        <f t="shared" si="4"/>
        <v>0</v>
      </c>
      <c r="N16" s="279">
        <f t="shared" si="3"/>
        <v>0</v>
      </c>
      <c r="O16" s="279"/>
      <c r="P16" s="292"/>
      <c r="Q16" s="148"/>
    </row>
    <row r="17" spans="1:22" ht="15" thickBot="1">
      <c r="A17" s="73"/>
      <c r="B17" s="392"/>
      <c r="C17" s="143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48"/>
      <c r="U17" s="83"/>
      <c r="V17" s="84"/>
    </row>
    <row r="18" spans="1:22" ht="15" thickBot="1">
      <c r="A18" s="73"/>
      <c r="B18" s="392"/>
      <c r="C18" s="144" t="s">
        <v>69</v>
      </c>
      <c r="D18" s="266">
        <f>SUM(D12:D17)</f>
        <v>91</v>
      </c>
      <c r="E18" s="267">
        <f>SUM(E12:E17)</f>
        <v>88</v>
      </c>
      <c r="F18" s="268">
        <f>SUM(F12:F17)</f>
        <v>13</v>
      </c>
      <c r="G18" s="268">
        <f t="shared" ref="G18:K18" si="5">SUM(G12:G17)</f>
        <v>17</v>
      </c>
      <c r="H18" s="268">
        <f t="shared" si="5"/>
        <v>0</v>
      </c>
      <c r="I18" s="268">
        <f t="shared" si="5"/>
        <v>9</v>
      </c>
      <c r="J18" s="268">
        <f t="shared" si="5"/>
        <v>5</v>
      </c>
      <c r="K18" s="268">
        <f t="shared" si="5"/>
        <v>0</v>
      </c>
      <c r="L18" s="347">
        <v>261259.33</v>
      </c>
      <c r="M18" s="267">
        <f>SUM(M12:M17)</f>
        <v>3</v>
      </c>
      <c r="N18" s="280">
        <f>SUM(N12:N17)</f>
        <v>91</v>
      </c>
      <c r="O18" s="65">
        <v>4</v>
      </c>
      <c r="P18" s="71">
        <v>8</v>
      </c>
      <c r="Q18" s="148"/>
      <c r="U18" s="85"/>
      <c r="V18" s="85"/>
    </row>
    <row r="19" spans="1:22" ht="15" thickBot="1">
      <c r="A19" s="73"/>
      <c r="B19" s="393"/>
      <c r="C19" s="124" t="s">
        <v>45</v>
      </c>
      <c r="D19" s="272">
        <f>SUM(D12:D17)</f>
        <v>91</v>
      </c>
      <c r="E19" s="272">
        <f>SUM(E12:E17)</f>
        <v>88</v>
      </c>
      <c r="F19" s="381">
        <f>SUM(F18:K18)</f>
        <v>44</v>
      </c>
      <c r="G19" s="382"/>
      <c r="H19" s="382"/>
      <c r="I19" s="382"/>
      <c r="J19" s="382"/>
      <c r="K19" s="383"/>
      <c r="L19" s="274">
        <f>L18</f>
        <v>261259.33</v>
      </c>
      <c r="M19" s="272">
        <f>SUM(M12:M17)</f>
        <v>3</v>
      </c>
      <c r="N19" s="272">
        <f>SUM(N12:N17)</f>
        <v>91</v>
      </c>
      <c r="O19" s="272">
        <f>SUM(O18)</f>
        <v>4</v>
      </c>
      <c r="P19" s="275">
        <f>SUM(P18)</f>
        <v>8</v>
      </c>
      <c r="Q19" s="125"/>
      <c r="T19" s="145">
        <f>$V$3+L11+L19</f>
        <v>11082547.809999999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43" t="s">
        <v>54</v>
      </c>
      <c r="D20" s="338">
        <v>1</v>
      </c>
      <c r="E20" s="339">
        <v>1</v>
      </c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1</v>
      </c>
      <c r="O20" s="305"/>
      <c r="P20" s="306"/>
      <c r="Q20" s="140"/>
    </row>
    <row r="21" spans="1:22" ht="15.6" thickTop="1" thickBot="1">
      <c r="A21" s="73"/>
      <c r="B21" s="380"/>
      <c r="C21" s="141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42"/>
    </row>
    <row r="22" spans="1:22" ht="15.6" thickTop="1" thickBot="1">
      <c r="A22" s="73"/>
      <c r="B22" s="380"/>
      <c r="C22" s="141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42"/>
    </row>
    <row r="23" spans="1:22" ht="15.6" thickTop="1" thickBot="1">
      <c r="A23" s="73"/>
      <c r="B23" s="380"/>
      <c r="C23" s="143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42"/>
    </row>
    <row r="24" spans="1:22" ht="15.6" thickTop="1" thickBot="1">
      <c r="A24" s="73"/>
      <c r="B24" s="380"/>
      <c r="C24" s="143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48"/>
    </row>
    <row r="25" spans="1:22" ht="15.6" thickTop="1" thickBot="1">
      <c r="A25" s="73"/>
      <c r="B25" s="380"/>
      <c r="C25" s="143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48"/>
    </row>
    <row r="26" spans="1:22" ht="15.6" thickTop="1" thickBot="1">
      <c r="A26" s="73"/>
      <c r="B26" s="380"/>
      <c r="C26" s="144" t="s">
        <v>69</v>
      </c>
      <c r="D26" s="266">
        <f>SUM(D20:D25)</f>
        <v>1</v>
      </c>
      <c r="E26" s="267">
        <f>SUM(E20:E25)</f>
        <v>1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1</v>
      </c>
      <c r="O26" s="65"/>
      <c r="P26" s="71"/>
      <c r="Q26" s="148"/>
    </row>
    <row r="27" spans="1:22" ht="15.6" thickTop="1" thickBot="1">
      <c r="A27" s="73"/>
      <c r="B27" s="380"/>
      <c r="C27" s="132" t="s">
        <v>45</v>
      </c>
      <c r="D27" s="281">
        <f>SUM(D20:D25)</f>
        <v>1</v>
      </c>
      <c r="E27" s="281">
        <f>SUM(E20:E25)</f>
        <v>1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1</v>
      </c>
      <c r="O27" s="272">
        <f>SUM(O26)</f>
        <v>0</v>
      </c>
      <c r="P27" s="275">
        <f>SUM(P26)</f>
        <v>0</v>
      </c>
      <c r="Q27" s="133"/>
      <c r="T27" s="145">
        <f>$V$3++L11+L19+L27</f>
        <v>11082547.809999999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37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40"/>
    </row>
    <row r="29" spans="1:22" ht="17.25" customHeight="1" thickTop="1" thickBot="1">
      <c r="A29" s="73"/>
      <c r="B29" s="380"/>
      <c r="C29" s="141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42"/>
    </row>
    <row r="30" spans="1:22" ht="17.25" customHeight="1" thickTop="1" thickBot="1">
      <c r="A30" s="73"/>
      <c r="B30" s="380"/>
      <c r="C30" s="141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42"/>
    </row>
    <row r="31" spans="1:22" ht="17.25" customHeight="1" thickTop="1" thickBot="1">
      <c r="A31" s="73"/>
      <c r="B31" s="380"/>
      <c r="C31" s="143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42"/>
    </row>
    <row r="32" spans="1:22" ht="15.6" thickTop="1" thickBot="1">
      <c r="A32" s="73"/>
      <c r="B32" s="380"/>
      <c r="C32" s="143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42"/>
    </row>
    <row r="33" spans="1:20" ht="15.6" thickTop="1" thickBot="1">
      <c r="A33" s="73"/>
      <c r="B33" s="380"/>
      <c r="C33" s="143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42"/>
    </row>
    <row r="34" spans="1:20" ht="15.6" thickTop="1" thickBot="1">
      <c r="A34" s="73"/>
      <c r="B34" s="380"/>
      <c r="C34" s="144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55"/>
      <c r="P34" s="91"/>
      <c r="Q34" s="142"/>
    </row>
    <row r="35" spans="1:20" ht="15.6" thickTop="1" thickBot="1">
      <c r="A35" s="73"/>
      <c r="B35" s="380"/>
      <c r="C35" s="124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25"/>
      <c r="T35" s="145">
        <f>$V$3+L11+L19+L27+L35</f>
        <v>11082547.809999999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37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40"/>
    </row>
    <row r="37" spans="1:20" ht="15.6" thickTop="1" thickBot="1">
      <c r="A37" s="73"/>
      <c r="B37" s="380"/>
      <c r="C37" s="141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42"/>
    </row>
    <row r="38" spans="1:20" ht="15.6" thickTop="1" thickBot="1">
      <c r="A38" s="73"/>
      <c r="B38" s="380"/>
      <c r="C38" s="141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42"/>
    </row>
    <row r="39" spans="1:20" ht="15.6" thickTop="1" thickBot="1">
      <c r="A39" s="73"/>
      <c r="B39" s="380"/>
      <c r="C39" s="143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42"/>
    </row>
    <row r="40" spans="1:20" ht="15.6" thickTop="1" thickBot="1">
      <c r="A40" s="73"/>
      <c r="B40" s="380"/>
      <c r="C40" s="143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42"/>
    </row>
    <row r="41" spans="1:20" ht="15.6" thickTop="1" thickBot="1">
      <c r="A41" s="73"/>
      <c r="B41" s="380"/>
      <c r="C41" s="143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42"/>
    </row>
    <row r="42" spans="1:20" ht="15.6" thickTop="1" thickBot="1">
      <c r="A42" s="73"/>
      <c r="B42" s="380"/>
      <c r="C42" s="144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64"/>
      <c r="P42" s="70"/>
      <c r="Q42" s="148"/>
    </row>
    <row r="43" spans="1:20" ht="15.6" thickTop="1" thickBot="1">
      <c r="A43" s="73"/>
      <c r="B43" s="380"/>
      <c r="C43" s="124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25"/>
      <c r="T43" s="145">
        <f>$V$3+L11+L19+L27+L35+L43</f>
        <v>11082547.809999999</v>
      </c>
    </row>
    <row r="44" spans="1:20" ht="15.6" thickTop="1" thickBot="1">
      <c r="A44" s="73" t="str">
        <f ca="1">OFFSET('0'!$B$112,($A$1-1)*10,$B44-1)</f>
        <v>--</v>
      </c>
      <c r="B44" s="380">
        <f ca="1">OFFSET('0'!$B$111,($A$1-1)*10,5)</f>
        <v>6</v>
      </c>
      <c r="C44" s="137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40"/>
    </row>
    <row r="45" spans="1:20" ht="15.6" thickTop="1" thickBot="1">
      <c r="A45" s="73"/>
      <c r="B45" s="380"/>
      <c r="C45" s="141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42"/>
    </row>
    <row r="46" spans="1:20" ht="15.6" thickTop="1" thickBot="1">
      <c r="A46" s="73"/>
      <c r="B46" s="380"/>
      <c r="C46" s="141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42"/>
    </row>
    <row r="47" spans="1:20" ht="15.6" thickTop="1" thickBot="1">
      <c r="A47" s="73"/>
      <c r="B47" s="380"/>
      <c r="C47" s="143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42"/>
    </row>
    <row r="48" spans="1:20" ht="15.6" thickTop="1" thickBot="1">
      <c r="A48" s="73"/>
      <c r="B48" s="380"/>
      <c r="C48" s="143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48"/>
    </row>
    <row r="49" spans="1:20" ht="15.6" thickTop="1" thickBot="1">
      <c r="A49" s="73"/>
      <c r="B49" s="380"/>
      <c r="C49" s="143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48"/>
    </row>
    <row r="50" spans="1:20" ht="15.6" thickTop="1" thickBot="1">
      <c r="A50" s="73"/>
      <c r="B50" s="380"/>
      <c r="C50" s="144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64"/>
      <c r="P50" s="70"/>
      <c r="Q50" s="148"/>
    </row>
    <row r="51" spans="1:20" ht="15.6" thickTop="1" thickBot="1">
      <c r="A51" s="73"/>
      <c r="B51" s="380"/>
      <c r="C51" s="132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33"/>
      <c r="T51" s="145">
        <f>$V$3+L11+L19+L27+L35+L43+L51</f>
        <v>11082547.809999999</v>
      </c>
    </row>
    <row r="52" spans="1:20" ht="15.6" thickTop="1" thickBot="1">
      <c r="A52" s="73" t="str">
        <f ca="1">OFFSET('0'!$B$112,($A$1-1)*10,$B52-1)</f>
        <v>SS</v>
      </c>
      <c r="B52" s="380">
        <f ca="1">OFFSET('0'!$B$111,($A$1-1)*10,6)</f>
        <v>7</v>
      </c>
      <c r="C52" s="137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40"/>
    </row>
    <row r="53" spans="1:20" ht="15.6" thickTop="1" thickBot="1">
      <c r="A53" s="73"/>
      <c r="B53" s="380"/>
      <c r="C53" s="141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42"/>
    </row>
    <row r="54" spans="1:20" ht="15.6" thickTop="1" thickBot="1">
      <c r="A54" s="73"/>
      <c r="B54" s="380"/>
      <c r="C54" s="141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42"/>
    </row>
    <row r="55" spans="1:20" ht="15.6" thickTop="1" thickBot="1">
      <c r="A55" s="73"/>
      <c r="B55" s="380"/>
      <c r="C55" s="143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42"/>
    </row>
    <row r="56" spans="1:20" ht="15.6" thickTop="1" thickBot="1">
      <c r="A56" s="73"/>
      <c r="B56" s="380"/>
      <c r="C56" s="143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48"/>
    </row>
    <row r="57" spans="1:20" ht="15.6" thickTop="1" thickBot="1">
      <c r="A57" s="73"/>
      <c r="B57" s="380"/>
      <c r="C57" s="143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48"/>
    </row>
    <row r="58" spans="1:20" ht="15.6" thickTop="1" thickBot="1">
      <c r="A58" s="73"/>
      <c r="B58" s="380"/>
      <c r="C58" s="144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65"/>
      <c r="P58" s="71"/>
      <c r="Q58" s="148"/>
    </row>
    <row r="59" spans="1:20" ht="15.6" thickTop="1" thickBot="1">
      <c r="A59" s="73"/>
      <c r="B59" s="380"/>
      <c r="C59" s="124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25"/>
      <c r="T59" s="145">
        <f>$V$3+L11+L19+L27+L35+L43+L51+L59</f>
        <v>11082547.809999999</v>
      </c>
    </row>
    <row r="60" spans="1:20" ht="15.6" thickTop="1" thickBot="1">
      <c r="A60" s="73" t="str">
        <f ca="1">OFFSET('0'!$B$112,($A$1-1)*10,$B60-1)</f>
        <v>SK</v>
      </c>
      <c r="B60" s="380">
        <f ca="1">OFFSET('0'!$B$111,($A$1-1)*10,7)</f>
        <v>8</v>
      </c>
      <c r="C60" s="137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40"/>
    </row>
    <row r="61" spans="1:20" ht="15.6" thickTop="1" thickBot="1">
      <c r="A61" s="73"/>
      <c r="B61" s="380"/>
      <c r="C61" s="141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42"/>
    </row>
    <row r="62" spans="1:20" ht="15.6" thickTop="1" thickBot="1">
      <c r="A62" s="73"/>
      <c r="B62" s="380"/>
      <c r="C62" s="141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42"/>
    </row>
    <row r="63" spans="1:20" ht="15.6" thickTop="1" thickBot="1">
      <c r="A63" s="73"/>
      <c r="B63" s="380"/>
      <c r="C63" s="143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42"/>
    </row>
    <row r="64" spans="1:20" ht="15.6" thickTop="1" thickBot="1">
      <c r="A64" s="73"/>
      <c r="B64" s="380"/>
      <c r="C64" s="143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48"/>
    </row>
    <row r="65" spans="1:20" ht="15.6" thickTop="1" thickBot="1">
      <c r="A65" s="73"/>
      <c r="B65" s="380"/>
      <c r="C65" s="143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48"/>
    </row>
    <row r="66" spans="1:20" ht="15.6" thickTop="1" thickBot="1">
      <c r="A66" s="73"/>
      <c r="B66" s="380"/>
      <c r="C66" s="144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65"/>
      <c r="P66" s="71"/>
      <c r="Q66" s="148"/>
    </row>
    <row r="67" spans="1:20" ht="15.6" thickTop="1" thickBot="1">
      <c r="A67" s="73"/>
      <c r="B67" s="380"/>
      <c r="C67" s="124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25"/>
      <c r="T67" s="145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37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40"/>
    </row>
    <row r="69" spans="1:20" ht="15.6" thickTop="1" thickBot="1">
      <c r="A69" s="73"/>
      <c r="B69" s="380"/>
      <c r="C69" s="141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42"/>
    </row>
    <row r="70" spans="1:20" ht="15.6" thickTop="1" thickBot="1">
      <c r="A70" s="73"/>
      <c r="B70" s="380"/>
      <c r="C70" s="141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42"/>
    </row>
    <row r="71" spans="1:20" ht="15.6" thickTop="1" thickBot="1">
      <c r="A71" s="73"/>
      <c r="B71" s="380"/>
      <c r="C71" s="143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42"/>
    </row>
    <row r="72" spans="1:20" ht="15.6" thickTop="1" thickBot="1">
      <c r="A72" s="73"/>
      <c r="B72" s="380"/>
      <c r="C72" s="143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42"/>
    </row>
    <row r="73" spans="1:20" ht="15.6" thickTop="1" thickBot="1">
      <c r="A73" s="73"/>
      <c r="B73" s="380"/>
      <c r="C73" s="143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42"/>
    </row>
    <row r="74" spans="1:20" ht="15.6" thickTop="1" thickBot="1">
      <c r="A74" s="73"/>
      <c r="B74" s="380"/>
      <c r="C74" s="144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55"/>
      <c r="P74" s="91"/>
      <c r="Q74" s="142"/>
    </row>
    <row r="75" spans="1:20" ht="15.6" thickTop="1" thickBot="1">
      <c r="A75" s="73"/>
      <c r="B75" s="380"/>
      <c r="C75" s="124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25"/>
      <c r="T75" s="145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37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40"/>
    </row>
    <row r="77" spans="1:20" ht="15.6" thickTop="1" thickBot="1">
      <c r="A77" s="73"/>
      <c r="B77" s="380"/>
      <c r="C77" s="141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42"/>
    </row>
    <row r="78" spans="1:20" ht="15.6" thickTop="1" thickBot="1">
      <c r="A78" s="73"/>
      <c r="B78" s="380"/>
      <c r="C78" s="141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42"/>
    </row>
    <row r="79" spans="1:20" ht="15.6" thickTop="1" thickBot="1">
      <c r="A79" s="73"/>
      <c r="B79" s="380"/>
      <c r="C79" s="143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42"/>
    </row>
    <row r="80" spans="1:20" ht="15.6" thickTop="1" thickBot="1">
      <c r="A80" s="73"/>
      <c r="B80" s="380"/>
      <c r="C80" s="143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42"/>
    </row>
    <row r="81" spans="1:20" ht="15.6" thickTop="1" thickBot="1">
      <c r="A81" s="73"/>
      <c r="B81" s="380"/>
      <c r="C81" s="143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42"/>
    </row>
    <row r="82" spans="1:20" ht="15.6" thickTop="1" thickBot="1">
      <c r="A82" s="73"/>
      <c r="B82" s="380"/>
      <c r="C82" s="144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55"/>
      <c r="P82" s="91"/>
      <c r="Q82" s="142"/>
    </row>
    <row r="83" spans="1:20" ht="15.6" thickTop="1" thickBot="1">
      <c r="A83" s="73"/>
      <c r="B83" s="380"/>
      <c r="C83" s="124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25"/>
      <c r="T83" s="145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37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40"/>
    </row>
    <row r="85" spans="1:20" ht="15.6" thickTop="1" thickBot="1">
      <c r="A85" s="73"/>
      <c r="B85" s="380"/>
      <c r="C85" s="141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42"/>
    </row>
    <row r="86" spans="1:20" ht="15.6" thickTop="1" thickBot="1">
      <c r="A86" s="73"/>
      <c r="B86" s="380"/>
      <c r="C86" s="141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42"/>
    </row>
    <row r="87" spans="1:20" ht="15.6" thickTop="1" thickBot="1">
      <c r="A87" s="73"/>
      <c r="B87" s="380"/>
      <c r="C87" s="143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42"/>
    </row>
    <row r="88" spans="1:20" ht="15.6" thickTop="1" thickBot="1">
      <c r="A88" s="73"/>
      <c r="B88" s="380"/>
      <c r="C88" s="143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42"/>
    </row>
    <row r="89" spans="1:20" ht="15.6" thickTop="1" thickBot="1">
      <c r="A89" s="73"/>
      <c r="B89" s="380"/>
      <c r="C89" s="143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42"/>
    </row>
    <row r="90" spans="1:20" ht="15.6" thickTop="1" thickBot="1">
      <c r="A90" s="73"/>
      <c r="B90" s="380"/>
      <c r="C90" s="144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55"/>
      <c r="P90" s="91"/>
      <c r="Q90" s="142"/>
    </row>
    <row r="91" spans="1:20" ht="15.6" thickTop="1" thickBot="1">
      <c r="A91" s="73"/>
      <c r="B91" s="380"/>
      <c r="C91" s="124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25"/>
      <c r="T91" s="145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37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40"/>
    </row>
    <row r="93" spans="1:20" ht="15.6" thickTop="1" thickBot="1">
      <c r="A93" s="73"/>
      <c r="B93" s="380"/>
      <c r="C93" s="141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42"/>
    </row>
    <row r="94" spans="1:20" ht="15.6" thickTop="1" thickBot="1">
      <c r="A94" s="73"/>
      <c r="B94" s="380"/>
      <c r="C94" s="141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42"/>
    </row>
    <row r="95" spans="1:20" ht="15.6" thickTop="1" thickBot="1">
      <c r="A95" s="73"/>
      <c r="B95" s="380"/>
      <c r="C95" s="143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42"/>
    </row>
    <row r="96" spans="1:20" ht="15.6" thickTop="1" thickBot="1">
      <c r="A96" s="73"/>
      <c r="B96" s="380"/>
      <c r="C96" s="143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42"/>
    </row>
    <row r="97" spans="1:20" ht="15.6" thickTop="1" thickBot="1">
      <c r="A97" s="73"/>
      <c r="B97" s="380"/>
      <c r="C97" s="143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42"/>
    </row>
    <row r="98" spans="1:20" ht="15.6" thickTop="1" thickBot="1">
      <c r="A98" s="73"/>
      <c r="B98" s="380"/>
      <c r="C98" s="144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55"/>
      <c r="P98" s="91"/>
      <c r="Q98" s="142"/>
    </row>
    <row r="99" spans="1:20" ht="15.6" thickTop="1" thickBot="1">
      <c r="A99" s="73"/>
      <c r="B99" s="380"/>
      <c r="C99" s="124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25"/>
      <c r="T99" s="145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--</v>
      </c>
      <c r="B100" s="380">
        <f ca="1">OFFSET('0'!$B$111,($A$1-1)*10,12)</f>
        <v>13</v>
      </c>
      <c r="C100" s="137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40"/>
    </row>
    <row r="101" spans="1:20" ht="15.6" thickTop="1" thickBot="1">
      <c r="A101" s="73"/>
      <c r="B101" s="380"/>
      <c r="C101" s="141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42"/>
    </row>
    <row r="102" spans="1:20" ht="15.6" thickTop="1" thickBot="1">
      <c r="A102" s="73"/>
      <c r="B102" s="380"/>
      <c r="C102" s="141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42"/>
    </row>
    <row r="103" spans="1:20" ht="15.6" thickTop="1" thickBot="1">
      <c r="A103" s="73"/>
      <c r="B103" s="380"/>
      <c r="C103" s="143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42"/>
    </row>
    <row r="104" spans="1:20" ht="15.6" thickTop="1" thickBot="1">
      <c r="A104" s="73"/>
      <c r="B104" s="380"/>
      <c r="C104" s="143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42"/>
    </row>
    <row r="105" spans="1:20" ht="15.6" thickTop="1" thickBot="1">
      <c r="A105" s="73"/>
      <c r="B105" s="380"/>
      <c r="C105" s="143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42"/>
    </row>
    <row r="106" spans="1:20" ht="15.6" thickTop="1" thickBot="1">
      <c r="A106" s="73"/>
      <c r="B106" s="380"/>
      <c r="C106" s="151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55"/>
      <c r="P106" s="91"/>
      <c r="Q106" s="142"/>
    </row>
    <row r="107" spans="1:20" ht="15.6" thickTop="1" thickBot="1">
      <c r="A107" s="73"/>
      <c r="B107" s="380"/>
      <c r="C107" s="124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25"/>
      <c r="T107" s="145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SS</v>
      </c>
      <c r="B108" s="380">
        <f ca="1">OFFSET('0'!$B$111,($A$1-1)*10,13)</f>
        <v>14</v>
      </c>
      <c r="C108" s="137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40"/>
    </row>
    <row r="109" spans="1:20" ht="15.6" thickTop="1" thickBot="1">
      <c r="A109" s="73"/>
      <c r="B109" s="380"/>
      <c r="C109" s="141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42"/>
    </row>
    <row r="110" spans="1:20" ht="15.6" thickTop="1" thickBot="1">
      <c r="A110" s="73"/>
      <c r="B110" s="380"/>
      <c r="C110" s="141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42"/>
    </row>
    <row r="111" spans="1:20" ht="15.6" thickTop="1" thickBot="1">
      <c r="A111" s="73"/>
      <c r="B111" s="380"/>
      <c r="C111" s="143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42"/>
    </row>
    <row r="112" spans="1:20" ht="15.6" thickTop="1" thickBot="1">
      <c r="A112" s="73"/>
      <c r="B112" s="380"/>
      <c r="C112" s="143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42"/>
    </row>
    <row r="113" spans="1:22" ht="15.6" thickTop="1" thickBot="1">
      <c r="A113" s="73"/>
      <c r="B113" s="380"/>
      <c r="C113" s="143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42"/>
    </row>
    <row r="114" spans="1:22" ht="15.6" thickTop="1" thickBot="1">
      <c r="A114" s="73"/>
      <c r="B114" s="380"/>
      <c r="C114" s="144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55"/>
      <c r="P114" s="91"/>
      <c r="Q114" s="142"/>
    </row>
    <row r="115" spans="1:22" ht="15.6" thickTop="1" thickBot="1">
      <c r="A115" s="73"/>
      <c r="B115" s="380"/>
      <c r="C115" s="124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25"/>
      <c r="S115" s="134"/>
      <c r="T115" s="145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SK</v>
      </c>
      <c r="B116" s="380">
        <f ca="1">OFFSET('0'!$B$111,($A$1-1)*10,14)</f>
        <v>15</v>
      </c>
      <c r="C116" s="137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40"/>
    </row>
    <row r="117" spans="1:22" ht="15.6" thickTop="1" thickBot="1">
      <c r="A117" s="73"/>
      <c r="B117" s="380"/>
      <c r="C117" s="141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42"/>
    </row>
    <row r="118" spans="1:22" ht="15.6" thickTop="1" thickBot="1">
      <c r="A118" s="73"/>
      <c r="B118" s="380"/>
      <c r="C118" s="141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42"/>
      <c r="S118" s="134"/>
    </row>
    <row r="119" spans="1:22" ht="15.6" thickTop="1" thickBot="1">
      <c r="A119" s="73"/>
      <c r="B119" s="380"/>
      <c r="C119" s="143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42"/>
      <c r="S119" s="134"/>
    </row>
    <row r="120" spans="1:22" ht="15.6" thickTop="1" thickBot="1">
      <c r="A120" s="73"/>
      <c r="B120" s="380"/>
      <c r="C120" s="143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42"/>
      <c r="S120" s="134"/>
    </row>
    <row r="121" spans="1:22" ht="15.6" thickTop="1" thickBot="1">
      <c r="A121" s="73"/>
      <c r="B121" s="380"/>
      <c r="C121" s="143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42"/>
      <c r="S121" s="134"/>
    </row>
    <row r="122" spans="1:22" ht="15.6" thickTop="1" thickBot="1">
      <c r="A122" s="73"/>
      <c r="B122" s="380"/>
      <c r="C122" s="144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55"/>
      <c r="P122" s="91"/>
      <c r="Q122" s="142"/>
      <c r="S122" s="134"/>
    </row>
    <row r="123" spans="1:22" ht="15.6" thickTop="1" thickBot="1">
      <c r="A123" s="73"/>
      <c r="B123" s="380"/>
      <c r="C123" s="132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33"/>
      <c r="T123" s="145">
        <f>$V$3+L11+L19+L27+L35+L43+L51+L59+L67+L75+L83+L91+L99+L107+L115+L123</f>
        <v>11082547.809999999</v>
      </c>
      <c r="U123" s="134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37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40"/>
      <c r="V124" s="134"/>
    </row>
    <row r="125" spans="1:22" ht="15.6" thickTop="1" thickBot="1">
      <c r="A125" s="73"/>
      <c r="B125" s="380"/>
      <c r="C125" s="141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42"/>
    </row>
    <row r="126" spans="1:22" ht="15.6" thickTop="1" thickBot="1">
      <c r="A126" s="73"/>
      <c r="B126" s="380"/>
      <c r="C126" s="141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42"/>
    </row>
    <row r="127" spans="1:22" ht="15.6" thickTop="1" thickBot="1">
      <c r="A127" s="73"/>
      <c r="B127" s="380"/>
      <c r="C127" s="143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42"/>
    </row>
    <row r="128" spans="1:22" ht="15.6" thickTop="1" thickBot="1">
      <c r="A128" s="73"/>
      <c r="B128" s="380"/>
      <c r="C128" s="143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42"/>
    </row>
    <row r="129" spans="1:20" ht="15.6" thickTop="1" thickBot="1">
      <c r="A129" s="73"/>
      <c r="B129" s="380"/>
      <c r="C129" s="143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42"/>
    </row>
    <row r="130" spans="1:20" ht="15.6" thickTop="1" thickBot="1">
      <c r="A130" s="73"/>
      <c r="B130" s="380"/>
      <c r="C130" s="144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55"/>
      <c r="P130" s="91"/>
      <c r="Q130" s="142"/>
      <c r="S130" s="135"/>
    </row>
    <row r="131" spans="1:20" ht="15.6" thickTop="1" thickBot="1">
      <c r="A131" s="73"/>
      <c r="B131" s="380"/>
      <c r="C131" s="124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25"/>
      <c r="S131" s="134"/>
      <c r="T131" s="145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37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40"/>
    </row>
    <row r="133" spans="1:20" ht="15.6" thickTop="1" thickBot="1">
      <c r="A133" s="73"/>
      <c r="B133" s="380"/>
      <c r="C133" s="141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47"/>
    </row>
    <row r="134" spans="1:20" ht="15.6" thickTop="1" thickBot="1">
      <c r="A134" s="73"/>
      <c r="B134" s="380"/>
      <c r="C134" s="141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42"/>
    </row>
    <row r="135" spans="1:20" ht="15.6" thickTop="1" thickBot="1">
      <c r="A135" s="73"/>
      <c r="B135" s="380"/>
      <c r="C135" s="143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42"/>
    </row>
    <row r="136" spans="1:20" ht="15.6" thickTop="1" thickBot="1">
      <c r="A136" s="73"/>
      <c r="B136" s="380"/>
      <c r="C136" s="143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42"/>
    </row>
    <row r="137" spans="1:20" ht="15.6" thickTop="1" thickBot="1">
      <c r="A137" s="73"/>
      <c r="B137" s="380"/>
      <c r="C137" s="143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48"/>
    </row>
    <row r="138" spans="1:20" ht="15.6" thickTop="1" thickBot="1">
      <c r="A138" s="73"/>
      <c r="B138" s="380"/>
      <c r="C138" s="144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65"/>
      <c r="P138" s="71"/>
      <c r="Q138" s="148"/>
    </row>
    <row r="139" spans="1:20" ht="15.6" thickTop="1" thickBot="1">
      <c r="A139" s="73"/>
      <c r="B139" s="380"/>
      <c r="C139" s="124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25"/>
      <c r="T139" s="145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37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40"/>
    </row>
    <row r="141" spans="1:20" ht="15.6" thickTop="1" thickBot="1">
      <c r="A141" s="73"/>
      <c r="B141" s="380"/>
      <c r="C141" s="141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47"/>
    </row>
    <row r="142" spans="1:20" ht="15.6" thickTop="1" thickBot="1">
      <c r="A142" s="73"/>
      <c r="B142" s="380"/>
      <c r="C142" s="141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47"/>
    </row>
    <row r="143" spans="1:20" ht="15.6" thickTop="1" thickBot="1">
      <c r="A143" s="73"/>
      <c r="B143" s="380"/>
      <c r="C143" s="143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42"/>
    </row>
    <row r="144" spans="1:20" s="120" customFormat="1" ht="15.6" thickTop="1" thickBot="1">
      <c r="A144" s="74"/>
      <c r="B144" s="380"/>
      <c r="C144" s="143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42"/>
    </row>
    <row r="145" spans="1:20" s="120" customFormat="1" ht="15.6" thickTop="1" thickBot="1">
      <c r="A145" s="74"/>
      <c r="B145" s="380"/>
      <c r="C145" s="143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42"/>
    </row>
    <row r="146" spans="1:20" ht="15.6" thickTop="1" thickBot="1">
      <c r="A146" s="73"/>
      <c r="B146" s="380"/>
      <c r="C146" s="144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55"/>
      <c r="P146" s="91"/>
      <c r="Q146" s="142"/>
    </row>
    <row r="147" spans="1:20" ht="15.6" thickTop="1" thickBot="1">
      <c r="A147" s="73"/>
      <c r="B147" s="380"/>
      <c r="C147" s="124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25"/>
      <c r="T147" s="145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37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40"/>
    </row>
    <row r="149" spans="1:20" s="120" customFormat="1" ht="15.6" thickTop="1" thickBot="1">
      <c r="A149" s="74"/>
      <c r="B149" s="380"/>
      <c r="C149" s="141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47"/>
    </row>
    <row r="150" spans="1:20" ht="15.6" thickTop="1" thickBot="1">
      <c r="A150" s="73"/>
      <c r="B150" s="380"/>
      <c r="C150" s="141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47"/>
    </row>
    <row r="151" spans="1:20" ht="15.6" thickTop="1" thickBot="1">
      <c r="A151" s="73"/>
      <c r="B151" s="380"/>
      <c r="C151" s="143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42"/>
    </row>
    <row r="152" spans="1:20" ht="15.6" thickTop="1" thickBot="1">
      <c r="A152" s="73"/>
      <c r="B152" s="380"/>
      <c r="C152" s="143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42"/>
    </row>
    <row r="153" spans="1:20" ht="15.6" thickTop="1" thickBot="1">
      <c r="A153" s="73"/>
      <c r="B153" s="380"/>
      <c r="C153" s="143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42"/>
    </row>
    <row r="154" spans="1:20" ht="15.6" thickTop="1" thickBot="1">
      <c r="A154" s="73"/>
      <c r="B154" s="380"/>
      <c r="C154" s="144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55"/>
      <c r="P154" s="91"/>
      <c r="Q154" s="142"/>
    </row>
    <row r="155" spans="1:20" ht="15.6" thickTop="1" thickBot="1">
      <c r="A155" s="73"/>
      <c r="B155" s="380"/>
      <c r="C155" s="124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25"/>
      <c r="T155" s="145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--</v>
      </c>
      <c r="B156" s="380">
        <f ca="1">OFFSET('0'!$B$111,($A$1-1)*10,19)</f>
        <v>20</v>
      </c>
      <c r="C156" s="137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40"/>
    </row>
    <row r="157" spans="1:20" ht="15.6" thickTop="1" thickBot="1">
      <c r="A157" s="73"/>
      <c r="B157" s="380"/>
      <c r="C157" s="141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47"/>
    </row>
    <row r="158" spans="1:20" s="120" customFormat="1" ht="15.6" thickTop="1" thickBot="1">
      <c r="A158" s="74"/>
      <c r="B158" s="380"/>
      <c r="C158" s="141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47"/>
    </row>
    <row r="159" spans="1:20" ht="15.6" thickTop="1" thickBot="1">
      <c r="A159" s="73"/>
      <c r="B159" s="380"/>
      <c r="C159" s="143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42"/>
    </row>
    <row r="160" spans="1:20" ht="15.6" thickTop="1" thickBot="1">
      <c r="A160" s="73"/>
      <c r="B160" s="380"/>
      <c r="C160" s="143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42"/>
    </row>
    <row r="161" spans="1:20" ht="15.6" thickTop="1" thickBot="1">
      <c r="A161" s="73"/>
      <c r="B161" s="380"/>
      <c r="C161" s="143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42"/>
    </row>
    <row r="162" spans="1:20" ht="15.6" thickTop="1" thickBot="1">
      <c r="A162" s="73"/>
      <c r="B162" s="380"/>
      <c r="C162" s="144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55"/>
      <c r="P162" s="91"/>
      <c r="Q162" s="142"/>
    </row>
    <row r="163" spans="1:20" ht="15.6" thickTop="1" thickBot="1">
      <c r="A163" s="73"/>
      <c r="B163" s="380"/>
      <c r="C163" s="124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25"/>
      <c r="T163" s="145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SS</v>
      </c>
      <c r="B164" s="380">
        <f ca="1">OFFSET('0'!$B$111,($A$1-1)*10,20)</f>
        <v>21</v>
      </c>
      <c r="C164" s="137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40"/>
    </row>
    <row r="165" spans="1:20" ht="15.6" thickTop="1" thickBot="1">
      <c r="A165" s="73"/>
      <c r="B165" s="380"/>
      <c r="C165" s="141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47"/>
    </row>
    <row r="166" spans="1:20" s="120" customFormat="1" ht="15.6" thickTop="1" thickBot="1">
      <c r="A166" s="74"/>
      <c r="B166" s="380"/>
      <c r="C166" s="141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47"/>
    </row>
    <row r="167" spans="1:20" ht="15.6" thickTop="1" thickBot="1">
      <c r="A167" s="73"/>
      <c r="B167" s="380"/>
      <c r="C167" s="143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42"/>
    </row>
    <row r="168" spans="1:20" ht="15.6" thickTop="1" thickBot="1">
      <c r="A168" s="73"/>
      <c r="B168" s="380"/>
      <c r="C168" s="143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42"/>
    </row>
    <row r="169" spans="1:20" ht="15.6" thickTop="1" thickBot="1">
      <c r="A169" s="73"/>
      <c r="B169" s="380"/>
      <c r="C169" s="143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42"/>
    </row>
    <row r="170" spans="1:20" ht="15.6" thickTop="1" thickBot="1">
      <c r="A170" s="73"/>
      <c r="B170" s="380"/>
      <c r="C170" s="144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55"/>
      <c r="P170" s="91"/>
      <c r="Q170" s="142"/>
    </row>
    <row r="171" spans="1:20" ht="15.6" thickTop="1" thickBot="1">
      <c r="A171" s="73"/>
      <c r="B171" s="380"/>
      <c r="C171" s="124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25"/>
      <c r="T171" s="145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SK</v>
      </c>
      <c r="B172" s="380">
        <f ca="1">OFFSET('0'!$B$111,($A$1-1)*10,21)</f>
        <v>22</v>
      </c>
      <c r="C172" s="137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40"/>
    </row>
    <row r="173" spans="1:20" ht="15.6" thickTop="1" thickBot="1">
      <c r="A173" s="73"/>
      <c r="B173" s="380"/>
      <c r="C173" s="141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42"/>
    </row>
    <row r="174" spans="1:20" s="120" customFormat="1" ht="15.6" thickTop="1" thickBot="1">
      <c r="A174" s="74"/>
      <c r="B174" s="380"/>
      <c r="C174" s="141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42"/>
    </row>
    <row r="175" spans="1:20" ht="15.6" thickTop="1" thickBot="1">
      <c r="A175" s="73"/>
      <c r="B175" s="380"/>
      <c r="C175" s="143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42"/>
    </row>
    <row r="176" spans="1:20" ht="15.6" thickTop="1" thickBot="1">
      <c r="A176" s="73"/>
      <c r="B176" s="380"/>
      <c r="C176" s="143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42"/>
    </row>
    <row r="177" spans="1:20" ht="15.6" thickTop="1" thickBot="1">
      <c r="A177" s="73"/>
      <c r="B177" s="380"/>
      <c r="C177" s="143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42"/>
    </row>
    <row r="178" spans="1:20" ht="15.6" thickTop="1" thickBot="1">
      <c r="A178" s="73"/>
      <c r="B178" s="380"/>
      <c r="C178" s="144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55"/>
      <c r="P178" s="91"/>
      <c r="Q178" s="142"/>
    </row>
    <row r="179" spans="1:20" ht="15.6" thickTop="1" thickBot="1">
      <c r="A179" s="73"/>
      <c r="B179" s="380"/>
      <c r="C179" s="124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25"/>
      <c r="T179" s="145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37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40"/>
    </row>
    <row r="181" spans="1:20" s="120" customFormat="1" ht="15.6" thickTop="1" thickBot="1">
      <c r="A181" s="74"/>
      <c r="B181" s="380"/>
      <c r="C181" s="141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47"/>
    </row>
    <row r="182" spans="1:20" ht="15.6" thickTop="1" thickBot="1">
      <c r="A182" s="73"/>
      <c r="B182" s="380"/>
      <c r="C182" s="141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42"/>
    </row>
    <row r="183" spans="1:20" ht="15.6" thickTop="1" thickBot="1">
      <c r="A183" s="73"/>
      <c r="B183" s="380"/>
      <c r="C183" s="143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42"/>
    </row>
    <row r="184" spans="1:20" ht="15.6" thickTop="1" thickBot="1">
      <c r="A184" s="73"/>
      <c r="B184" s="380"/>
      <c r="C184" s="143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42"/>
    </row>
    <row r="185" spans="1:20" ht="15.6" thickTop="1" thickBot="1">
      <c r="A185" s="73"/>
      <c r="B185" s="380"/>
      <c r="C185" s="143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42"/>
    </row>
    <row r="186" spans="1:20" ht="15.6" thickTop="1" thickBot="1">
      <c r="A186" s="73"/>
      <c r="B186" s="380"/>
      <c r="C186" s="144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55"/>
      <c r="P186" s="91"/>
      <c r="Q186" s="142"/>
    </row>
    <row r="187" spans="1:20" ht="15.6" thickTop="1" thickBot="1">
      <c r="A187" s="73"/>
      <c r="B187" s="380"/>
      <c r="C187" s="124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25"/>
      <c r="T187" s="145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37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40"/>
    </row>
    <row r="189" spans="1:20" ht="15.6" thickTop="1" thickBot="1">
      <c r="A189" s="73"/>
      <c r="B189" s="380"/>
      <c r="C189" s="141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42"/>
    </row>
    <row r="190" spans="1:20" s="120" customFormat="1" ht="15.6" thickTop="1" thickBot="1">
      <c r="A190" s="74"/>
      <c r="B190" s="380"/>
      <c r="C190" s="141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42"/>
    </row>
    <row r="191" spans="1:20" ht="15.6" thickTop="1" thickBot="1">
      <c r="A191" s="73"/>
      <c r="B191" s="380"/>
      <c r="C191" s="143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42"/>
    </row>
    <row r="192" spans="1:20" ht="15.6" thickTop="1" thickBot="1">
      <c r="A192" s="73"/>
      <c r="B192" s="380"/>
      <c r="C192" s="143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42"/>
    </row>
    <row r="193" spans="1:20" ht="15.6" thickTop="1" thickBot="1">
      <c r="A193" s="73"/>
      <c r="B193" s="380"/>
      <c r="C193" s="143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42"/>
    </row>
    <row r="194" spans="1:20" ht="15.6" thickTop="1" thickBot="1">
      <c r="A194" s="73"/>
      <c r="B194" s="380"/>
      <c r="C194" s="144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55"/>
      <c r="P194" s="91"/>
      <c r="Q194" s="142"/>
    </row>
    <row r="195" spans="1:20" ht="15.6" thickTop="1" thickBot="1">
      <c r="A195" s="73"/>
      <c r="B195" s="380"/>
      <c r="C195" s="124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25"/>
      <c r="T195" s="145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37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40"/>
    </row>
    <row r="197" spans="1:20" ht="15.6" thickTop="1" thickBot="1">
      <c r="A197" s="73"/>
      <c r="B197" s="380"/>
      <c r="C197" s="141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42"/>
    </row>
    <row r="198" spans="1:20" ht="15.6" thickTop="1" thickBot="1">
      <c r="A198" s="73"/>
      <c r="B198" s="380"/>
      <c r="C198" s="141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42"/>
    </row>
    <row r="199" spans="1:20" ht="15.6" thickTop="1" thickBot="1">
      <c r="A199" s="73"/>
      <c r="B199" s="380"/>
      <c r="C199" s="143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42"/>
    </row>
    <row r="200" spans="1:20" ht="15.6" thickTop="1" thickBot="1">
      <c r="A200" s="73"/>
      <c r="B200" s="380"/>
      <c r="C200" s="143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42"/>
    </row>
    <row r="201" spans="1:20" ht="15.6" thickTop="1" thickBot="1">
      <c r="A201" s="73"/>
      <c r="B201" s="380"/>
      <c r="C201" s="143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42"/>
    </row>
    <row r="202" spans="1:20" ht="15.6" thickTop="1" thickBot="1">
      <c r="A202" s="73"/>
      <c r="B202" s="380"/>
      <c r="C202" s="136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55"/>
      <c r="P202" s="91"/>
      <c r="Q202" s="142"/>
    </row>
    <row r="203" spans="1:20" ht="15.6" thickTop="1" thickBot="1">
      <c r="A203" s="73"/>
      <c r="B203" s="380"/>
      <c r="C203" s="124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25"/>
      <c r="T203" s="145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SV</v>
      </c>
      <c r="B204" s="380">
        <f ca="1">OFFSET('0'!$B$111,($A$1-1)*10,25)</f>
        <v>26</v>
      </c>
      <c r="C204" s="137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40"/>
    </row>
    <row r="205" spans="1:20" s="120" customFormat="1" ht="15.6" thickTop="1" thickBot="1">
      <c r="A205" s="74"/>
      <c r="B205" s="380"/>
      <c r="C205" s="141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47"/>
    </row>
    <row r="206" spans="1:20" ht="15.6" thickTop="1" thickBot="1">
      <c r="A206" s="73"/>
      <c r="B206" s="380"/>
      <c r="C206" s="141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42"/>
    </row>
    <row r="207" spans="1:20" ht="15.6" thickTop="1" thickBot="1">
      <c r="A207" s="73"/>
      <c r="B207" s="380"/>
      <c r="C207" s="143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42"/>
    </row>
    <row r="208" spans="1:20" ht="15.6" thickTop="1" thickBot="1">
      <c r="A208" s="73"/>
      <c r="B208" s="380"/>
      <c r="C208" s="143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42"/>
    </row>
    <row r="209" spans="1:20" ht="15.6" thickTop="1" thickBot="1">
      <c r="A209" s="73"/>
      <c r="B209" s="380"/>
      <c r="C209" s="143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42"/>
    </row>
    <row r="210" spans="1:20" ht="15.6" thickTop="1" thickBot="1">
      <c r="A210" s="73"/>
      <c r="B210" s="380"/>
      <c r="C210" s="136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55"/>
      <c r="P210" s="91"/>
      <c r="Q210" s="142"/>
    </row>
    <row r="211" spans="1:20" ht="15.6" thickTop="1" thickBot="1">
      <c r="A211" s="73"/>
      <c r="B211" s="380"/>
      <c r="C211" s="124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25"/>
      <c r="T211" s="145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--</v>
      </c>
      <c r="B212" s="380">
        <f ca="1">OFFSET('0'!$B$111,($A$1-1)*10,26)</f>
        <v>27</v>
      </c>
      <c r="C212" s="137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40"/>
    </row>
    <row r="213" spans="1:20" ht="15.6" thickTop="1" thickBot="1">
      <c r="A213" s="73"/>
      <c r="B213" s="380"/>
      <c r="C213" s="141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78"/>
        <v>0</v>
      </c>
      <c r="O213" s="269"/>
      <c r="P213" s="290"/>
      <c r="Q213" s="142"/>
    </row>
    <row r="214" spans="1:20" s="120" customFormat="1" ht="15.6" thickTop="1" thickBot="1">
      <c r="A214" s="74"/>
      <c r="B214" s="380"/>
      <c r="C214" s="141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42"/>
    </row>
    <row r="215" spans="1:20" s="120" customFormat="1" ht="15.6" thickTop="1" thickBot="1">
      <c r="A215" s="74"/>
      <c r="B215" s="380"/>
      <c r="C215" s="143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42"/>
    </row>
    <row r="216" spans="1:20" ht="15.6" thickTop="1" thickBot="1">
      <c r="A216" s="73"/>
      <c r="B216" s="380"/>
      <c r="C216" s="143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42"/>
    </row>
    <row r="217" spans="1:20" ht="15.6" thickTop="1" thickBot="1">
      <c r="A217" s="73"/>
      <c r="B217" s="380"/>
      <c r="C217" s="143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42"/>
    </row>
    <row r="218" spans="1:20" ht="15.6" thickTop="1" thickBot="1">
      <c r="A218" s="73"/>
      <c r="B218" s="380"/>
      <c r="C218" s="136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55"/>
      <c r="P218" s="91"/>
      <c r="Q218" s="142"/>
    </row>
    <row r="219" spans="1:20" ht="15.6" thickTop="1" thickBot="1">
      <c r="A219" s="73"/>
      <c r="B219" s="380"/>
      <c r="C219" s="124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25"/>
      <c r="T219" s="145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SS</v>
      </c>
      <c r="B220" s="380">
        <f ca="1">OFFSET('0'!$B$111,($A$1-1)*10,27)</f>
        <v>28</v>
      </c>
      <c r="C220" s="137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40"/>
    </row>
    <row r="221" spans="1:20" s="120" customFormat="1" ht="15.6" thickTop="1" thickBot="1">
      <c r="A221" s="74"/>
      <c r="B221" s="380"/>
      <c r="C221" s="141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47"/>
    </row>
    <row r="222" spans="1:20" ht="15.6" thickTop="1" thickBot="1">
      <c r="A222" s="73"/>
      <c r="B222" s="380"/>
      <c r="C222" s="141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42"/>
    </row>
    <row r="223" spans="1:20" s="120" customFormat="1" ht="15.6" thickTop="1" thickBot="1">
      <c r="A223" s="74"/>
      <c r="B223" s="380"/>
      <c r="C223" s="143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42"/>
    </row>
    <row r="224" spans="1:20" ht="15.6" thickTop="1" thickBot="1">
      <c r="A224" s="73"/>
      <c r="B224" s="380"/>
      <c r="C224" s="143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42"/>
    </row>
    <row r="225" spans="1:20" ht="15.6" thickTop="1" thickBot="1">
      <c r="A225" s="73"/>
      <c r="B225" s="380"/>
      <c r="C225" s="143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42"/>
    </row>
    <row r="226" spans="1:20" ht="15.6" thickTop="1" thickBot="1">
      <c r="A226" s="73"/>
      <c r="B226" s="380"/>
      <c r="C226" s="136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55"/>
      <c r="P226" s="91"/>
      <c r="Q226" s="142"/>
    </row>
    <row r="227" spans="1:20" ht="15.6" thickTop="1" thickBot="1">
      <c r="A227" s="73"/>
      <c r="B227" s="380"/>
      <c r="C227" s="124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25"/>
      <c r="T227" s="145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SK</v>
      </c>
      <c r="B228" s="380">
        <f ca="1">OFFSET('0'!$B$111,($A$1-1)*10,28)</f>
        <v>29</v>
      </c>
      <c r="C228" s="137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40"/>
    </row>
    <row r="229" spans="1:20" ht="15.6" thickTop="1" thickBot="1">
      <c r="A229" s="73"/>
      <c r="B229" s="380"/>
      <c r="C229" s="141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47"/>
    </row>
    <row r="230" spans="1:20" ht="15.6" thickTop="1" thickBot="1">
      <c r="A230" s="73"/>
      <c r="B230" s="380"/>
      <c r="C230" s="141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42"/>
    </row>
    <row r="231" spans="1:20" s="120" customFormat="1" ht="15.6" thickTop="1" thickBot="1">
      <c r="A231" s="74"/>
      <c r="B231" s="380"/>
      <c r="C231" s="143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42"/>
    </row>
    <row r="232" spans="1:20" s="120" customFormat="1" ht="15.6" thickTop="1" thickBot="1">
      <c r="A232" s="74"/>
      <c r="B232" s="380"/>
      <c r="C232" s="143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42"/>
    </row>
    <row r="233" spans="1:20" ht="15.6" thickTop="1" thickBot="1">
      <c r="A233" s="73"/>
      <c r="B233" s="380"/>
      <c r="C233" s="143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42"/>
    </row>
    <row r="234" spans="1:20" ht="15.6" thickTop="1" thickBot="1">
      <c r="A234" s="73"/>
      <c r="B234" s="380"/>
      <c r="C234" s="136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55"/>
      <c r="P234" s="91"/>
      <c r="Q234" s="142"/>
    </row>
    <row r="235" spans="1:20" ht="15.6" thickTop="1" thickBot="1">
      <c r="A235" s="73"/>
      <c r="B235" s="380"/>
      <c r="C235" s="124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25"/>
      <c r="T235" s="145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37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40"/>
    </row>
    <row r="237" spans="1:20" ht="15.6" thickTop="1" thickBot="1">
      <c r="A237" s="73"/>
      <c r="B237" s="380"/>
      <c r="C237" s="141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47"/>
    </row>
    <row r="238" spans="1:20" s="120" customFormat="1" ht="15.6" thickTop="1" thickBot="1">
      <c r="A238" s="74"/>
      <c r="B238" s="380"/>
      <c r="C238" s="141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47"/>
    </row>
    <row r="239" spans="1:20" s="120" customFormat="1" ht="15.6" thickTop="1" thickBot="1">
      <c r="A239" s="74"/>
      <c r="B239" s="380"/>
      <c r="C239" s="143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47"/>
    </row>
    <row r="240" spans="1:20" ht="15.6" thickTop="1" thickBot="1">
      <c r="A240" s="73"/>
      <c r="B240" s="380"/>
      <c r="C240" s="143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42"/>
    </row>
    <row r="241" spans="1:20" ht="15.6" thickTop="1" thickBot="1">
      <c r="A241" s="73"/>
      <c r="B241" s="380"/>
      <c r="C241" s="143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42"/>
    </row>
    <row r="242" spans="1:20" ht="15.6" thickTop="1" thickBot="1">
      <c r="A242" s="73"/>
      <c r="B242" s="380"/>
      <c r="C242" s="136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55"/>
      <c r="P242" s="91"/>
      <c r="Q242" s="142"/>
    </row>
    <row r="243" spans="1:20" ht="15.6" thickTop="1" thickBot="1">
      <c r="A243" s="73"/>
      <c r="B243" s="380"/>
      <c r="C243" s="124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25"/>
      <c r="T243" s="145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e">
        <f ca="1">OFFSET('0'!$B$112,($A$1-1)*10,$B244-1)</f>
        <v>#REF!</v>
      </c>
      <c r="B244" s="380">
        <f ca="1">OFFSET('0'!$B$111,($A$1-1)*10,30)</f>
        <v>-29</v>
      </c>
      <c r="C244" s="137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40"/>
    </row>
    <row r="245" spans="1:20" s="120" customFormat="1" ht="15.6" thickTop="1" thickBot="1">
      <c r="A245" s="74"/>
      <c r="B245" s="380"/>
      <c r="C245" s="141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90"/>
        <v>0</v>
      </c>
      <c r="O245" s="269"/>
      <c r="P245" s="296"/>
      <c r="Q245" s="147"/>
    </row>
    <row r="246" spans="1:20" s="120" customFormat="1" ht="15.6" thickTop="1" thickBot="1">
      <c r="A246" s="74"/>
      <c r="B246" s="380"/>
      <c r="C246" s="141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91">SUM(D246-E246)</f>
        <v>0</v>
      </c>
      <c r="N246" s="269">
        <f t="shared" si="90"/>
        <v>0</v>
      </c>
      <c r="O246" s="269"/>
      <c r="P246" s="294"/>
      <c r="Q246" s="147"/>
    </row>
    <row r="247" spans="1:20" s="120" customFormat="1" ht="15.6" thickTop="1" thickBot="1">
      <c r="A247" s="74"/>
      <c r="B247" s="380"/>
      <c r="C247" s="143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91"/>
        <v>0</v>
      </c>
      <c r="N247" s="269">
        <f t="shared" si="90"/>
        <v>0</v>
      </c>
      <c r="O247" s="269"/>
      <c r="P247" s="294"/>
      <c r="Q247" s="147"/>
    </row>
    <row r="248" spans="1:20" ht="15.6" thickTop="1" thickBot="1">
      <c r="A248" s="73"/>
      <c r="B248" s="380"/>
      <c r="C248" s="143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1"/>
        <v>0</v>
      </c>
      <c r="N248" s="269">
        <f t="shared" si="90"/>
        <v>0</v>
      </c>
      <c r="O248" s="269"/>
      <c r="P248" s="290"/>
      <c r="Q248" s="142"/>
    </row>
    <row r="249" spans="1:20" ht="15.6" thickTop="1" thickBot="1">
      <c r="A249" s="73"/>
      <c r="B249" s="380"/>
      <c r="C249" s="143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1"/>
        <v>0</v>
      </c>
      <c r="N249" s="269">
        <f t="shared" si="90"/>
        <v>0</v>
      </c>
      <c r="O249" s="269"/>
      <c r="P249" s="290"/>
      <c r="Q249" s="142"/>
    </row>
    <row r="250" spans="1:20" ht="15.6" thickTop="1" thickBot="1">
      <c r="A250" s="73"/>
      <c r="B250" s="380"/>
      <c r="C250" s="136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55"/>
      <c r="P250" s="91"/>
      <c r="Q250" s="142"/>
    </row>
    <row r="251" spans="1:20" ht="15.6" thickTop="1" thickBot="1">
      <c r="A251" s="73"/>
      <c r="B251" s="380"/>
      <c r="C251" s="124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25"/>
      <c r="T251" s="145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26" t="s">
        <v>31</v>
      </c>
      <c r="D253" s="117">
        <f t="shared" ref="D253:P253" si="93">SUM(D250,D242,D234,D226,D218,D210,D202,D194,D186,D178,D170,D162,D154,D146,D138,D130,D122,D114,D106,D98,D90,D82,D74,D66,D58,D50,D42,D34,D26,D18,D10)</f>
        <v>114</v>
      </c>
      <c r="E253" s="298">
        <f t="shared" si="93"/>
        <v>110</v>
      </c>
      <c r="F253" s="299">
        <f t="shared" si="93"/>
        <v>21</v>
      </c>
      <c r="G253" s="299">
        <f t="shared" si="93"/>
        <v>17</v>
      </c>
      <c r="H253" s="299">
        <f t="shared" si="93"/>
        <v>0</v>
      </c>
      <c r="I253" s="299">
        <f t="shared" si="93"/>
        <v>13</v>
      </c>
      <c r="J253" s="299">
        <f t="shared" si="93"/>
        <v>9</v>
      </c>
      <c r="K253" s="299">
        <f t="shared" si="93"/>
        <v>0</v>
      </c>
      <c r="L253" s="300">
        <f t="shared" si="93"/>
        <v>295574.59999999998</v>
      </c>
      <c r="M253" s="298">
        <f t="shared" si="93"/>
        <v>4</v>
      </c>
      <c r="N253" s="117">
        <f t="shared" si="93"/>
        <v>114</v>
      </c>
      <c r="O253" s="117">
        <f t="shared" si="93"/>
        <v>4</v>
      </c>
      <c r="P253" s="117">
        <f t="shared" si="93"/>
        <v>10</v>
      </c>
    </row>
    <row r="254" spans="1:20">
      <c r="C254" s="126" t="s">
        <v>57</v>
      </c>
      <c r="D254" s="287">
        <f>D253</f>
        <v>114</v>
      </c>
      <c r="E254" s="287">
        <f>E253</f>
        <v>110</v>
      </c>
      <c r="F254" s="377">
        <f>SUM(F251,F243,F235,F227,F219,F211,F203,F195,F187,F179,F171,F163,F155,F147,F139,F131,F123,F115,F107,F99,F91,F83,F75,F67,F59,F51,F43,F35,F27,F19,F11)</f>
        <v>60</v>
      </c>
      <c r="G254" s="378"/>
      <c r="H254" s="378"/>
      <c r="I254" s="378"/>
      <c r="J254" s="378"/>
      <c r="K254" s="379"/>
      <c r="L254" s="288">
        <f>L253</f>
        <v>295574.59999999998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256" priority="32">
      <formula>$A12&lt;&gt;"--"</formula>
    </cfRule>
  </conditionalFormatting>
  <conditionalFormatting sqref="B20:B27">
    <cfRule type="expression" dxfId="255" priority="31">
      <formula>$A20&lt;&gt;"--"</formula>
    </cfRule>
  </conditionalFormatting>
  <conditionalFormatting sqref="B28:B35">
    <cfRule type="expression" dxfId="254" priority="30">
      <formula>$A28&lt;&gt;"--"</formula>
    </cfRule>
  </conditionalFormatting>
  <conditionalFormatting sqref="B36:B43">
    <cfRule type="expression" dxfId="253" priority="29">
      <formula>$A36&lt;&gt;"--"</formula>
    </cfRule>
  </conditionalFormatting>
  <conditionalFormatting sqref="B44:B51">
    <cfRule type="expression" dxfId="252" priority="28">
      <formula>$A44&lt;&gt;"--"</formula>
    </cfRule>
  </conditionalFormatting>
  <conditionalFormatting sqref="B52:B59">
    <cfRule type="expression" dxfId="251" priority="27">
      <formula>$A52&lt;&gt;"--"</formula>
    </cfRule>
  </conditionalFormatting>
  <conditionalFormatting sqref="B60:B67">
    <cfRule type="expression" dxfId="250" priority="26">
      <formula>$A60&lt;&gt;"--"</formula>
    </cfRule>
  </conditionalFormatting>
  <conditionalFormatting sqref="B68:B75">
    <cfRule type="expression" dxfId="249" priority="25">
      <formula>$A68&lt;&gt;"--"</formula>
    </cfRule>
  </conditionalFormatting>
  <conditionalFormatting sqref="B76:B83">
    <cfRule type="expression" dxfId="248" priority="24">
      <formula>$A76&lt;&gt;"--"</formula>
    </cfRule>
  </conditionalFormatting>
  <conditionalFormatting sqref="B84:B91">
    <cfRule type="expression" dxfId="247" priority="23">
      <formula>$A84&lt;&gt;"--"</formula>
    </cfRule>
  </conditionalFormatting>
  <conditionalFormatting sqref="B92:B99">
    <cfRule type="expression" dxfId="246" priority="22">
      <formula>$A92&lt;&gt;"--"</formula>
    </cfRule>
  </conditionalFormatting>
  <conditionalFormatting sqref="B100:B107">
    <cfRule type="expression" dxfId="245" priority="21">
      <formula>$A100&lt;&gt;"--"</formula>
    </cfRule>
  </conditionalFormatting>
  <conditionalFormatting sqref="B108:B115">
    <cfRule type="expression" dxfId="244" priority="20">
      <formula>$A108&lt;&gt;"--"</formula>
    </cfRule>
  </conditionalFormatting>
  <conditionalFormatting sqref="B116:B123">
    <cfRule type="expression" dxfId="243" priority="19">
      <formula>$A116&lt;&gt;"--"</formula>
    </cfRule>
  </conditionalFormatting>
  <conditionalFormatting sqref="B124:B131">
    <cfRule type="expression" dxfId="242" priority="18">
      <formula>$A124&lt;&gt;"--"</formula>
    </cfRule>
  </conditionalFormatting>
  <conditionalFormatting sqref="B132:B139">
    <cfRule type="expression" dxfId="241" priority="17">
      <formula>$A132&lt;&gt;"--"</formula>
    </cfRule>
  </conditionalFormatting>
  <conditionalFormatting sqref="B140:B147">
    <cfRule type="expression" dxfId="240" priority="16">
      <formula>$A140&lt;&gt;"--"</formula>
    </cfRule>
  </conditionalFormatting>
  <conditionalFormatting sqref="B148:B155">
    <cfRule type="expression" dxfId="239" priority="15">
      <formula>$A148&lt;&gt;"--"</formula>
    </cfRule>
  </conditionalFormatting>
  <conditionalFormatting sqref="B156:B163">
    <cfRule type="expression" dxfId="238" priority="14">
      <formula>$A156&lt;&gt;"--"</formula>
    </cfRule>
  </conditionalFormatting>
  <conditionalFormatting sqref="B164:B171">
    <cfRule type="expression" dxfId="237" priority="13">
      <formula>$A164&lt;&gt;"--"</formula>
    </cfRule>
  </conditionalFormatting>
  <conditionalFormatting sqref="B172:B179">
    <cfRule type="expression" dxfId="236" priority="12">
      <formula>$A172&lt;&gt;"--"</formula>
    </cfRule>
  </conditionalFormatting>
  <conditionalFormatting sqref="B180:B187">
    <cfRule type="expression" dxfId="235" priority="11">
      <formula>$A180&lt;&gt;"--"</formula>
    </cfRule>
  </conditionalFormatting>
  <conditionalFormatting sqref="B188:B195">
    <cfRule type="expression" dxfId="234" priority="10">
      <formula>$A188&lt;&gt;"--"</formula>
    </cfRule>
  </conditionalFormatting>
  <conditionalFormatting sqref="B196:B203">
    <cfRule type="expression" dxfId="233" priority="9">
      <formula>$A196&lt;&gt;"--"</formula>
    </cfRule>
  </conditionalFormatting>
  <conditionalFormatting sqref="B204:B211">
    <cfRule type="expression" dxfId="232" priority="8">
      <formula>$A204&lt;&gt;"--"</formula>
    </cfRule>
  </conditionalFormatting>
  <conditionalFormatting sqref="B212:B219">
    <cfRule type="expression" dxfId="231" priority="7">
      <formula>$A212&lt;&gt;"--"</formula>
    </cfRule>
  </conditionalFormatting>
  <conditionalFormatting sqref="B220:B227">
    <cfRule type="expression" dxfId="230" priority="6">
      <formula>$A220&lt;&gt;"--"</formula>
    </cfRule>
  </conditionalFormatting>
  <conditionalFormatting sqref="B228:B251">
    <cfRule type="expression" dxfId="229" priority="5">
      <formula>$A228&lt;&gt;"--"</formula>
    </cfRule>
  </conditionalFormatting>
  <conditionalFormatting sqref="B236:B243">
    <cfRule type="expression" dxfId="228" priority="4">
      <formula>$A236&lt;&gt;"--"</formula>
    </cfRule>
  </conditionalFormatting>
  <conditionalFormatting sqref="B244:B251">
    <cfRule type="expression" dxfId="227" priority="3">
      <formula>$A244&lt;&gt;"--"</formula>
    </cfRule>
  </conditionalFormatting>
  <conditionalFormatting sqref="B4:B11">
    <cfRule type="expression" dxfId="226" priority="2">
      <formula>$A4&lt;&gt;"--"</formula>
    </cfRule>
  </conditionalFormatting>
  <conditionalFormatting sqref="B228:B251">
    <cfRule type="cellIs" dxfId="225" priority="1" operator="lessThan">
      <formula>0</formula>
    </cfRule>
  </conditionalFormatting>
  <dataValidations disablePrompts="1"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12:C17 C20:C25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V254"/>
  <sheetViews>
    <sheetView topLeftCell="A218" workbookViewId="0">
      <selection activeCell="U5" sqref="U5:V16"/>
    </sheetView>
  </sheetViews>
  <sheetFormatPr defaultColWidth="15.109375" defaultRowHeight="14.4"/>
  <cols>
    <col min="1" max="2" width="15.109375" style="161"/>
    <col min="3" max="3" width="22.109375" style="162" customWidth="1"/>
    <col min="4" max="11" width="15.1093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15.109375" style="161"/>
    <col min="20" max="20" width="26" style="162" customWidth="1"/>
    <col min="21" max="16384" width="15.109375" style="161"/>
  </cols>
  <sheetData>
    <row r="1" spans="1:22">
      <c r="A1" s="161">
        <v>7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metų'!V6:V11)</f>
        <v>11082547.809999999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178"/>
      <c r="D4" s="301"/>
      <c r="E4" s="302"/>
      <c r="F4" s="303"/>
      <c r="G4" s="303"/>
      <c r="H4" s="303"/>
      <c r="I4" s="303"/>
      <c r="J4" s="303"/>
      <c r="K4" s="303"/>
      <c r="L4" s="304"/>
      <c r="M4" s="302">
        <f>SUM(D4-E4)</f>
        <v>0</v>
      </c>
      <c r="N4" s="305">
        <f t="shared" ref="N4:N9" si="0">SUM(E4,M4)</f>
        <v>0</v>
      </c>
      <c r="O4" s="305"/>
      <c r="P4" s="306"/>
      <c r="Q4" s="179"/>
      <c r="T4" s="384"/>
    </row>
    <row r="5" spans="1:22">
      <c r="A5" s="73"/>
      <c r="B5" s="392"/>
      <c r="C5" s="49" t="s">
        <v>213</v>
      </c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81"/>
    </row>
    <row r="6" spans="1:22">
      <c r="A6" s="73"/>
      <c r="B6" s="392"/>
      <c r="C6" s="49" t="s">
        <v>48</v>
      </c>
      <c r="D6" s="266"/>
      <c r="E6" s="267"/>
      <c r="F6" s="268"/>
      <c r="G6" s="268"/>
      <c r="H6" s="268"/>
      <c r="I6" s="268"/>
      <c r="J6" s="268"/>
      <c r="K6" s="268"/>
      <c r="L6" s="289"/>
      <c r="M6" s="267">
        <f>SUM(D6-E6)</f>
        <v>0</v>
      </c>
      <c r="N6" s="269">
        <f t="shared" si="0"/>
        <v>0</v>
      </c>
      <c r="O6" s="269"/>
      <c r="P6" s="290"/>
      <c r="Q6" s="181"/>
      <c r="V6" s="86"/>
    </row>
    <row r="7" spans="1:22">
      <c r="A7" s="73"/>
      <c r="B7" s="392"/>
      <c r="C7" s="49" t="s">
        <v>157</v>
      </c>
      <c r="D7" s="266"/>
      <c r="E7" s="267"/>
      <c r="F7" s="268"/>
      <c r="G7" s="268"/>
      <c r="H7" s="268"/>
      <c r="I7" s="268"/>
      <c r="J7" s="268"/>
      <c r="K7" s="268"/>
      <c r="L7" s="289"/>
      <c r="M7" s="267">
        <f>SUM(D7-E7)</f>
        <v>0</v>
      </c>
      <c r="N7" s="269">
        <f t="shared" si="0"/>
        <v>0</v>
      </c>
      <c r="O7" s="269"/>
      <c r="P7" s="290"/>
      <c r="Q7" s="181"/>
      <c r="V7" s="86"/>
    </row>
    <row r="8" spans="1:22">
      <c r="A8" s="73"/>
      <c r="B8" s="392"/>
      <c r="C8" s="182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ref="M8:M9" si="1">SUM(D8-E8)</f>
        <v>0</v>
      </c>
      <c r="N8" s="269">
        <f t="shared" si="0"/>
        <v>0</v>
      </c>
      <c r="O8" s="269"/>
      <c r="P8" s="290"/>
      <c r="Q8" s="181"/>
      <c r="V8" s="86"/>
    </row>
    <row r="9" spans="1:22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81"/>
      <c r="V9" s="86"/>
    </row>
    <row r="10" spans="1:22" ht="15" thickBot="1">
      <c r="A10" s="73"/>
      <c r="B10" s="392"/>
      <c r="C10" s="183" t="s">
        <v>69</v>
      </c>
      <c r="D10" s="266">
        <f>SUM(D4:D9)</f>
        <v>0</v>
      </c>
      <c r="E10" s="267">
        <f>SUM(E4:E9)</f>
        <v>0</v>
      </c>
      <c r="F10" s="268">
        <f>SUM(F4:F9)</f>
        <v>0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68">
        <f t="shared" si="2"/>
        <v>0</v>
      </c>
      <c r="L10" s="273"/>
      <c r="M10" s="267">
        <f>SUM(M4:M9)</f>
        <v>0</v>
      </c>
      <c r="N10" s="269">
        <f>SUM(N4:N9)</f>
        <v>0</v>
      </c>
      <c r="O10" s="170"/>
      <c r="P10" s="171"/>
      <c r="Q10" s="181"/>
      <c r="V10" s="86"/>
    </row>
    <row r="11" spans="1:22" ht="15" thickBot="1">
      <c r="A11" s="73"/>
      <c r="B11" s="393"/>
      <c r="C11" s="16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68"/>
      <c r="T11" s="184">
        <f>$V$3+L11</f>
        <v>11082547.809999999</v>
      </c>
      <c r="V11" s="86"/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49" t="s">
        <v>157</v>
      </c>
      <c r="D12" s="284"/>
      <c r="E12" s="285"/>
      <c r="F12" s="286"/>
      <c r="G12" s="286"/>
      <c r="H12" s="286"/>
      <c r="I12" s="286"/>
      <c r="J12" s="286"/>
      <c r="K12" s="286"/>
      <c r="L12" s="295"/>
      <c r="M12" s="302">
        <f>SUM(D12-E12)</f>
        <v>0</v>
      </c>
      <c r="N12" s="305">
        <f t="shared" ref="N12:N17" si="3">SUM(E12,M12)</f>
        <v>0</v>
      </c>
      <c r="O12" s="305"/>
      <c r="P12" s="292"/>
      <c r="Q12" s="186"/>
    </row>
    <row r="13" spans="1:22" ht="17.25" customHeight="1">
      <c r="A13" s="73"/>
      <c r="B13" s="392"/>
      <c r="C13" s="180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3"/>
        <v>0</v>
      </c>
      <c r="O13" s="269"/>
      <c r="P13" s="290"/>
      <c r="Q13" s="181"/>
    </row>
    <row r="14" spans="1:22">
      <c r="A14" s="73"/>
      <c r="B14" s="392"/>
      <c r="C14" s="180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4">SUM(D14-E14)</f>
        <v>0</v>
      </c>
      <c r="N14" s="269">
        <f t="shared" si="3"/>
        <v>0</v>
      </c>
      <c r="O14" s="269"/>
      <c r="P14" s="290"/>
      <c r="Q14" s="181"/>
    </row>
    <row r="15" spans="1:22">
      <c r="A15" s="73"/>
      <c r="B15" s="392"/>
      <c r="C15" s="182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4"/>
        <v>0</v>
      </c>
      <c r="N15" s="269">
        <f t="shared" si="3"/>
        <v>0</v>
      </c>
      <c r="O15" s="269"/>
      <c r="P15" s="290"/>
      <c r="Q15" s="181"/>
    </row>
    <row r="16" spans="1:22">
      <c r="A16" s="73"/>
      <c r="B16" s="392"/>
      <c r="C16" s="182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>SUM(D16-E16)</f>
        <v>0</v>
      </c>
      <c r="N16" s="279">
        <f t="shared" si="3"/>
        <v>0</v>
      </c>
      <c r="O16" s="279"/>
      <c r="P16" s="292"/>
      <c r="Q16" s="187"/>
    </row>
    <row r="17" spans="1:22" ht="15" thickBot="1">
      <c r="A17" s="73"/>
      <c r="B17" s="392"/>
      <c r="C17" s="182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87"/>
      <c r="U17" s="83"/>
      <c r="V17" s="84"/>
    </row>
    <row r="18" spans="1:22" ht="15" thickBot="1">
      <c r="A18" s="73"/>
      <c r="B18" s="392"/>
      <c r="C18" s="183" t="s">
        <v>69</v>
      </c>
      <c r="D18" s="266">
        <f>SUM(D12:D17)</f>
        <v>0</v>
      </c>
      <c r="E18" s="267">
        <f>SUM(E12:E17)</f>
        <v>0</v>
      </c>
      <c r="F18" s="268">
        <f>SUM(F12:F17)</f>
        <v>0</v>
      </c>
      <c r="G18" s="268">
        <f t="shared" ref="G18:K18" si="5">SUM(G12:G17)</f>
        <v>0</v>
      </c>
      <c r="H18" s="268">
        <f t="shared" si="5"/>
        <v>0</v>
      </c>
      <c r="I18" s="268">
        <f t="shared" si="5"/>
        <v>0</v>
      </c>
      <c r="J18" s="268">
        <f t="shared" si="5"/>
        <v>0</v>
      </c>
      <c r="K18" s="268">
        <f t="shared" si="5"/>
        <v>0</v>
      </c>
      <c r="L18" s="273"/>
      <c r="M18" s="267">
        <f>SUM(M12:M17)</f>
        <v>0</v>
      </c>
      <c r="N18" s="280">
        <f>SUM(N12:N17)</f>
        <v>0</v>
      </c>
      <c r="O18" s="188"/>
      <c r="P18" s="189"/>
      <c r="Q18" s="187"/>
      <c r="U18" s="85"/>
      <c r="V18" s="85"/>
    </row>
    <row r="19" spans="1:22" ht="15" thickBot="1">
      <c r="A19" s="73"/>
      <c r="B19" s="393"/>
      <c r="C19" s="16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68"/>
      <c r="T19" s="184">
        <f>$V$3+L11+L19</f>
        <v>11082547.809999999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78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0</v>
      </c>
      <c r="O20" s="305"/>
      <c r="P20" s="306"/>
      <c r="Q20" s="179"/>
    </row>
    <row r="21" spans="1:22" ht="15.6" thickTop="1" thickBot="1">
      <c r="A21" s="73"/>
      <c r="B21" s="380"/>
      <c r="C21" s="180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81"/>
    </row>
    <row r="22" spans="1:22" ht="15.6" thickTop="1" thickBot="1">
      <c r="A22" s="73"/>
      <c r="B22" s="380"/>
      <c r="C22" s="180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81"/>
    </row>
    <row r="23" spans="1:22" ht="15.6" thickTop="1" thickBot="1">
      <c r="A23" s="73"/>
      <c r="B23" s="380"/>
      <c r="C23" s="182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81"/>
    </row>
    <row r="24" spans="1:22" ht="15.6" thickTop="1" thickBot="1">
      <c r="A24" s="73"/>
      <c r="B24" s="380"/>
      <c r="C24" s="182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87"/>
    </row>
    <row r="25" spans="1:22" ht="15.6" thickTop="1" thickBot="1">
      <c r="A25" s="73"/>
      <c r="B25" s="380"/>
      <c r="C25" s="182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87"/>
    </row>
    <row r="26" spans="1:22" ht="15.6" thickTop="1" thickBot="1">
      <c r="A26" s="73"/>
      <c r="B26" s="380"/>
      <c r="C26" s="183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0</v>
      </c>
      <c r="O26" s="188"/>
      <c r="P26" s="189"/>
      <c r="Q26" s="187"/>
    </row>
    <row r="27" spans="1:22" ht="15.6" thickTop="1" thickBot="1">
      <c r="A27" s="73"/>
      <c r="B27" s="380"/>
      <c r="C27" s="173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74"/>
      <c r="T27" s="184">
        <f>$V$3++L11+L19+L27</f>
        <v>11082547.809999999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78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79"/>
    </row>
    <row r="29" spans="1:22" ht="17.25" customHeight="1" thickTop="1" thickBot="1">
      <c r="A29" s="73"/>
      <c r="B29" s="380"/>
      <c r="C29" s="180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81"/>
    </row>
    <row r="30" spans="1:22" ht="17.25" customHeight="1" thickTop="1" thickBot="1">
      <c r="A30" s="73"/>
      <c r="B30" s="380"/>
      <c r="C30" s="180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81"/>
    </row>
    <row r="31" spans="1:22" ht="17.25" customHeight="1" thickTop="1" thickBot="1">
      <c r="A31" s="73"/>
      <c r="B31" s="380"/>
      <c r="C31" s="182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81"/>
    </row>
    <row r="32" spans="1:22" ht="15.6" thickTop="1" thickBot="1">
      <c r="A32" s="73"/>
      <c r="B32" s="380"/>
      <c r="C32" s="182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81"/>
    </row>
    <row r="33" spans="1:20" ht="15.6" thickTop="1" thickBot="1">
      <c r="A33" s="73"/>
      <c r="B33" s="380"/>
      <c r="C33" s="182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81"/>
    </row>
    <row r="34" spans="1:20" ht="15.6" thickTop="1" thickBot="1">
      <c r="A34" s="73"/>
      <c r="B34" s="380"/>
      <c r="C34" s="183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70"/>
      <c r="P34" s="171"/>
      <c r="Q34" s="181"/>
    </row>
    <row r="35" spans="1:20" ht="15.6" thickTop="1" thickBot="1">
      <c r="A35" s="73"/>
      <c r="B35" s="380"/>
      <c r="C35" s="16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68"/>
      <c r="T35" s="184">
        <f>$V$3+L11+L19+L27+L35</f>
        <v>11082547.809999999</v>
      </c>
    </row>
    <row r="36" spans="1:20" ht="15.6" thickTop="1" thickBot="1">
      <c r="A36" s="73" t="str">
        <f ca="1">OFFSET('0'!$B$112,($A$1-1)*10,$B36-1)</f>
        <v>SS</v>
      </c>
      <c r="B36" s="380">
        <f ca="1">OFFSET('0'!$B$111,($A$1-1)*10,4)</f>
        <v>5</v>
      </c>
      <c r="C36" s="178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79"/>
    </row>
    <row r="37" spans="1:20" ht="15.6" thickTop="1" thickBot="1">
      <c r="A37" s="73"/>
      <c r="B37" s="380"/>
      <c r="C37" s="180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81"/>
    </row>
    <row r="38" spans="1:20" ht="15.6" thickTop="1" thickBot="1">
      <c r="A38" s="73"/>
      <c r="B38" s="380"/>
      <c r="C38" s="180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81"/>
    </row>
    <row r="39" spans="1:20" ht="15.6" thickTop="1" thickBot="1">
      <c r="A39" s="73"/>
      <c r="B39" s="380"/>
      <c r="C39" s="182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81"/>
    </row>
    <row r="40" spans="1:20" ht="15.6" thickTop="1" thickBot="1">
      <c r="A40" s="73"/>
      <c r="B40" s="380"/>
      <c r="C40" s="182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81"/>
    </row>
    <row r="41" spans="1:20" ht="15.6" thickTop="1" thickBot="1">
      <c r="A41" s="73"/>
      <c r="B41" s="380"/>
      <c r="C41" s="182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81"/>
    </row>
    <row r="42" spans="1:20" ht="15.6" thickTop="1" thickBot="1">
      <c r="A42" s="73"/>
      <c r="B42" s="380"/>
      <c r="C42" s="183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172"/>
      <c r="P42" s="185"/>
      <c r="Q42" s="187"/>
    </row>
    <row r="43" spans="1:20" ht="15.6" thickTop="1" thickBot="1">
      <c r="A43" s="73"/>
      <c r="B43" s="380"/>
      <c r="C43" s="16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68"/>
      <c r="T43" s="184">
        <f>$V$3+L11+L19+L27+L35+L43</f>
        <v>11082547.809999999</v>
      </c>
    </row>
    <row r="44" spans="1:20" ht="15.6" thickTop="1" thickBot="1">
      <c r="A44" s="73" t="str">
        <f ca="1">OFFSET('0'!$B$112,($A$1-1)*10,$B44-1)</f>
        <v>SV</v>
      </c>
      <c r="B44" s="380">
        <f ca="1">OFFSET('0'!$B$111,($A$1-1)*10,5)</f>
        <v>6</v>
      </c>
      <c r="C44" s="178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79"/>
    </row>
    <row r="45" spans="1:20" ht="15.6" thickTop="1" thickBot="1">
      <c r="A45" s="73"/>
      <c r="B45" s="380"/>
      <c r="C45" s="180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81"/>
    </row>
    <row r="46" spans="1:20" ht="15.6" thickTop="1" thickBot="1">
      <c r="A46" s="73"/>
      <c r="B46" s="380"/>
      <c r="C46" s="180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81"/>
    </row>
    <row r="47" spans="1:20" ht="15.6" thickTop="1" thickBot="1">
      <c r="A47" s="73"/>
      <c r="B47" s="380"/>
      <c r="C47" s="182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81"/>
    </row>
    <row r="48" spans="1:20" ht="15.6" thickTop="1" thickBot="1">
      <c r="A48" s="73"/>
      <c r="B48" s="380"/>
      <c r="C48" s="182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87"/>
    </row>
    <row r="49" spans="1:20" ht="15.6" thickTop="1" thickBot="1">
      <c r="A49" s="73"/>
      <c r="B49" s="380"/>
      <c r="C49" s="182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87"/>
    </row>
    <row r="50" spans="1:20" ht="15.6" thickTop="1" thickBot="1">
      <c r="A50" s="73"/>
      <c r="B50" s="380"/>
      <c r="C50" s="183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188"/>
      <c r="P50" s="189"/>
      <c r="Q50" s="187"/>
    </row>
    <row r="51" spans="1:20" ht="15.6" thickTop="1" thickBot="1">
      <c r="A51" s="73"/>
      <c r="B51" s="380"/>
      <c r="C51" s="173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74"/>
      <c r="T51" s="184">
        <f>$V$3+L11+L19+L27+L35+L43+L51</f>
        <v>11082547.809999999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78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79"/>
    </row>
    <row r="53" spans="1:20" ht="15.6" thickTop="1" thickBot="1">
      <c r="A53" s="73"/>
      <c r="B53" s="380"/>
      <c r="C53" s="180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81"/>
    </row>
    <row r="54" spans="1:20" ht="15.6" thickTop="1" thickBot="1">
      <c r="A54" s="73"/>
      <c r="B54" s="380"/>
      <c r="C54" s="180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81"/>
    </row>
    <row r="55" spans="1:20" ht="15.6" thickTop="1" thickBot="1">
      <c r="A55" s="73"/>
      <c r="B55" s="380"/>
      <c r="C55" s="182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81"/>
    </row>
    <row r="56" spans="1:20" ht="15.6" thickTop="1" thickBot="1">
      <c r="A56" s="73"/>
      <c r="B56" s="380"/>
      <c r="C56" s="182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87"/>
    </row>
    <row r="57" spans="1:20" ht="15.6" thickTop="1" thickBot="1">
      <c r="A57" s="73"/>
      <c r="B57" s="380"/>
      <c r="C57" s="182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87"/>
    </row>
    <row r="58" spans="1:20" ht="15.6" thickTop="1" thickBot="1">
      <c r="A58" s="73"/>
      <c r="B58" s="380"/>
      <c r="C58" s="183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188"/>
      <c r="P58" s="189"/>
      <c r="Q58" s="187"/>
    </row>
    <row r="59" spans="1:20" ht="15.6" thickTop="1" thickBot="1">
      <c r="A59" s="73"/>
      <c r="B59" s="380"/>
      <c r="C59" s="16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68"/>
      <c r="T59" s="184">
        <f>$V$3+L11+L19+L27+L35+L43+L51+L59</f>
        <v>11082547.809999999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78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79"/>
    </row>
    <row r="61" spans="1:20" ht="15.6" thickTop="1" thickBot="1">
      <c r="A61" s="73"/>
      <c r="B61" s="380"/>
      <c r="C61" s="180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81"/>
    </row>
    <row r="62" spans="1:20" ht="15.6" thickTop="1" thickBot="1">
      <c r="A62" s="73"/>
      <c r="B62" s="380"/>
      <c r="C62" s="180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81"/>
    </row>
    <row r="63" spans="1:20" ht="15.6" thickTop="1" thickBot="1">
      <c r="A63" s="73"/>
      <c r="B63" s="380"/>
      <c r="C63" s="182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81"/>
    </row>
    <row r="64" spans="1:20" ht="15.6" thickTop="1" thickBot="1">
      <c r="A64" s="73"/>
      <c r="B64" s="380"/>
      <c r="C64" s="182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87"/>
    </row>
    <row r="65" spans="1:20" ht="15.6" thickTop="1" thickBot="1">
      <c r="A65" s="73"/>
      <c r="B65" s="380"/>
      <c r="C65" s="182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87"/>
    </row>
    <row r="66" spans="1:20" ht="15.6" thickTop="1" thickBot="1">
      <c r="A66" s="73"/>
      <c r="B66" s="380"/>
      <c r="C66" s="183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188"/>
      <c r="P66" s="189"/>
      <c r="Q66" s="187"/>
    </row>
    <row r="67" spans="1:20" ht="15.6" thickTop="1" thickBot="1">
      <c r="A67" s="73"/>
      <c r="B67" s="380"/>
      <c r="C67" s="16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68"/>
      <c r="T67" s="184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78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79"/>
    </row>
    <row r="69" spans="1:20" ht="15.6" thickTop="1" thickBot="1">
      <c r="A69" s="73"/>
      <c r="B69" s="380"/>
      <c r="C69" s="180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81"/>
    </row>
    <row r="70" spans="1:20" ht="15.6" thickTop="1" thickBot="1">
      <c r="A70" s="73"/>
      <c r="B70" s="380"/>
      <c r="C70" s="180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81"/>
    </row>
    <row r="71" spans="1:20" ht="15.6" thickTop="1" thickBot="1">
      <c r="A71" s="73"/>
      <c r="B71" s="380"/>
      <c r="C71" s="182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81"/>
    </row>
    <row r="72" spans="1:20" ht="15.6" thickTop="1" thickBot="1">
      <c r="A72" s="73"/>
      <c r="B72" s="380"/>
      <c r="C72" s="182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81"/>
    </row>
    <row r="73" spans="1:20" ht="15.6" thickTop="1" thickBot="1">
      <c r="A73" s="73"/>
      <c r="B73" s="380"/>
      <c r="C73" s="182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81"/>
    </row>
    <row r="74" spans="1:20" ht="15.6" thickTop="1" thickBot="1">
      <c r="A74" s="73"/>
      <c r="B74" s="380"/>
      <c r="C74" s="183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70"/>
      <c r="P74" s="171"/>
      <c r="Q74" s="181"/>
    </row>
    <row r="75" spans="1:20" ht="15.6" thickTop="1" thickBot="1">
      <c r="A75" s="73"/>
      <c r="B75" s="380"/>
      <c r="C75" s="16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68"/>
      <c r="T75" s="184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78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79"/>
    </row>
    <row r="77" spans="1:20" ht="15.6" thickTop="1" thickBot="1">
      <c r="A77" s="73"/>
      <c r="B77" s="380"/>
      <c r="C77" s="180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81"/>
    </row>
    <row r="78" spans="1:20" ht="15.6" thickTop="1" thickBot="1">
      <c r="A78" s="73"/>
      <c r="B78" s="380"/>
      <c r="C78" s="180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81"/>
    </row>
    <row r="79" spans="1:20" ht="15.6" thickTop="1" thickBot="1">
      <c r="A79" s="73"/>
      <c r="B79" s="380"/>
      <c r="C79" s="182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81"/>
    </row>
    <row r="80" spans="1:20" ht="15.6" thickTop="1" thickBot="1">
      <c r="A80" s="73"/>
      <c r="B80" s="380"/>
      <c r="C80" s="182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81"/>
    </row>
    <row r="81" spans="1:20" ht="15.6" thickTop="1" thickBot="1">
      <c r="A81" s="73"/>
      <c r="B81" s="380"/>
      <c r="C81" s="182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81"/>
    </row>
    <row r="82" spans="1:20" ht="15.6" thickTop="1" thickBot="1">
      <c r="A82" s="73"/>
      <c r="B82" s="380"/>
      <c r="C82" s="183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70"/>
      <c r="P82" s="171"/>
      <c r="Q82" s="181"/>
    </row>
    <row r="83" spans="1:20" ht="15.6" thickTop="1" thickBot="1">
      <c r="A83" s="73"/>
      <c r="B83" s="380"/>
      <c r="C83" s="16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68"/>
      <c r="T83" s="184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78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79"/>
    </row>
    <row r="85" spans="1:20" ht="15.6" thickTop="1" thickBot="1">
      <c r="A85" s="73"/>
      <c r="B85" s="380"/>
      <c r="C85" s="180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81"/>
    </row>
    <row r="86" spans="1:20" ht="15.6" thickTop="1" thickBot="1">
      <c r="A86" s="73"/>
      <c r="B86" s="380"/>
      <c r="C86" s="180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81"/>
    </row>
    <row r="87" spans="1:20" ht="15.6" thickTop="1" thickBot="1">
      <c r="A87" s="73"/>
      <c r="B87" s="380"/>
      <c r="C87" s="182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81"/>
    </row>
    <row r="88" spans="1:20" ht="15.6" thickTop="1" thickBot="1">
      <c r="A88" s="73"/>
      <c r="B88" s="380"/>
      <c r="C88" s="182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81"/>
    </row>
    <row r="89" spans="1:20" ht="15.6" thickTop="1" thickBot="1">
      <c r="A89" s="73"/>
      <c r="B89" s="380"/>
      <c r="C89" s="182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81"/>
    </row>
    <row r="90" spans="1:20" ht="15.6" thickTop="1" thickBot="1">
      <c r="A90" s="73"/>
      <c r="B90" s="380"/>
      <c r="C90" s="183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70"/>
      <c r="P90" s="171"/>
      <c r="Q90" s="181"/>
    </row>
    <row r="91" spans="1:20" ht="15.6" thickTop="1" thickBot="1">
      <c r="A91" s="73"/>
      <c r="B91" s="380"/>
      <c r="C91" s="16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68"/>
      <c r="T91" s="184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SS</v>
      </c>
      <c r="B92" s="380">
        <f ca="1">OFFSET('0'!$B$111,($A$1-1)*10,11)</f>
        <v>12</v>
      </c>
      <c r="C92" s="178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79"/>
    </row>
    <row r="93" spans="1:20" ht="15.6" thickTop="1" thickBot="1">
      <c r="A93" s="73"/>
      <c r="B93" s="380"/>
      <c r="C93" s="180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81"/>
    </row>
    <row r="94" spans="1:20" ht="15.6" thickTop="1" thickBot="1">
      <c r="A94" s="73"/>
      <c r="B94" s="380"/>
      <c r="C94" s="180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81"/>
    </row>
    <row r="95" spans="1:20" ht="15.6" thickTop="1" thickBot="1">
      <c r="A95" s="73"/>
      <c r="B95" s="380"/>
      <c r="C95" s="182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81"/>
    </row>
    <row r="96" spans="1:20" ht="15.6" thickTop="1" thickBot="1">
      <c r="A96" s="73"/>
      <c r="B96" s="380"/>
      <c r="C96" s="182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81"/>
    </row>
    <row r="97" spans="1:20" ht="15.6" thickTop="1" thickBot="1">
      <c r="A97" s="73"/>
      <c r="B97" s="380"/>
      <c r="C97" s="182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81"/>
    </row>
    <row r="98" spans="1:20" ht="15.6" thickTop="1" thickBot="1">
      <c r="A98" s="73"/>
      <c r="B98" s="380"/>
      <c r="C98" s="183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70"/>
      <c r="P98" s="171"/>
      <c r="Q98" s="181"/>
    </row>
    <row r="99" spans="1:20" ht="15.6" thickTop="1" thickBot="1">
      <c r="A99" s="73"/>
      <c r="B99" s="380"/>
      <c r="C99" s="16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68"/>
      <c r="T99" s="184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SK</v>
      </c>
      <c r="B100" s="380">
        <f ca="1">OFFSET('0'!$B$111,($A$1-1)*10,12)</f>
        <v>13</v>
      </c>
      <c r="C100" s="178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79"/>
    </row>
    <row r="101" spans="1:20" ht="15.6" thickTop="1" thickBot="1">
      <c r="A101" s="73"/>
      <c r="B101" s="380"/>
      <c r="C101" s="180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81"/>
    </row>
    <row r="102" spans="1:20" ht="15.6" thickTop="1" thickBot="1">
      <c r="A102" s="73"/>
      <c r="B102" s="380"/>
      <c r="C102" s="180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81"/>
    </row>
    <row r="103" spans="1:20" ht="15.6" thickTop="1" thickBot="1">
      <c r="A103" s="73"/>
      <c r="B103" s="380"/>
      <c r="C103" s="182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81"/>
    </row>
    <row r="104" spans="1:20" ht="15.6" thickTop="1" thickBot="1">
      <c r="A104" s="73"/>
      <c r="B104" s="380"/>
      <c r="C104" s="182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81"/>
    </row>
    <row r="105" spans="1:20" ht="15.6" thickTop="1" thickBot="1">
      <c r="A105" s="73"/>
      <c r="B105" s="380"/>
      <c r="C105" s="182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81"/>
    </row>
    <row r="106" spans="1:20" ht="15.6" thickTop="1" thickBot="1">
      <c r="A106" s="73"/>
      <c r="B106" s="380"/>
      <c r="C106" s="190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70"/>
      <c r="P106" s="171"/>
      <c r="Q106" s="181"/>
    </row>
    <row r="107" spans="1:20" ht="15.6" thickTop="1" thickBot="1">
      <c r="A107" s="73"/>
      <c r="B107" s="380"/>
      <c r="C107" s="16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68"/>
      <c r="T107" s="184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78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79"/>
    </row>
    <row r="109" spans="1:20" ht="15.6" thickTop="1" thickBot="1">
      <c r="A109" s="73"/>
      <c r="B109" s="380"/>
      <c r="C109" s="180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81"/>
    </row>
    <row r="110" spans="1:20" ht="15.6" thickTop="1" thickBot="1">
      <c r="A110" s="73"/>
      <c r="B110" s="380"/>
      <c r="C110" s="180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81"/>
    </row>
    <row r="111" spans="1:20" ht="15.6" thickTop="1" thickBot="1">
      <c r="A111" s="73"/>
      <c r="B111" s="380"/>
      <c r="C111" s="182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81"/>
    </row>
    <row r="112" spans="1:20" ht="15.6" thickTop="1" thickBot="1">
      <c r="A112" s="73"/>
      <c r="B112" s="380"/>
      <c r="C112" s="182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81"/>
    </row>
    <row r="113" spans="1:22" ht="15.6" thickTop="1" thickBot="1">
      <c r="A113" s="73"/>
      <c r="B113" s="380"/>
      <c r="C113" s="182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81"/>
    </row>
    <row r="114" spans="1:22" ht="15.6" thickTop="1" thickBot="1">
      <c r="A114" s="73"/>
      <c r="B114" s="380"/>
      <c r="C114" s="183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70"/>
      <c r="P114" s="171"/>
      <c r="Q114" s="181"/>
    </row>
    <row r="115" spans="1:22" ht="15.6" thickTop="1" thickBot="1">
      <c r="A115" s="73"/>
      <c r="B115" s="380"/>
      <c r="C115" s="16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68"/>
      <c r="S115" s="175"/>
      <c r="T115" s="184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--</v>
      </c>
      <c r="B116" s="380">
        <f ca="1">OFFSET('0'!$B$111,($A$1-1)*10,14)</f>
        <v>15</v>
      </c>
      <c r="C116" s="178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79"/>
    </row>
    <row r="117" spans="1:22" ht="15.6" thickTop="1" thickBot="1">
      <c r="A117" s="73"/>
      <c r="B117" s="380"/>
      <c r="C117" s="180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81"/>
    </row>
    <row r="118" spans="1:22" ht="15.6" thickTop="1" thickBot="1">
      <c r="A118" s="73"/>
      <c r="B118" s="380"/>
      <c r="C118" s="180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81"/>
      <c r="S118" s="175"/>
    </row>
    <row r="119" spans="1:22" ht="15.6" thickTop="1" thickBot="1">
      <c r="A119" s="73"/>
      <c r="B119" s="380"/>
      <c r="C119" s="182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81"/>
      <c r="S119" s="175"/>
    </row>
    <row r="120" spans="1:22" ht="15.6" thickTop="1" thickBot="1">
      <c r="A120" s="73"/>
      <c r="B120" s="380"/>
      <c r="C120" s="182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81"/>
      <c r="S120" s="175"/>
    </row>
    <row r="121" spans="1:22" ht="15.6" thickTop="1" thickBot="1">
      <c r="A121" s="73"/>
      <c r="B121" s="380"/>
      <c r="C121" s="182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81"/>
      <c r="S121" s="175"/>
    </row>
    <row r="122" spans="1:22" ht="15.6" thickTop="1" thickBot="1">
      <c r="A122" s="73"/>
      <c r="B122" s="380"/>
      <c r="C122" s="183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70"/>
      <c r="P122" s="171"/>
      <c r="Q122" s="181"/>
      <c r="S122" s="175"/>
    </row>
    <row r="123" spans="1:22" ht="15.6" thickTop="1" thickBot="1">
      <c r="A123" s="73"/>
      <c r="B123" s="380"/>
      <c r="C123" s="173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74"/>
      <c r="T123" s="184">
        <f>$V$3+L11+L19+L27+L35+L43+L51+L59+L67+L75+L83+L91+L99+L107+L115+L123</f>
        <v>11082547.809999999</v>
      </c>
      <c r="U123" s="175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78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79"/>
      <c r="V124" s="175"/>
    </row>
    <row r="125" spans="1:22" ht="15.6" thickTop="1" thickBot="1">
      <c r="A125" s="73"/>
      <c r="B125" s="380"/>
      <c r="C125" s="180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81"/>
    </row>
    <row r="126" spans="1:22" ht="15.6" thickTop="1" thickBot="1">
      <c r="A126" s="73"/>
      <c r="B126" s="380"/>
      <c r="C126" s="180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81"/>
    </row>
    <row r="127" spans="1:22" ht="15.6" thickTop="1" thickBot="1">
      <c r="A127" s="73"/>
      <c r="B127" s="380"/>
      <c r="C127" s="182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81"/>
    </row>
    <row r="128" spans="1:22" ht="15.6" thickTop="1" thickBot="1">
      <c r="A128" s="73"/>
      <c r="B128" s="380"/>
      <c r="C128" s="182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81"/>
    </row>
    <row r="129" spans="1:20" ht="15.6" thickTop="1" thickBot="1">
      <c r="A129" s="73"/>
      <c r="B129" s="380"/>
      <c r="C129" s="182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81"/>
    </row>
    <row r="130" spans="1:20" ht="15.6" thickTop="1" thickBot="1">
      <c r="A130" s="73"/>
      <c r="B130" s="380"/>
      <c r="C130" s="183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70"/>
      <c r="P130" s="171"/>
      <c r="Q130" s="181"/>
      <c r="S130" s="176"/>
    </row>
    <row r="131" spans="1:20" ht="15.6" thickTop="1" thickBot="1">
      <c r="A131" s="73"/>
      <c r="B131" s="380"/>
      <c r="C131" s="16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68"/>
      <c r="S131" s="175"/>
      <c r="T131" s="184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78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79"/>
    </row>
    <row r="133" spans="1:20" ht="15.6" thickTop="1" thickBot="1">
      <c r="A133" s="73"/>
      <c r="B133" s="380"/>
      <c r="C133" s="180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86"/>
    </row>
    <row r="134" spans="1:20" ht="15.6" thickTop="1" thickBot="1">
      <c r="A134" s="73"/>
      <c r="B134" s="380"/>
      <c r="C134" s="180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81"/>
    </row>
    <row r="135" spans="1:20" ht="15.6" thickTop="1" thickBot="1">
      <c r="A135" s="73"/>
      <c r="B135" s="380"/>
      <c r="C135" s="182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81"/>
    </row>
    <row r="136" spans="1:20" ht="15.6" thickTop="1" thickBot="1">
      <c r="A136" s="73"/>
      <c r="B136" s="380"/>
      <c r="C136" s="182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81"/>
    </row>
    <row r="137" spans="1:20" ht="15.6" thickTop="1" thickBot="1">
      <c r="A137" s="73"/>
      <c r="B137" s="380"/>
      <c r="C137" s="182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87"/>
    </row>
    <row r="138" spans="1:20" ht="15.6" thickTop="1" thickBot="1">
      <c r="A138" s="73"/>
      <c r="B138" s="380"/>
      <c r="C138" s="183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188"/>
      <c r="P138" s="189"/>
      <c r="Q138" s="187"/>
    </row>
    <row r="139" spans="1:20" ht="15.6" thickTop="1" thickBot="1">
      <c r="A139" s="73"/>
      <c r="B139" s="380"/>
      <c r="C139" s="16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68"/>
      <c r="T139" s="184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78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79"/>
    </row>
    <row r="141" spans="1:20" ht="15.6" thickTop="1" thickBot="1">
      <c r="A141" s="73"/>
      <c r="B141" s="380"/>
      <c r="C141" s="180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86"/>
    </row>
    <row r="142" spans="1:20" ht="15.6" thickTop="1" thickBot="1">
      <c r="A142" s="73"/>
      <c r="B142" s="380"/>
      <c r="C142" s="180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86"/>
    </row>
    <row r="143" spans="1:20" ht="15.6" thickTop="1" thickBot="1">
      <c r="A143" s="73"/>
      <c r="B143" s="380"/>
      <c r="C143" s="182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81"/>
    </row>
    <row r="144" spans="1:20" s="162" customFormat="1" ht="15.6" thickTop="1" thickBot="1">
      <c r="A144" s="74"/>
      <c r="B144" s="380"/>
      <c r="C144" s="182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81"/>
    </row>
    <row r="145" spans="1:20" s="162" customFormat="1" ht="15.6" thickTop="1" thickBot="1">
      <c r="A145" s="74"/>
      <c r="B145" s="380"/>
      <c r="C145" s="182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81"/>
    </row>
    <row r="146" spans="1:20" ht="15.6" thickTop="1" thickBot="1">
      <c r="A146" s="73"/>
      <c r="B146" s="380"/>
      <c r="C146" s="183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70"/>
      <c r="P146" s="171"/>
      <c r="Q146" s="181"/>
    </row>
    <row r="147" spans="1:20" ht="15.6" thickTop="1" thickBot="1">
      <c r="A147" s="73"/>
      <c r="B147" s="380"/>
      <c r="C147" s="16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68"/>
      <c r="T147" s="184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SS</v>
      </c>
      <c r="B148" s="380">
        <f ca="1">OFFSET('0'!$B$111,($A$1-1)*10,18)</f>
        <v>19</v>
      </c>
      <c r="C148" s="178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79"/>
    </row>
    <row r="149" spans="1:20" s="162" customFormat="1" ht="15.6" thickTop="1" thickBot="1">
      <c r="A149" s="74"/>
      <c r="B149" s="380"/>
      <c r="C149" s="180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86"/>
    </row>
    <row r="150" spans="1:20" ht="15.6" thickTop="1" thickBot="1">
      <c r="A150" s="73"/>
      <c r="B150" s="380"/>
      <c r="C150" s="180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86"/>
    </row>
    <row r="151" spans="1:20" ht="15.6" thickTop="1" thickBot="1">
      <c r="A151" s="73"/>
      <c r="B151" s="380"/>
      <c r="C151" s="182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81"/>
    </row>
    <row r="152" spans="1:20" ht="15.6" thickTop="1" thickBot="1">
      <c r="A152" s="73"/>
      <c r="B152" s="380"/>
      <c r="C152" s="182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81"/>
    </row>
    <row r="153" spans="1:20" ht="15.6" thickTop="1" thickBot="1">
      <c r="A153" s="73"/>
      <c r="B153" s="380"/>
      <c r="C153" s="182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81"/>
    </row>
    <row r="154" spans="1:20" ht="15.6" thickTop="1" thickBot="1">
      <c r="A154" s="73"/>
      <c r="B154" s="380"/>
      <c r="C154" s="183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70"/>
      <c r="P154" s="171"/>
      <c r="Q154" s="181"/>
    </row>
    <row r="155" spans="1:20" ht="15.6" thickTop="1" thickBot="1">
      <c r="A155" s="73"/>
      <c r="B155" s="380"/>
      <c r="C155" s="16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68"/>
      <c r="T155" s="184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SK</v>
      </c>
      <c r="B156" s="380">
        <f ca="1">OFFSET('0'!$B$111,($A$1-1)*10,19)</f>
        <v>20</v>
      </c>
      <c r="C156" s="178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79"/>
    </row>
    <row r="157" spans="1:20" ht="15.6" thickTop="1" thickBot="1">
      <c r="A157" s="73"/>
      <c r="B157" s="380"/>
      <c r="C157" s="180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86"/>
    </row>
    <row r="158" spans="1:20" s="162" customFormat="1" ht="15.6" thickTop="1" thickBot="1">
      <c r="A158" s="74"/>
      <c r="B158" s="380"/>
      <c r="C158" s="180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86"/>
    </row>
    <row r="159" spans="1:20" ht="15.6" thickTop="1" thickBot="1">
      <c r="A159" s="73"/>
      <c r="B159" s="380"/>
      <c r="C159" s="182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81"/>
    </row>
    <row r="160" spans="1:20" ht="15.6" thickTop="1" thickBot="1">
      <c r="A160" s="73"/>
      <c r="B160" s="380"/>
      <c r="C160" s="182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81"/>
    </row>
    <row r="161" spans="1:20" ht="15.6" thickTop="1" thickBot="1">
      <c r="A161" s="73"/>
      <c r="B161" s="380"/>
      <c r="C161" s="182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81"/>
    </row>
    <row r="162" spans="1:20" ht="15.6" thickTop="1" thickBot="1">
      <c r="A162" s="73"/>
      <c r="B162" s="380"/>
      <c r="C162" s="183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70"/>
      <c r="P162" s="171"/>
      <c r="Q162" s="181"/>
    </row>
    <row r="163" spans="1:20" ht="15.6" thickTop="1" thickBot="1">
      <c r="A163" s="73"/>
      <c r="B163" s="380"/>
      <c r="C163" s="16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68"/>
      <c r="T163" s="184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78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79"/>
    </row>
    <row r="165" spans="1:20" ht="15.6" thickTop="1" thickBot="1">
      <c r="A165" s="73"/>
      <c r="B165" s="380"/>
      <c r="C165" s="180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86"/>
    </row>
    <row r="166" spans="1:20" s="162" customFormat="1" ht="15.6" thickTop="1" thickBot="1">
      <c r="A166" s="74"/>
      <c r="B166" s="380"/>
      <c r="C166" s="180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86"/>
    </row>
    <row r="167" spans="1:20" ht="15.6" thickTop="1" thickBot="1">
      <c r="A167" s="73"/>
      <c r="B167" s="380"/>
      <c r="C167" s="182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81"/>
    </row>
    <row r="168" spans="1:20" ht="15.6" thickTop="1" thickBot="1">
      <c r="A168" s="73"/>
      <c r="B168" s="380"/>
      <c r="C168" s="182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81"/>
    </row>
    <row r="169" spans="1:20" ht="15.6" thickTop="1" thickBot="1">
      <c r="A169" s="73"/>
      <c r="B169" s="380"/>
      <c r="C169" s="182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81"/>
    </row>
    <row r="170" spans="1:20" ht="15.6" thickTop="1" thickBot="1">
      <c r="A170" s="73"/>
      <c r="B170" s="380"/>
      <c r="C170" s="183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70"/>
      <c r="P170" s="171"/>
      <c r="Q170" s="181"/>
    </row>
    <row r="171" spans="1:20" ht="15.6" thickTop="1" thickBot="1">
      <c r="A171" s="73"/>
      <c r="B171" s="380"/>
      <c r="C171" s="16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68"/>
      <c r="T171" s="184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78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79"/>
    </row>
    <row r="173" spans="1:20" ht="15.6" thickTop="1" thickBot="1">
      <c r="A173" s="73"/>
      <c r="B173" s="380"/>
      <c r="C173" s="180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81"/>
    </row>
    <row r="174" spans="1:20" s="162" customFormat="1" ht="15.6" thickTop="1" thickBot="1">
      <c r="A174" s="74"/>
      <c r="B174" s="380"/>
      <c r="C174" s="180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81"/>
    </row>
    <row r="175" spans="1:20" ht="15.6" thickTop="1" thickBot="1">
      <c r="A175" s="73"/>
      <c r="B175" s="380"/>
      <c r="C175" s="182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81"/>
    </row>
    <row r="176" spans="1:20" ht="15.6" thickTop="1" thickBot="1">
      <c r="A176" s="73"/>
      <c r="B176" s="380"/>
      <c r="C176" s="182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81"/>
    </row>
    <row r="177" spans="1:20" ht="15.6" thickTop="1" thickBot="1">
      <c r="A177" s="73"/>
      <c r="B177" s="380"/>
      <c r="C177" s="182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81"/>
    </row>
    <row r="178" spans="1:20" ht="15.6" thickTop="1" thickBot="1">
      <c r="A178" s="73"/>
      <c r="B178" s="380"/>
      <c r="C178" s="183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70"/>
      <c r="P178" s="171"/>
      <c r="Q178" s="181"/>
    </row>
    <row r="179" spans="1:20" ht="15.6" thickTop="1" thickBot="1">
      <c r="A179" s="73"/>
      <c r="B179" s="380"/>
      <c r="C179" s="16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68"/>
      <c r="T179" s="184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78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79"/>
    </row>
    <row r="181" spans="1:20" s="162" customFormat="1" ht="15.6" thickTop="1" thickBot="1">
      <c r="A181" s="74"/>
      <c r="B181" s="380"/>
      <c r="C181" s="180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86"/>
    </row>
    <row r="182" spans="1:20" ht="15.6" thickTop="1" thickBot="1">
      <c r="A182" s="73"/>
      <c r="B182" s="380"/>
      <c r="C182" s="180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81"/>
    </row>
    <row r="183" spans="1:20" ht="15.6" thickTop="1" thickBot="1">
      <c r="A183" s="73"/>
      <c r="B183" s="380"/>
      <c r="C183" s="182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81"/>
    </row>
    <row r="184" spans="1:20" ht="15.6" thickTop="1" thickBot="1">
      <c r="A184" s="73"/>
      <c r="B184" s="380"/>
      <c r="C184" s="182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81"/>
    </row>
    <row r="185" spans="1:20" ht="15.6" thickTop="1" thickBot="1">
      <c r="A185" s="73"/>
      <c r="B185" s="380"/>
      <c r="C185" s="182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81"/>
    </row>
    <row r="186" spans="1:20" ht="15.6" thickTop="1" thickBot="1">
      <c r="A186" s="73"/>
      <c r="B186" s="380"/>
      <c r="C186" s="183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70"/>
      <c r="P186" s="171"/>
      <c r="Q186" s="181"/>
    </row>
    <row r="187" spans="1:20" ht="15.6" thickTop="1" thickBot="1">
      <c r="A187" s="73"/>
      <c r="B187" s="380"/>
      <c r="C187" s="16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68"/>
      <c r="T187" s="184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78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79"/>
    </row>
    <row r="189" spans="1:20" ht="15.6" thickTop="1" thickBot="1">
      <c r="A189" s="73"/>
      <c r="B189" s="380"/>
      <c r="C189" s="180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81"/>
    </row>
    <row r="190" spans="1:20" s="162" customFormat="1" ht="15.6" thickTop="1" thickBot="1">
      <c r="A190" s="74"/>
      <c r="B190" s="380"/>
      <c r="C190" s="180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81"/>
    </row>
    <row r="191" spans="1:20" ht="15.6" thickTop="1" thickBot="1">
      <c r="A191" s="73"/>
      <c r="B191" s="380"/>
      <c r="C191" s="182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81"/>
    </row>
    <row r="192" spans="1:20" ht="15.6" thickTop="1" thickBot="1">
      <c r="A192" s="73"/>
      <c r="B192" s="380"/>
      <c r="C192" s="182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81"/>
    </row>
    <row r="193" spans="1:20" ht="15.6" thickTop="1" thickBot="1">
      <c r="A193" s="73"/>
      <c r="B193" s="380"/>
      <c r="C193" s="182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81"/>
    </row>
    <row r="194" spans="1:20" ht="15.6" thickTop="1" thickBot="1">
      <c r="A194" s="73"/>
      <c r="B194" s="380"/>
      <c r="C194" s="183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70"/>
      <c r="P194" s="171"/>
      <c r="Q194" s="181"/>
    </row>
    <row r="195" spans="1:20" ht="15.6" thickTop="1" thickBot="1">
      <c r="A195" s="73"/>
      <c r="B195" s="380"/>
      <c r="C195" s="16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68"/>
      <c r="T195" s="184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78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79"/>
    </row>
    <row r="197" spans="1:20" ht="15.6" thickTop="1" thickBot="1">
      <c r="A197" s="73"/>
      <c r="B197" s="380"/>
      <c r="C197" s="180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81"/>
    </row>
    <row r="198" spans="1:20" ht="15.6" thickTop="1" thickBot="1">
      <c r="A198" s="73"/>
      <c r="B198" s="380"/>
      <c r="C198" s="180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81"/>
    </row>
    <row r="199" spans="1:20" ht="15.6" thickTop="1" thickBot="1">
      <c r="A199" s="73"/>
      <c r="B199" s="380"/>
      <c r="C199" s="182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81"/>
    </row>
    <row r="200" spans="1:20" ht="15.6" thickTop="1" thickBot="1">
      <c r="A200" s="73"/>
      <c r="B200" s="380"/>
      <c r="C200" s="182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81"/>
    </row>
    <row r="201" spans="1:20" ht="15.6" thickTop="1" thickBot="1">
      <c r="A201" s="73"/>
      <c r="B201" s="380"/>
      <c r="C201" s="182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81"/>
    </row>
    <row r="202" spans="1:20" ht="15.6" thickTop="1" thickBot="1">
      <c r="A202" s="73"/>
      <c r="B202" s="380"/>
      <c r="C202" s="177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70"/>
      <c r="P202" s="171"/>
      <c r="Q202" s="181"/>
    </row>
    <row r="203" spans="1:20" ht="15.6" thickTop="1" thickBot="1">
      <c r="A203" s="73"/>
      <c r="B203" s="380"/>
      <c r="C203" s="16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68"/>
      <c r="T203" s="184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SS</v>
      </c>
      <c r="B204" s="380">
        <f ca="1">OFFSET('0'!$B$111,($A$1-1)*10,25)</f>
        <v>26</v>
      </c>
      <c r="C204" s="178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79"/>
    </row>
    <row r="205" spans="1:20" s="162" customFormat="1" ht="15.6" thickTop="1" thickBot="1">
      <c r="A205" s="74"/>
      <c r="B205" s="380"/>
      <c r="C205" s="180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86"/>
    </row>
    <row r="206" spans="1:20" ht="15.6" thickTop="1" thickBot="1">
      <c r="A206" s="73"/>
      <c r="B206" s="380"/>
      <c r="C206" s="180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81"/>
    </row>
    <row r="207" spans="1:20" ht="15.6" thickTop="1" thickBot="1">
      <c r="A207" s="73"/>
      <c r="B207" s="380"/>
      <c r="C207" s="182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81"/>
    </row>
    <row r="208" spans="1:20" ht="15.6" thickTop="1" thickBot="1">
      <c r="A208" s="73"/>
      <c r="B208" s="380"/>
      <c r="C208" s="182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81"/>
    </row>
    <row r="209" spans="1:20" ht="15.6" thickTop="1" thickBot="1">
      <c r="A209" s="73"/>
      <c r="B209" s="380"/>
      <c r="C209" s="182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81"/>
    </row>
    <row r="210" spans="1:20" ht="15.6" thickTop="1" thickBot="1">
      <c r="A210" s="73"/>
      <c r="B210" s="380"/>
      <c r="C210" s="177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70"/>
      <c r="P210" s="171"/>
      <c r="Q210" s="181"/>
    </row>
    <row r="211" spans="1:20" ht="15.6" thickTop="1" thickBot="1">
      <c r="A211" s="73"/>
      <c r="B211" s="380"/>
      <c r="C211" s="16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68"/>
      <c r="T211" s="184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SK</v>
      </c>
      <c r="B212" s="380">
        <f ca="1">OFFSET('0'!$B$111,($A$1-1)*10,26)</f>
        <v>27</v>
      </c>
      <c r="C212" s="178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79"/>
    </row>
    <row r="213" spans="1:20" ht="15.6" thickTop="1" thickBot="1">
      <c r="A213" s="73"/>
      <c r="B213" s="380"/>
      <c r="C213" s="49" t="s">
        <v>164</v>
      </c>
      <c r="D213" s="266"/>
      <c r="E213" s="267"/>
      <c r="F213" s="268"/>
      <c r="G213" s="268"/>
      <c r="H213" s="268"/>
      <c r="I213" s="268"/>
      <c r="J213" s="268"/>
      <c r="K213" s="268"/>
      <c r="L213" s="289"/>
      <c r="M213" s="267"/>
      <c r="N213" s="269">
        <f t="shared" si="78"/>
        <v>0</v>
      </c>
      <c r="O213" s="269"/>
      <c r="P213" s="290"/>
      <c r="Q213" s="181"/>
    </row>
    <row r="214" spans="1:20" s="162" customFormat="1" ht="15.6" thickTop="1" thickBot="1">
      <c r="A214" s="74"/>
      <c r="B214" s="380"/>
      <c r="C214" s="180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81"/>
    </row>
    <row r="215" spans="1:20" s="162" customFormat="1" ht="15.6" thickTop="1" thickBot="1">
      <c r="A215" s="74"/>
      <c r="B215" s="380"/>
      <c r="C215" s="182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81"/>
    </row>
    <row r="216" spans="1:20" ht="15.6" thickTop="1" thickBot="1">
      <c r="A216" s="73"/>
      <c r="B216" s="380"/>
      <c r="C216" s="182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81"/>
    </row>
    <row r="217" spans="1:20" ht="15.6" thickTop="1" thickBot="1">
      <c r="A217" s="73"/>
      <c r="B217" s="380"/>
      <c r="C217" s="182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81"/>
    </row>
    <row r="218" spans="1:20" ht="15.6" thickTop="1" thickBot="1">
      <c r="A218" s="73"/>
      <c r="B218" s="380"/>
      <c r="C218" s="177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70"/>
      <c r="P218" s="171"/>
      <c r="Q218" s="181"/>
    </row>
    <row r="219" spans="1:20" ht="15.6" thickTop="1" thickBot="1">
      <c r="A219" s="73"/>
      <c r="B219" s="380"/>
      <c r="C219" s="167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68"/>
      <c r="T219" s="184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--</v>
      </c>
      <c r="B220" s="380">
        <f ca="1">OFFSET('0'!$B$111,($A$1-1)*10,27)</f>
        <v>28</v>
      </c>
      <c r="C220" s="178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79"/>
    </row>
    <row r="221" spans="1:20" s="162" customFormat="1" ht="15.6" thickTop="1" thickBot="1">
      <c r="A221" s="74"/>
      <c r="B221" s="380"/>
      <c r="C221" s="180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86"/>
    </row>
    <row r="222" spans="1:20" ht="15.6" thickTop="1" thickBot="1">
      <c r="A222" s="73"/>
      <c r="B222" s="380"/>
      <c r="C222" s="180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81"/>
    </row>
    <row r="223" spans="1:20" s="162" customFormat="1" ht="15.6" thickTop="1" thickBot="1">
      <c r="A223" s="74"/>
      <c r="B223" s="380"/>
      <c r="C223" s="182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81"/>
    </row>
    <row r="224" spans="1:20" ht="15.6" thickTop="1" thickBot="1">
      <c r="A224" s="73"/>
      <c r="B224" s="380"/>
      <c r="C224" s="182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81"/>
    </row>
    <row r="225" spans="1:20" ht="15.6" thickTop="1" thickBot="1">
      <c r="A225" s="73"/>
      <c r="B225" s="380"/>
      <c r="C225" s="182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81"/>
    </row>
    <row r="226" spans="1:20" ht="15.6" thickTop="1" thickBot="1">
      <c r="A226" s="73"/>
      <c r="B226" s="380"/>
      <c r="C226" s="177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70"/>
      <c r="P226" s="171"/>
      <c r="Q226" s="181"/>
    </row>
    <row r="227" spans="1:20" ht="15.6" thickTop="1" thickBot="1">
      <c r="A227" s="73"/>
      <c r="B227" s="380"/>
      <c r="C227" s="167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68"/>
      <c r="T227" s="184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78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79"/>
    </row>
    <row r="229" spans="1:20" ht="15.6" thickTop="1" thickBot="1">
      <c r="A229" s="73"/>
      <c r="B229" s="380"/>
      <c r="C229" s="180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86"/>
    </row>
    <row r="230" spans="1:20" ht="15.6" thickTop="1" thickBot="1">
      <c r="A230" s="73"/>
      <c r="B230" s="380"/>
      <c r="C230" s="180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81"/>
    </row>
    <row r="231" spans="1:20" s="162" customFormat="1" ht="15.6" thickTop="1" thickBot="1">
      <c r="A231" s="74"/>
      <c r="B231" s="380"/>
      <c r="C231" s="182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81"/>
    </row>
    <row r="232" spans="1:20" s="162" customFormat="1" ht="15.6" thickTop="1" thickBot="1">
      <c r="A232" s="74"/>
      <c r="B232" s="380"/>
      <c r="C232" s="182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81"/>
    </row>
    <row r="233" spans="1:20" ht="15.6" thickTop="1" thickBot="1">
      <c r="A233" s="73"/>
      <c r="B233" s="380"/>
      <c r="C233" s="182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81"/>
    </row>
    <row r="234" spans="1:20" ht="15.6" thickTop="1" thickBot="1">
      <c r="A234" s="73"/>
      <c r="B234" s="380"/>
      <c r="C234" s="177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70"/>
      <c r="P234" s="171"/>
      <c r="Q234" s="181"/>
    </row>
    <row r="235" spans="1:20" ht="15.6" thickTop="1" thickBot="1">
      <c r="A235" s="73"/>
      <c r="B235" s="380"/>
      <c r="C235" s="167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68"/>
      <c r="T235" s="184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78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79"/>
    </row>
    <row r="237" spans="1:20" ht="15.6" thickTop="1" thickBot="1">
      <c r="A237" s="73"/>
      <c r="B237" s="380"/>
      <c r="C237" s="180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86"/>
    </row>
    <row r="238" spans="1:20" s="162" customFormat="1" ht="15.6" thickTop="1" thickBot="1">
      <c r="A238" s="74"/>
      <c r="B238" s="380"/>
      <c r="C238" s="180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86"/>
    </row>
    <row r="239" spans="1:20" s="162" customFormat="1" ht="15.6" thickTop="1" thickBot="1">
      <c r="A239" s="74"/>
      <c r="B239" s="380"/>
      <c r="C239" s="182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86"/>
    </row>
    <row r="240" spans="1:20" ht="15.6" thickTop="1" thickBot="1">
      <c r="A240" s="73"/>
      <c r="B240" s="380"/>
      <c r="C240" s="182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81"/>
    </row>
    <row r="241" spans="1:20" ht="15.6" thickTop="1" thickBot="1">
      <c r="A241" s="73"/>
      <c r="B241" s="380"/>
      <c r="C241" s="182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81"/>
    </row>
    <row r="242" spans="1:20" ht="15.6" thickTop="1" thickBot="1">
      <c r="A242" s="73"/>
      <c r="B242" s="380"/>
      <c r="C242" s="177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70"/>
      <c r="P242" s="171"/>
      <c r="Q242" s="181"/>
    </row>
    <row r="243" spans="1:20" ht="15.6" thickTop="1" thickBot="1">
      <c r="A243" s="73"/>
      <c r="B243" s="380"/>
      <c r="C243" s="167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68"/>
      <c r="T243" s="184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str">
        <f ca="1">OFFSET('0'!$B$112,($A$1-1)*10,$B244-1)</f>
        <v>--</v>
      </c>
      <c r="B244" s="380">
        <f ca="1">OFFSET('0'!$B$111,($A$1-1)*10,30)</f>
        <v>31</v>
      </c>
      <c r="C244" s="178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79"/>
    </row>
    <row r="245" spans="1:20" s="162" customFormat="1" ht="15.6" thickTop="1" thickBot="1">
      <c r="A245" s="74"/>
      <c r="B245" s="380"/>
      <c r="C245" s="49" t="s">
        <v>52</v>
      </c>
      <c r="D245" s="284"/>
      <c r="E245" s="285"/>
      <c r="F245" s="286"/>
      <c r="G245" s="286"/>
      <c r="H245" s="286"/>
      <c r="I245" s="286"/>
      <c r="J245" s="286"/>
      <c r="K245" s="286"/>
      <c r="L245" s="295"/>
      <c r="M245" s="267"/>
      <c r="N245" s="269">
        <f t="shared" si="90"/>
        <v>0</v>
      </c>
      <c r="O245" s="269"/>
      <c r="P245" s="296"/>
      <c r="Q245" s="186"/>
    </row>
    <row r="246" spans="1:20" s="162" customFormat="1" ht="15.6" thickTop="1" thickBot="1">
      <c r="A246" s="74"/>
      <c r="B246" s="380"/>
      <c r="C246" s="49" t="s">
        <v>163</v>
      </c>
      <c r="D246" s="284"/>
      <c r="E246" s="285"/>
      <c r="F246" s="286"/>
      <c r="G246" s="286"/>
      <c r="H246" s="286"/>
      <c r="I246" s="286"/>
      <c r="J246" s="286"/>
      <c r="K246" s="286"/>
      <c r="L246" s="295"/>
      <c r="M246" s="267"/>
      <c r="N246" s="269">
        <f t="shared" si="90"/>
        <v>0</v>
      </c>
      <c r="O246" s="269"/>
      <c r="P246" s="294"/>
      <c r="Q246" s="186"/>
    </row>
    <row r="247" spans="1:20" s="162" customFormat="1" ht="15.6" thickTop="1" thickBot="1">
      <c r="A247" s="74"/>
      <c r="B247" s="380"/>
      <c r="C247" s="49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/>
      <c r="N247" s="269">
        <f t="shared" si="90"/>
        <v>0</v>
      </c>
      <c r="O247" s="269"/>
      <c r="P247" s="294"/>
      <c r="Q247" s="186"/>
    </row>
    <row r="248" spans="1:20" ht="15.6" thickTop="1" thickBot="1">
      <c r="A248" s="73"/>
      <c r="B248" s="380"/>
      <c r="C248" s="182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/>
      <c r="N248" s="269">
        <f t="shared" si="90"/>
        <v>0</v>
      </c>
      <c r="O248" s="269"/>
      <c r="P248" s="290"/>
      <c r="Q248" s="181"/>
    </row>
    <row r="249" spans="1:20" ht="15.6" thickTop="1" thickBot="1">
      <c r="A249" s="73"/>
      <c r="B249" s="380"/>
      <c r="C249" s="182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ref="M249" si="91">SUM(D249-E249)</f>
        <v>0</v>
      </c>
      <c r="N249" s="269">
        <f t="shared" si="90"/>
        <v>0</v>
      </c>
      <c r="O249" s="269"/>
      <c r="P249" s="290"/>
      <c r="Q249" s="181"/>
    </row>
    <row r="250" spans="1:20" ht="15.6" thickTop="1" thickBot="1">
      <c r="A250" s="73"/>
      <c r="B250" s="380"/>
      <c r="C250" s="177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70"/>
      <c r="P250" s="171"/>
      <c r="Q250" s="181"/>
    </row>
    <row r="251" spans="1:20" ht="15.6" thickTop="1" thickBot="1">
      <c r="A251" s="73"/>
      <c r="B251" s="380"/>
      <c r="C251" s="167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68"/>
      <c r="T251" s="184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69" t="s">
        <v>31</v>
      </c>
      <c r="D253" s="117">
        <f t="shared" ref="D253:P253" si="93">SUM(D250,D242,D234,D226,D218,D210,D202,D194,D186,D178,D170,D162,D154,D146,D138,D130,D122,D114,D106,D98,D90,D82,D74,D66,D58,D50,D42,D34,D26,D18,D10)</f>
        <v>0</v>
      </c>
      <c r="E253" s="298">
        <f t="shared" si="93"/>
        <v>0</v>
      </c>
      <c r="F253" s="299">
        <f t="shared" si="93"/>
        <v>0</v>
      </c>
      <c r="G253" s="299">
        <f t="shared" si="93"/>
        <v>0</v>
      </c>
      <c r="H253" s="299">
        <f t="shared" si="93"/>
        <v>0</v>
      </c>
      <c r="I253" s="299">
        <f t="shared" si="93"/>
        <v>0</v>
      </c>
      <c r="J253" s="299">
        <f t="shared" si="93"/>
        <v>0</v>
      </c>
      <c r="K253" s="299">
        <f t="shared" si="93"/>
        <v>0</v>
      </c>
      <c r="L253" s="300">
        <f t="shared" si="93"/>
        <v>0</v>
      </c>
      <c r="M253" s="298">
        <f t="shared" si="93"/>
        <v>0</v>
      </c>
      <c r="N253" s="117">
        <f t="shared" si="93"/>
        <v>0</v>
      </c>
      <c r="O253" s="117">
        <f t="shared" si="93"/>
        <v>0</v>
      </c>
      <c r="P253" s="117">
        <f t="shared" si="93"/>
        <v>0</v>
      </c>
    </row>
    <row r="254" spans="1:20">
      <c r="C254" s="169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224" priority="32">
      <formula>$A12&lt;&gt;"--"</formula>
    </cfRule>
  </conditionalFormatting>
  <conditionalFormatting sqref="B20:B27">
    <cfRule type="expression" dxfId="223" priority="31">
      <formula>$A20&lt;&gt;"--"</formula>
    </cfRule>
  </conditionalFormatting>
  <conditionalFormatting sqref="B28:B35">
    <cfRule type="expression" dxfId="222" priority="30">
      <formula>$A28&lt;&gt;"--"</formula>
    </cfRule>
  </conditionalFormatting>
  <conditionalFormatting sqref="B36:B43">
    <cfRule type="expression" dxfId="221" priority="29">
      <formula>$A36&lt;&gt;"--"</formula>
    </cfRule>
  </conditionalFormatting>
  <conditionalFormatting sqref="B44:B51">
    <cfRule type="expression" dxfId="220" priority="28">
      <formula>$A44&lt;&gt;"--"</formula>
    </cfRule>
  </conditionalFormatting>
  <conditionalFormatting sqref="B52:B59">
    <cfRule type="expression" dxfId="219" priority="27">
      <formula>$A52&lt;&gt;"--"</formula>
    </cfRule>
  </conditionalFormatting>
  <conditionalFormatting sqref="B60:B67">
    <cfRule type="expression" dxfId="218" priority="26">
      <formula>$A60&lt;&gt;"--"</formula>
    </cfRule>
  </conditionalFormatting>
  <conditionalFormatting sqref="B68:B75">
    <cfRule type="expression" dxfId="217" priority="25">
      <formula>$A68&lt;&gt;"--"</formula>
    </cfRule>
  </conditionalFormatting>
  <conditionalFormatting sqref="B76:B83">
    <cfRule type="expression" dxfId="216" priority="24">
      <formula>$A76&lt;&gt;"--"</formula>
    </cfRule>
  </conditionalFormatting>
  <conditionalFormatting sqref="B84:B91">
    <cfRule type="expression" dxfId="215" priority="23">
      <formula>$A84&lt;&gt;"--"</formula>
    </cfRule>
  </conditionalFormatting>
  <conditionalFormatting sqref="B92:B99">
    <cfRule type="expression" dxfId="214" priority="22">
      <formula>$A92&lt;&gt;"--"</formula>
    </cfRule>
  </conditionalFormatting>
  <conditionalFormatting sqref="B100:B107">
    <cfRule type="expression" dxfId="213" priority="21">
      <formula>$A100&lt;&gt;"--"</formula>
    </cfRule>
  </conditionalFormatting>
  <conditionalFormatting sqref="B108:B115">
    <cfRule type="expression" dxfId="212" priority="20">
      <formula>$A108&lt;&gt;"--"</formula>
    </cfRule>
  </conditionalFormatting>
  <conditionalFormatting sqref="B116:B123">
    <cfRule type="expression" dxfId="211" priority="19">
      <formula>$A116&lt;&gt;"--"</formula>
    </cfRule>
  </conditionalFormatting>
  <conditionalFormatting sqref="B124:B131">
    <cfRule type="expression" dxfId="210" priority="18">
      <formula>$A124&lt;&gt;"--"</formula>
    </cfRule>
  </conditionalFormatting>
  <conditionalFormatting sqref="B132:B139">
    <cfRule type="expression" dxfId="209" priority="17">
      <formula>$A132&lt;&gt;"--"</formula>
    </cfRule>
  </conditionalFormatting>
  <conditionalFormatting sqref="B140:B147">
    <cfRule type="expression" dxfId="208" priority="16">
      <formula>$A140&lt;&gt;"--"</formula>
    </cfRule>
  </conditionalFormatting>
  <conditionalFormatting sqref="B148:B155">
    <cfRule type="expression" dxfId="207" priority="15">
      <formula>$A148&lt;&gt;"--"</formula>
    </cfRule>
  </conditionalFormatting>
  <conditionalFormatting sqref="B156:B163">
    <cfRule type="expression" dxfId="206" priority="14">
      <formula>$A156&lt;&gt;"--"</formula>
    </cfRule>
  </conditionalFormatting>
  <conditionalFormatting sqref="B164:B171">
    <cfRule type="expression" dxfId="205" priority="13">
      <formula>$A164&lt;&gt;"--"</formula>
    </cfRule>
  </conditionalFormatting>
  <conditionalFormatting sqref="B172:B179">
    <cfRule type="expression" dxfId="204" priority="12">
      <formula>$A172&lt;&gt;"--"</formula>
    </cfRule>
  </conditionalFormatting>
  <conditionalFormatting sqref="B180:B187">
    <cfRule type="expression" dxfId="203" priority="11">
      <formula>$A180&lt;&gt;"--"</formula>
    </cfRule>
  </conditionalFormatting>
  <conditionalFormatting sqref="B188:B195">
    <cfRule type="expression" dxfId="202" priority="10">
      <formula>$A188&lt;&gt;"--"</formula>
    </cfRule>
  </conditionalFormatting>
  <conditionalFormatting sqref="B196:B203">
    <cfRule type="expression" dxfId="201" priority="9">
      <formula>$A196&lt;&gt;"--"</formula>
    </cfRule>
  </conditionalFormatting>
  <conditionalFormatting sqref="B204:B211">
    <cfRule type="expression" dxfId="200" priority="8">
      <formula>$A204&lt;&gt;"--"</formula>
    </cfRule>
  </conditionalFormatting>
  <conditionalFormatting sqref="B212:B219">
    <cfRule type="expression" dxfId="199" priority="7">
      <formula>$A212&lt;&gt;"--"</formula>
    </cfRule>
  </conditionalFormatting>
  <conditionalFormatting sqref="B220:B227">
    <cfRule type="expression" dxfId="198" priority="6">
      <formula>$A220&lt;&gt;"--"</formula>
    </cfRule>
  </conditionalFormatting>
  <conditionalFormatting sqref="B228:B251">
    <cfRule type="expression" dxfId="197" priority="5">
      <formula>$A228&lt;&gt;"--"</formula>
    </cfRule>
  </conditionalFormatting>
  <conditionalFormatting sqref="B236:B243">
    <cfRule type="expression" dxfId="196" priority="4">
      <formula>$A236&lt;&gt;"--"</formula>
    </cfRule>
  </conditionalFormatting>
  <conditionalFormatting sqref="B244:B251">
    <cfRule type="expression" dxfId="195" priority="3">
      <formula>$A244&lt;&gt;"--"</formula>
    </cfRule>
  </conditionalFormatting>
  <conditionalFormatting sqref="B4:B11">
    <cfRule type="expression" dxfId="194" priority="2">
      <formula>$A4&lt;&gt;"--"</formula>
    </cfRule>
  </conditionalFormatting>
  <conditionalFormatting sqref="B228:B251">
    <cfRule type="cellIs" dxfId="193" priority="1" operator="lessThan">
      <formula>0</formula>
    </cfRule>
  </conditionalFormatting>
  <dataValidations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20:C25 C12:C17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V254"/>
  <sheetViews>
    <sheetView topLeftCell="K1" workbookViewId="0">
      <selection activeCell="U5" sqref="U5:V18"/>
    </sheetView>
  </sheetViews>
  <sheetFormatPr defaultColWidth="15.109375" defaultRowHeight="14.4"/>
  <cols>
    <col min="1" max="2" width="15.109375" style="161"/>
    <col min="3" max="3" width="22.109375" style="162" customWidth="1"/>
    <col min="4" max="11" width="15.1093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15.109375" style="161"/>
    <col min="20" max="20" width="26" style="162" customWidth="1"/>
    <col min="21" max="16384" width="15.109375" style="161"/>
  </cols>
  <sheetData>
    <row r="1" spans="1:22">
      <c r="A1" s="161">
        <v>8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metų'!V6:V12)</f>
        <v>11082547.809999999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49" t="s">
        <v>217</v>
      </c>
      <c r="D4" s="301"/>
      <c r="E4" s="302"/>
      <c r="F4" s="303"/>
      <c r="G4" s="303"/>
      <c r="H4" s="303"/>
      <c r="I4" s="303"/>
      <c r="J4" s="303"/>
      <c r="K4" s="303"/>
      <c r="L4" s="304"/>
      <c r="M4" s="302">
        <f>SUM(D4-E4)</f>
        <v>0</v>
      </c>
      <c r="N4" s="305">
        <f t="shared" ref="N4:N9" si="0">SUM(E4,M4)</f>
        <v>0</v>
      </c>
      <c r="O4" s="305"/>
      <c r="P4" s="306"/>
      <c r="Q4" s="179"/>
      <c r="T4" s="384"/>
    </row>
    <row r="5" spans="1:22">
      <c r="A5" s="73"/>
      <c r="B5" s="392"/>
      <c r="C5" s="180"/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81"/>
    </row>
    <row r="6" spans="1:22">
      <c r="A6" s="73"/>
      <c r="B6" s="392"/>
      <c r="C6" s="180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ref="M6:M9" si="1">SUM(D6-E6)</f>
        <v>0</v>
      </c>
      <c r="N6" s="269">
        <f t="shared" si="0"/>
        <v>0</v>
      </c>
      <c r="O6" s="269"/>
      <c r="P6" s="290"/>
      <c r="Q6" s="181"/>
      <c r="V6" s="86"/>
    </row>
    <row r="7" spans="1:22">
      <c r="A7" s="73"/>
      <c r="B7" s="392"/>
      <c r="C7" s="182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1"/>
        <v>0</v>
      </c>
      <c r="N7" s="269">
        <f t="shared" si="0"/>
        <v>0</v>
      </c>
      <c r="O7" s="269"/>
      <c r="P7" s="290"/>
      <c r="Q7" s="181"/>
      <c r="V7" s="86"/>
    </row>
    <row r="8" spans="1:22">
      <c r="A8" s="73"/>
      <c r="B8" s="392"/>
      <c r="C8" s="182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81"/>
      <c r="V8" s="86"/>
    </row>
    <row r="9" spans="1:22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81"/>
      <c r="V9" s="86"/>
    </row>
    <row r="10" spans="1:22" ht="15" thickBot="1">
      <c r="A10" s="73"/>
      <c r="B10" s="392"/>
      <c r="C10" s="183" t="s">
        <v>69</v>
      </c>
      <c r="D10" s="266">
        <f>SUM(D4:D9)</f>
        <v>0</v>
      </c>
      <c r="E10" s="267">
        <f>SUM(E4:E9)</f>
        <v>0</v>
      </c>
      <c r="F10" s="268">
        <f>SUM(F4:F9)</f>
        <v>0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68">
        <f t="shared" si="2"/>
        <v>0</v>
      </c>
      <c r="L10" s="273"/>
      <c r="M10" s="267">
        <f>SUM(M4:M9)</f>
        <v>0</v>
      </c>
      <c r="N10" s="269">
        <f>SUM(N4:N9)</f>
        <v>0</v>
      </c>
      <c r="O10" s="170"/>
      <c r="P10" s="171"/>
      <c r="Q10" s="181"/>
      <c r="V10" s="86"/>
    </row>
    <row r="11" spans="1:22" ht="15" thickBot="1">
      <c r="A11" s="73"/>
      <c r="B11" s="393"/>
      <c r="C11" s="16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68"/>
      <c r="T11" s="184">
        <f>$V$3+L11</f>
        <v>11082547.809999999</v>
      </c>
      <c r="V11" s="86"/>
    </row>
    <row r="12" spans="1:22" ht="15" thickTop="1">
      <c r="A12" s="73" t="str">
        <f ca="1">OFFSET('0'!$B$112,($A$1-1)*10,$B12-1)</f>
        <v>SS</v>
      </c>
      <c r="B12" s="391">
        <f ca="1">OFFSET('0'!$B$111,($A$1-1)*10,1)</f>
        <v>2</v>
      </c>
      <c r="C12" s="178"/>
      <c r="D12" s="284"/>
      <c r="E12" s="285"/>
      <c r="F12" s="286"/>
      <c r="G12" s="286"/>
      <c r="H12" s="286"/>
      <c r="I12" s="286"/>
      <c r="J12" s="286"/>
      <c r="K12" s="286"/>
      <c r="L12" s="295"/>
      <c r="M12" s="302">
        <f>SUM(D12-E12)</f>
        <v>0</v>
      </c>
      <c r="N12" s="305">
        <f t="shared" ref="N12:N17" si="3">SUM(E12,M12)</f>
        <v>0</v>
      </c>
      <c r="O12" s="305"/>
      <c r="P12" s="292"/>
      <c r="Q12" s="186"/>
      <c r="V12" s="86"/>
    </row>
    <row r="13" spans="1:22" ht="17.25" customHeight="1">
      <c r="A13" s="73"/>
      <c r="B13" s="392"/>
      <c r="C13" s="180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3"/>
        <v>0</v>
      </c>
      <c r="O13" s="269"/>
      <c r="P13" s="290"/>
      <c r="Q13" s="181"/>
    </row>
    <row r="14" spans="1:22">
      <c r="A14" s="73"/>
      <c r="B14" s="392"/>
      <c r="C14" s="180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4">SUM(D14-E14)</f>
        <v>0</v>
      </c>
      <c r="N14" s="269">
        <f t="shared" si="3"/>
        <v>0</v>
      </c>
      <c r="O14" s="269"/>
      <c r="P14" s="290"/>
      <c r="Q14" s="181"/>
    </row>
    <row r="15" spans="1:22">
      <c r="A15" s="73"/>
      <c r="B15" s="392"/>
      <c r="C15" s="182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4"/>
        <v>0</v>
      </c>
      <c r="N15" s="269">
        <f t="shared" si="3"/>
        <v>0</v>
      </c>
      <c r="O15" s="269"/>
      <c r="P15" s="290"/>
      <c r="Q15" s="181"/>
    </row>
    <row r="16" spans="1:22">
      <c r="A16" s="73"/>
      <c r="B16" s="392"/>
      <c r="C16" s="182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 t="shared" si="4"/>
        <v>0</v>
      </c>
      <c r="N16" s="279">
        <f t="shared" si="3"/>
        <v>0</v>
      </c>
      <c r="O16" s="279"/>
      <c r="P16" s="292"/>
      <c r="Q16" s="187"/>
    </row>
    <row r="17" spans="1:22" ht="15" thickBot="1">
      <c r="A17" s="73"/>
      <c r="B17" s="392"/>
      <c r="C17" s="182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87"/>
      <c r="U17" s="83"/>
      <c r="V17" s="84"/>
    </row>
    <row r="18" spans="1:22" ht="15" thickBot="1">
      <c r="A18" s="73"/>
      <c r="B18" s="392"/>
      <c r="C18" s="183" t="s">
        <v>69</v>
      </c>
      <c r="D18" s="266">
        <f>SUM(D12:D17)</f>
        <v>0</v>
      </c>
      <c r="E18" s="267">
        <f>SUM(E12:E17)</f>
        <v>0</v>
      </c>
      <c r="F18" s="268">
        <f>SUM(F12:F17)</f>
        <v>0</v>
      </c>
      <c r="G18" s="268">
        <f t="shared" ref="G18:K18" si="5">SUM(G12:G17)</f>
        <v>0</v>
      </c>
      <c r="H18" s="268">
        <f t="shared" si="5"/>
        <v>0</v>
      </c>
      <c r="I18" s="268">
        <f t="shared" si="5"/>
        <v>0</v>
      </c>
      <c r="J18" s="268">
        <f t="shared" si="5"/>
        <v>0</v>
      </c>
      <c r="K18" s="268">
        <f t="shared" si="5"/>
        <v>0</v>
      </c>
      <c r="L18" s="273"/>
      <c r="M18" s="267">
        <f>SUM(M12:M17)</f>
        <v>0</v>
      </c>
      <c r="N18" s="280">
        <f>SUM(N12:N17)</f>
        <v>0</v>
      </c>
      <c r="O18" s="188"/>
      <c r="P18" s="189"/>
      <c r="Q18" s="187"/>
      <c r="U18" s="85"/>
      <c r="V18" s="85"/>
    </row>
    <row r="19" spans="1:22" ht="15" thickBot="1">
      <c r="A19" s="73"/>
      <c r="B19" s="393"/>
      <c r="C19" s="16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68"/>
      <c r="T19" s="184">
        <f>$V$3+L11+L19</f>
        <v>11082547.809999999</v>
      </c>
    </row>
    <row r="20" spans="1:22" ht="15.6" thickTop="1" thickBot="1">
      <c r="A20" s="73" t="str">
        <f ca="1">OFFSET('0'!$B$112,($A$1-1)*10,$B20-1)</f>
        <v>SK</v>
      </c>
      <c r="B20" s="380">
        <f ca="1">OFFSET('0'!$B$111,($A$1-1)*10,2)</f>
        <v>3</v>
      </c>
      <c r="C20" s="178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0</v>
      </c>
      <c r="O20" s="305"/>
      <c r="P20" s="306"/>
      <c r="Q20" s="179"/>
    </row>
    <row r="21" spans="1:22" ht="15.6" thickTop="1" thickBot="1">
      <c r="A21" s="73"/>
      <c r="B21" s="380"/>
      <c r="C21" s="180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81"/>
    </row>
    <row r="22" spans="1:22" ht="15.6" thickTop="1" thickBot="1">
      <c r="A22" s="73"/>
      <c r="B22" s="380"/>
      <c r="C22" s="180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81"/>
    </row>
    <row r="23" spans="1:22" ht="15.6" thickTop="1" thickBot="1">
      <c r="A23" s="73"/>
      <c r="B23" s="380"/>
      <c r="C23" s="182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81"/>
    </row>
    <row r="24" spans="1:22" ht="15.6" thickTop="1" thickBot="1">
      <c r="A24" s="73"/>
      <c r="B24" s="380"/>
      <c r="C24" s="182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87"/>
    </row>
    <row r="25" spans="1:22" ht="15.6" thickTop="1" thickBot="1">
      <c r="A25" s="73"/>
      <c r="B25" s="380"/>
      <c r="C25" s="182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87"/>
    </row>
    <row r="26" spans="1:22" ht="15.6" thickTop="1" thickBot="1">
      <c r="A26" s="73"/>
      <c r="B26" s="380"/>
      <c r="C26" s="183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0</v>
      </c>
      <c r="O26" s="188"/>
      <c r="P26" s="189"/>
      <c r="Q26" s="187"/>
    </row>
    <row r="27" spans="1:22" ht="15.6" thickTop="1" thickBot="1">
      <c r="A27" s="73"/>
      <c r="B27" s="380"/>
      <c r="C27" s="173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74"/>
      <c r="T27" s="184">
        <f>$V$3++L11+L19+L27</f>
        <v>11082547.809999999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78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79"/>
    </row>
    <row r="29" spans="1:22" ht="17.25" customHeight="1" thickTop="1" thickBot="1">
      <c r="A29" s="73"/>
      <c r="B29" s="380"/>
      <c r="C29" s="180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81"/>
    </row>
    <row r="30" spans="1:22" ht="17.25" customHeight="1" thickTop="1" thickBot="1">
      <c r="A30" s="73"/>
      <c r="B30" s="380"/>
      <c r="C30" s="180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81"/>
    </row>
    <row r="31" spans="1:22" ht="17.25" customHeight="1" thickTop="1" thickBot="1">
      <c r="A31" s="73"/>
      <c r="B31" s="380"/>
      <c r="C31" s="182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81"/>
    </row>
    <row r="32" spans="1:22" ht="15.6" thickTop="1" thickBot="1">
      <c r="A32" s="73"/>
      <c r="B32" s="380"/>
      <c r="C32" s="182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81"/>
    </row>
    <row r="33" spans="1:20" ht="15.6" thickTop="1" thickBot="1">
      <c r="A33" s="73"/>
      <c r="B33" s="380"/>
      <c r="C33" s="182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81"/>
    </row>
    <row r="34" spans="1:20" ht="15.6" thickTop="1" thickBot="1">
      <c r="A34" s="73"/>
      <c r="B34" s="380"/>
      <c r="C34" s="183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70"/>
      <c r="P34" s="171"/>
      <c r="Q34" s="181"/>
    </row>
    <row r="35" spans="1:20" ht="15.6" thickTop="1" thickBot="1">
      <c r="A35" s="73"/>
      <c r="B35" s="380"/>
      <c r="C35" s="16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68"/>
      <c r="T35" s="184">
        <f>$V$3+L11+L19+L27+L35</f>
        <v>11082547.809999999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78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79"/>
    </row>
    <row r="37" spans="1:20" ht="15.6" thickTop="1" thickBot="1">
      <c r="A37" s="73"/>
      <c r="B37" s="380"/>
      <c r="C37" s="180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81"/>
    </row>
    <row r="38" spans="1:20" ht="15.6" thickTop="1" thickBot="1">
      <c r="A38" s="73"/>
      <c r="B38" s="380"/>
      <c r="C38" s="180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81"/>
    </row>
    <row r="39" spans="1:20" ht="15.6" thickTop="1" thickBot="1">
      <c r="A39" s="73"/>
      <c r="B39" s="380"/>
      <c r="C39" s="182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81"/>
    </row>
    <row r="40" spans="1:20" ht="15.6" thickTop="1" thickBot="1">
      <c r="A40" s="73"/>
      <c r="B40" s="380"/>
      <c r="C40" s="182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81"/>
    </row>
    <row r="41" spans="1:20" ht="15.6" thickTop="1" thickBot="1">
      <c r="A41" s="73"/>
      <c r="B41" s="380"/>
      <c r="C41" s="182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81"/>
    </row>
    <row r="42" spans="1:20" ht="15.6" thickTop="1" thickBot="1">
      <c r="A42" s="73"/>
      <c r="B42" s="380"/>
      <c r="C42" s="183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172"/>
      <c r="P42" s="185"/>
      <c r="Q42" s="187"/>
    </row>
    <row r="43" spans="1:20" ht="15.6" thickTop="1" thickBot="1">
      <c r="A43" s="73"/>
      <c r="B43" s="380"/>
      <c r="C43" s="16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68"/>
      <c r="T43" s="184">
        <f>$V$3+L11+L19+L27+L35+L43</f>
        <v>11082547.809999999</v>
      </c>
    </row>
    <row r="44" spans="1:20" ht="15.6" thickTop="1" thickBot="1">
      <c r="A44" s="73" t="str">
        <f ca="1">OFFSET('0'!$B$112,($A$1-1)*10,$B44-1)</f>
        <v>--</v>
      </c>
      <c r="B44" s="380">
        <f ca="1">OFFSET('0'!$B$111,($A$1-1)*10,5)</f>
        <v>6</v>
      </c>
      <c r="C44" s="178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79"/>
    </row>
    <row r="45" spans="1:20" ht="15.6" thickTop="1" thickBot="1">
      <c r="A45" s="73"/>
      <c r="B45" s="380"/>
      <c r="C45" s="180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81"/>
    </row>
    <row r="46" spans="1:20" ht="15.6" thickTop="1" thickBot="1">
      <c r="A46" s="73"/>
      <c r="B46" s="380"/>
      <c r="C46" s="180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81"/>
    </row>
    <row r="47" spans="1:20" ht="15.6" thickTop="1" thickBot="1">
      <c r="A47" s="73"/>
      <c r="B47" s="380"/>
      <c r="C47" s="182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81"/>
    </row>
    <row r="48" spans="1:20" ht="15.6" thickTop="1" thickBot="1">
      <c r="A48" s="73"/>
      <c r="B48" s="380"/>
      <c r="C48" s="182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87"/>
    </row>
    <row r="49" spans="1:20" ht="15.6" thickTop="1" thickBot="1">
      <c r="A49" s="73"/>
      <c r="B49" s="380"/>
      <c r="C49" s="182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87"/>
    </row>
    <row r="50" spans="1:20" ht="15.6" thickTop="1" thickBot="1">
      <c r="A50" s="73"/>
      <c r="B50" s="380"/>
      <c r="C50" s="183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188"/>
      <c r="P50" s="189"/>
      <c r="Q50" s="187"/>
    </row>
    <row r="51" spans="1:20" ht="15.6" thickTop="1" thickBot="1">
      <c r="A51" s="73"/>
      <c r="B51" s="380"/>
      <c r="C51" s="173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74"/>
      <c r="T51" s="184">
        <f>$V$3+L11+L19+L27+L35+L43+L51</f>
        <v>11082547.809999999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78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79"/>
    </row>
    <row r="53" spans="1:20" ht="15.6" thickTop="1" thickBot="1">
      <c r="A53" s="73"/>
      <c r="B53" s="380"/>
      <c r="C53" s="180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81"/>
    </row>
    <row r="54" spans="1:20" ht="15.6" thickTop="1" thickBot="1">
      <c r="A54" s="73"/>
      <c r="B54" s="380"/>
      <c r="C54" s="180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81"/>
    </row>
    <row r="55" spans="1:20" ht="15.6" thickTop="1" thickBot="1">
      <c r="A55" s="73"/>
      <c r="B55" s="380"/>
      <c r="C55" s="182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81"/>
    </row>
    <row r="56" spans="1:20" ht="15.6" thickTop="1" thickBot="1">
      <c r="A56" s="73"/>
      <c r="B56" s="380"/>
      <c r="C56" s="182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87"/>
    </row>
    <row r="57" spans="1:20" ht="15.6" thickTop="1" thickBot="1">
      <c r="A57" s="73"/>
      <c r="B57" s="380"/>
      <c r="C57" s="182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87"/>
    </row>
    <row r="58" spans="1:20" ht="15.6" thickTop="1" thickBot="1">
      <c r="A58" s="73"/>
      <c r="B58" s="380"/>
      <c r="C58" s="183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188"/>
      <c r="P58" s="189"/>
      <c r="Q58" s="187"/>
    </row>
    <row r="59" spans="1:20" ht="15.6" thickTop="1" thickBot="1">
      <c r="A59" s="73"/>
      <c r="B59" s="380"/>
      <c r="C59" s="16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68"/>
      <c r="T59" s="184">
        <f>$V$3+L11+L19+L27+L35+L43+L51+L59</f>
        <v>11082547.809999999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78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79"/>
    </row>
    <row r="61" spans="1:20" ht="15.6" thickTop="1" thickBot="1">
      <c r="A61" s="73"/>
      <c r="B61" s="380"/>
      <c r="C61" s="180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81"/>
    </row>
    <row r="62" spans="1:20" ht="15.6" thickTop="1" thickBot="1">
      <c r="A62" s="73"/>
      <c r="B62" s="380"/>
      <c r="C62" s="180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81"/>
    </row>
    <row r="63" spans="1:20" ht="15.6" thickTop="1" thickBot="1">
      <c r="A63" s="73"/>
      <c r="B63" s="380"/>
      <c r="C63" s="182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81"/>
    </row>
    <row r="64" spans="1:20" ht="15.6" thickTop="1" thickBot="1">
      <c r="A64" s="73"/>
      <c r="B64" s="380"/>
      <c r="C64" s="182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87"/>
    </row>
    <row r="65" spans="1:20" ht="15.6" thickTop="1" thickBot="1">
      <c r="A65" s="73"/>
      <c r="B65" s="380"/>
      <c r="C65" s="182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87"/>
    </row>
    <row r="66" spans="1:20" ht="15.6" thickTop="1" thickBot="1">
      <c r="A66" s="73"/>
      <c r="B66" s="380"/>
      <c r="C66" s="183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188"/>
      <c r="P66" s="189"/>
      <c r="Q66" s="187"/>
    </row>
    <row r="67" spans="1:20" ht="15.6" thickTop="1" thickBot="1">
      <c r="A67" s="73"/>
      <c r="B67" s="380"/>
      <c r="C67" s="16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68"/>
      <c r="T67" s="184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SS</v>
      </c>
      <c r="B68" s="380">
        <f ca="1">OFFSET('0'!$B$111,($A$1-1)*10,8)</f>
        <v>9</v>
      </c>
      <c r="C68" s="178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79"/>
    </row>
    <row r="69" spans="1:20" ht="15.6" thickTop="1" thickBot="1">
      <c r="A69" s="73"/>
      <c r="B69" s="380"/>
      <c r="C69" s="180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81"/>
    </row>
    <row r="70" spans="1:20" ht="15.6" thickTop="1" thickBot="1">
      <c r="A70" s="73"/>
      <c r="B70" s="380"/>
      <c r="C70" s="180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81"/>
    </row>
    <row r="71" spans="1:20" ht="15.6" thickTop="1" thickBot="1">
      <c r="A71" s="73"/>
      <c r="B71" s="380"/>
      <c r="C71" s="182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81"/>
    </row>
    <row r="72" spans="1:20" ht="15.6" thickTop="1" thickBot="1">
      <c r="A72" s="73"/>
      <c r="B72" s="380"/>
      <c r="C72" s="182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81"/>
    </row>
    <row r="73" spans="1:20" ht="15.6" thickTop="1" thickBot="1">
      <c r="A73" s="73"/>
      <c r="B73" s="380"/>
      <c r="C73" s="182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81"/>
    </row>
    <row r="74" spans="1:20" ht="15.6" thickTop="1" thickBot="1">
      <c r="A74" s="73"/>
      <c r="B74" s="380"/>
      <c r="C74" s="183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70"/>
      <c r="P74" s="171"/>
      <c r="Q74" s="181"/>
    </row>
    <row r="75" spans="1:20" ht="15.6" thickTop="1" thickBot="1">
      <c r="A75" s="73"/>
      <c r="B75" s="380"/>
      <c r="C75" s="16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68"/>
      <c r="T75" s="184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SK</v>
      </c>
      <c r="B76" s="380">
        <f ca="1">OFFSET('0'!$B$111,($A$1-1)*10,9)</f>
        <v>10</v>
      </c>
      <c r="C76" s="178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79"/>
    </row>
    <row r="77" spans="1:20" ht="15.6" thickTop="1" thickBot="1">
      <c r="A77" s="73"/>
      <c r="B77" s="380"/>
      <c r="C77" s="180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81"/>
    </row>
    <row r="78" spans="1:20" ht="15.6" thickTop="1" thickBot="1">
      <c r="A78" s="73"/>
      <c r="B78" s="380"/>
      <c r="C78" s="180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81"/>
    </row>
    <row r="79" spans="1:20" ht="15.6" thickTop="1" thickBot="1">
      <c r="A79" s="73"/>
      <c r="B79" s="380"/>
      <c r="C79" s="182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81"/>
    </row>
    <row r="80" spans="1:20" ht="15.6" thickTop="1" thickBot="1">
      <c r="A80" s="73"/>
      <c r="B80" s="380"/>
      <c r="C80" s="182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81"/>
    </row>
    <row r="81" spans="1:20" ht="15.6" thickTop="1" thickBot="1">
      <c r="A81" s="73"/>
      <c r="B81" s="380"/>
      <c r="C81" s="182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81"/>
    </row>
    <row r="82" spans="1:20" ht="15.6" thickTop="1" thickBot="1">
      <c r="A82" s="73"/>
      <c r="B82" s="380"/>
      <c r="C82" s="183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70"/>
      <c r="P82" s="171"/>
      <c r="Q82" s="181"/>
    </row>
    <row r="83" spans="1:20" ht="15.6" thickTop="1" thickBot="1">
      <c r="A83" s="73"/>
      <c r="B83" s="380"/>
      <c r="C83" s="16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68"/>
      <c r="T83" s="184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78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79"/>
    </row>
    <row r="85" spans="1:20" ht="15.6" thickTop="1" thickBot="1">
      <c r="A85" s="73"/>
      <c r="B85" s="380"/>
      <c r="C85" s="180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81"/>
    </row>
    <row r="86" spans="1:20" ht="15.6" thickTop="1" thickBot="1">
      <c r="A86" s="73"/>
      <c r="B86" s="380"/>
      <c r="C86" s="180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81"/>
    </row>
    <row r="87" spans="1:20" ht="15.6" thickTop="1" thickBot="1">
      <c r="A87" s="73"/>
      <c r="B87" s="380"/>
      <c r="C87" s="182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81"/>
    </row>
    <row r="88" spans="1:20" ht="15.6" thickTop="1" thickBot="1">
      <c r="A88" s="73"/>
      <c r="B88" s="380"/>
      <c r="C88" s="182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81"/>
    </row>
    <row r="89" spans="1:20" ht="15.6" thickTop="1" thickBot="1">
      <c r="A89" s="73"/>
      <c r="B89" s="380"/>
      <c r="C89" s="182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81"/>
    </row>
    <row r="90" spans="1:20" ht="15.6" thickTop="1" thickBot="1">
      <c r="A90" s="73"/>
      <c r="B90" s="380"/>
      <c r="C90" s="183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70"/>
      <c r="P90" s="171"/>
      <c r="Q90" s="181"/>
    </row>
    <row r="91" spans="1:20" ht="15.6" thickTop="1" thickBot="1">
      <c r="A91" s="73"/>
      <c r="B91" s="380"/>
      <c r="C91" s="16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68"/>
      <c r="T91" s="184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78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79"/>
    </row>
    <row r="93" spans="1:20" ht="15.6" thickTop="1" thickBot="1">
      <c r="A93" s="73"/>
      <c r="B93" s="380"/>
      <c r="C93" s="180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81"/>
    </row>
    <row r="94" spans="1:20" ht="15.6" thickTop="1" thickBot="1">
      <c r="A94" s="73"/>
      <c r="B94" s="380"/>
      <c r="C94" s="180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81"/>
    </row>
    <row r="95" spans="1:20" ht="15.6" thickTop="1" thickBot="1">
      <c r="A95" s="73"/>
      <c r="B95" s="380"/>
      <c r="C95" s="182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81"/>
    </row>
    <row r="96" spans="1:20" ht="15.6" thickTop="1" thickBot="1">
      <c r="A96" s="73"/>
      <c r="B96" s="380"/>
      <c r="C96" s="182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81"/>
    </row>
    <row r="97" spans="1:20" ht="15.6" thickTop="1" thickBot="1">
      <c r="A97" s="73"/>
      <c r="B97" s="380"/>
      <c r="C97" s="182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81"/>
    </row>
    <row r="98" spans="1:20" ht="15.6" thickTop="1" thickBot="1">
      <c r="A98" s="73"/>
      <c r="B98" s="380"/>
      <c r="C98" s="183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70"/>
      <c r="P98" s="171"/>
      <c r="Q98" s="181"/>
    </row>
    <row r="99" spans="1:20" ht="15.6" thickTop="1" thickBot="1">
      <c r="A99" s="73"/>
      <c r="B99" s="380"/>
      <c r="C99" s="16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68"/>
      <c r="T99" s="184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--</v>
      </c>
      <c r="B100" s="380">
        <f ca="1">OFFSET('0'!$B$111,($A$1-1)*10,12)</f>
        <v>13</v>
      </c>
      <c r="C100" s="178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79"/>
    </row>
    <row r="101" spans="1:20" ht="15.6" thickTop="1" thickBot="1">
      <c r="A101" s="73"/>
      <c r="B101" s="380"/>
      <c r="C101" s="180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81"/>
    </row>
    <row r="102" spans="1:20" ht="15.6" thickTop="1" thickBot="1">
      <c r="A102" s="73"/>
      <c r="B102" s="380"/>
      <c r="C102" s="180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81"/>
    </row>
    <row r="103" spans="1:20" ht="15.6" thickTop="1" thickBot="1">
      <c r="A103" s="73"/>
      <c r="B103" s="380"/>
      <c r="C103" s="182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81"/>
    </row>
    <row r="104" spans="1:20" ht="15.6" thickTop="1" thickBot="1">
      <c r="A104" s="73"/>
      <c r="B104" s="380"/>
      <c r="C104" s="182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81"/>
    </row>
    <row r="105" spans="1:20" ht="15.6" thickTop="1" thickBot="1">
      <c r="A105" s="73"/>
      <c r="B105" s="380"/>
      <c r="C105" s="182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81"/>
    </row>
    <row r="106" spans="1:20" ht="15.6" thickTop="1" thickBot="1">
      <c r="A106" s="73"/>
      <c r="B106" s="380"/>
      <c r="C106" s="190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70"/>
      <c r="P106" s="171"/>
      <c r="Q106" s="181"/>
    </row>
    <row r="107" spans="1:20" ht="15.6" thickTop="1" thickBot="1">
      <c r="A107" s="73"/>
      <c r="B107" s="380"/>
      <c r="C107" s="16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68"/>
      <c r="T107" s="184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78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79"/>
    </row>
    <row r="109" spans="1:20" ht="15.6" thickTop="1" thickBot="1">
      <c r="A109" s="73"/>
      <c r="B109" s="380"/>
      <c r="C109" s="180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81"/>
    </row>
    <row r="110" spans="1:20" ht="15.6" thickTop="1" thickBot="1">
      <c r="A110" s="73"/>
      <c r="B110" s="380"/>
      <c r="C110" s="180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81"/>
    </row>
    <row r="111" spans="1:20" ht="15.6" thickTop="1" thickBot="1">
      <c r="A111" s="73"/>
      <c r="B111" s="380"/>
      <c r="C111" s="182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81"/>
    </row>
    <row r="112" spans="1:20" ht="15.6" thickTop="1" thickBot="1">
      <c r="A112" s="73"/>
      <c r="B112" s="380"/>
      <c r="C112" s="182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81"/>
    </row>
    <row r="113" spans="1:22" ht="15.6" thickTop="1" thickBot="1">
      <c r="A113" s="73"/>
      <c r="B113" s="380"/>
      <c r="C113" s="182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81"/>
    </row>
    <row r="114" spans="1:22" ht="15.6" thickTop="1" thickBot="1">
      <c r="A114" s="73"/>
      <c r="B114" s="380"/>
      <c r="C114" s="183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70"/>
      <c r="P114" s="171"/>
      <c r="Q114" s="181"/>
    </row>
    <row r="115" spans="1:22" ht="15.6" thickTop="1" thickBot="1">
      <c r="A115" s="73"/>
      <c r="B115" s="380"/>
      <c r="C115" s="16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68"/>
      <c r="S115" s="175"/>
      <c r="T115" s="184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SV</v>
      </c>
      <c r="B116" s="380">
        <f ca="1">OFFSET('0'!$B$111,($A$1-1)*10,14)</f>
        <v>15</v>
      </c>
      <c r="C116" s="178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79"/>
    </row>
    <row r="117" spans="1:22" ht="15.6" thickTop="1" thickBot="1">
      <c r="A117" s="73"/>
      <c r="B117" s="380"/>
      <c r="C117" s="180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81"/>
    </row>
    <row r="118" spans="1:22" ht="15.6" thickTop="1" thickBot="1">
      <c r="A118" s="73"/>
      <c r="B118" s="380"/>
      <c r="C118" s="180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81"/>
      <c r="S118" s="175"/>
    </row>
    <row r="119" spans="1:22" ht="15.6" thickTop="1" thickBot="1">
      <c r="A119" s="73"/>
      <c r="B119" s="380"/>
      <c r="C119" s="182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81"/>
      <c r="S119" s="175"/>
    </row>
    <row r="120" spans="1:22" ht="15.6" thickTop="1" thickBot="1">
      <c r="A120" s="73"/>
      <c r="B120" s="380"/>
      <c r="C120" s="182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81"/>
      <c r="S120" s="175"/>
    </row>
    <row r="121" spans="1:22" ht="15.6" thickTop="1" thickBot="1">
      <c r="A121" s="73"/>
      <c r="B121" s="380"/>
      <c r="C121" s="182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81"/>
      <c r="S121" s="175"/>
    </row>
    <row r="122" spans="1:22" ht="15.6" thickTop="1" thickBot="1">
      <c r="A122" s="73"/>
      <c r="B122" s="380"/>
      <c r="C122" s="183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70"/>
      <c r="P122" s="171"/>
      <c r="Q122" s="181"/>
      <c r="S122" s="175"/>
    </row>
    <row r="123" spans="1:22" ht="15.6" thickTop="1" thickBot="1">
      <c r="A123" s="73"/>
      <c r="B123" s="380"/>
      <c r="C123" s="173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74"/>
      <c r="T123" s="184">
        <f>$V$3+L11+L19+L27+L35+L43+L51+L59+L67+L75+L83+L91+L99+L107+L115+L123</f>
        <v>11082547.809999999</v>
      </c>
      <c r="U123" s="175"/>
    </row>
    <row r="124" spans="1:22" ht="15.6" thickTop="1" thickBot="1">
      <c r="A124" s="73" t="str">
        <f ca="1">OFFSET('0'!$B$112,($A$1-1)*10,$B124-1)</f>
        <v>SS</v>
      </c>
      <c r="B124" s="380">
        <f ca="1">OFFSET('0'!$B$111,($A$1-1)*10,15)</f>
        <v>16</v>
      </c>
      <c r="C124" s="178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79"/>
      <c r="V124" s="175"/>
    </row>
    <row r="125" spans="1:22" ht="15.6" thickTop="1" thickBot="1">
      <c r="A125" s="73"/>
      <c r="B125" s="380"/>
      <c r="C125" s="180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81"/>
    </row>
    <row r="126" spans="1:22" ht="15.6" thickTop="1" thickBot="1">
      <c r="A126" s="73"/>
      <c r="B126" s="380"/>
      <c r="C126" s="180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81"/>
    </row>
    <row r="127" spans="1:22" ht="15.6" thickTop="1" thickBot="1">
      <c r="A127" s="73"/>
      <c r="B127" s="380"/>
      <c r="C127" s="182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81"/>
    </row>
    <row r="128" spans="1:22" ht="15.6" thickTop="1" thickBot="1">
      <c r="A128" s="73"/>
      <c r="B128" s="380"/>
      <c r="C128" s="182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81"/>
    </row>
    <row r="129" spans="1:20" ht="15.6" thickTop="1" thickBot="1">
      <c r="A129" s="73"/>
      <c r="B129" s="380"/>
      <c r="C129" s="182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81"/>
    </row>
    <row r="130" spans="1:20" ht="15.6" thickTop="1" thickBot="1">
      <c r="A130" s="73"/>
      <c r="B130" s="380"/>
      <c r="C130" s="183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70"/>
      <c r="P130" s="171"/>
      <c r="Q130" s="181"/>
      <c r="S130" s="176"/>
    </row>
    <row r="131" spans="1:20" ht="15.6" thickTop="1" thickBot="1">
      <c r="A131" s="73"/>
      <c r="B131" s="380"/>
      <c r="C131" s="16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68"/>
      <c r="S131" s="175"/>
      <c r="T131" s="184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SK</v>
      </c>
      <c r="B132" s="380">
        <f ca="1">OFFSET('0'!$B$111,($A$1-1)*10,16)</f>
        <v>17</v>
      </c>
      <c r="C132" s="178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79"/>
    </row>
    <row r="133" spans="1:20" ht="15.6" thickTop="1" thickBot="1">
      <c r="A133" s="73"/>
      <c r="B133" s="380"/>
      <c r="C133" s="180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86"/>
    </row>
    <row r="134" spans="1:20" ht="15.6" thickTop="1" thickBot="1">
      <c r="A134" s="73"/>
      <c r="B134" s="380"/>
      <c r="C134" s="180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81"/>
    </row>
    <row r="135" spans="1:20" ht="15.6" thickTop="1" thickBot="1">
      <c r="A135" s="73"/>
      <c r="B135" s="380"/>
      <c r="C135" s="182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81"/>
    </row>
    <row r="136" spans="1:20" ht="15.6" thickTop="1" thickBot="1">
      <c r="A136" s="73"/>
      <c r="B136" s="380"/>
      <c r="C136" s="182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81"/>
    </row>
    <row r="137" spans="1:20" ht="15.6" thickTop="1" thickBot="1">
      <c r="A137" s="73"/>
      <c r="B137" s="380"/>
      <c r="C137" s="182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87"/>
    </row>
    <row r="138" spans="1:20" ht="15.6" thickTop="1" thickBot="1">
      <c r="A138" s="73"/>
      <c r="B138" s="380"/>
      <c r="C138" s="183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188"/>
      <c r="P138" s="189"/>
      <c r="Q138" s="187"/>
    </row>
    <row r="139" spans="1:20" ht="15.6" thickTop="1" thickBot="1">
      <c r="A139" s="73"/>
      <c r="B139" s="380"/>
      <c r="C139" s="16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68"/>
      <c r="T139" s="184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78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79"/>
    </row>
    <row r="141" spans="1:20" ht="15.6" thickTop="1" thickBot="1">
      <c r="A141" s="73"/>
      <c r="B141" s="380"/>
      <c r="C141" s="180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86"/>
    </row>
    <row r="142" spans="1:20" ht="15.6" thickTop="1" thickBot="1">
      <c r="A142" s="73"/>
      <c r="B142" s="380"/>
      <c r="C142" s="180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86"/>
    </row>
    <row r="143" spans="1:20" ht="15.6" thickTop="1" thickBot="1">
      <c r="A143" s="73"/>
      <c r="B143" s="380"/>
      <c r="C143" s="182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81"/>
    </row>
    <row r="144" spans="1:20" s="162" customFormat="1" ht="15.6" thickTop="1" thickBot="1">
      <c r="A144" s="74"/>
      <c r="B144" s="380"/>
      <c r="C144" s="182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81"/>
    </row>
    <row r="145" spans="1:20" s="162" customFormat="1" ht="15.6" thickTop="1" thickBot="1">
      <c r="A145" s="74"/>
      <c r="B145" s="380"/>
      <c r="C145" s="182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81"/>
    </row>
    <row r="146" spans="1:20" ht="15.6" thickTop="1" thickBot="1">
      <c r="A146" s="73"/>
      <c r="B146" s="380"/>
      <c r="C146" s="183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70"/>
      <c r="P146" s="171"/>
      <c r="Q146" s="181"/>
    </row>
    <row r="147" spans="1:20" ht="15.6" thickTop="1" thickBot="1">
      <c r="A147" s="73"/>
      <c r="B147" s="380"/>
      <c r="C147" s="16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68"/>
      <c r="T147" s="184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78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79"/>
    </row>
    <row r="149" spans="1:20" s="162" customFormat="1" ht="15.6" thickTop="1" thickBot="1">
      <c r="A149" s="74"/>
      <c r="B149" s="380"/>
      <c r="C149" s="180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86"/>
    </row>
    <row r="150" spans="1:20" ht="15.6" thickTop="1" thickBot="1">
      <c r="A150" s="73"/>
      <c r="B150" s="380"/>
      <c r="C150" s="180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86"/>
    </row>
    <row r="151" spans="1:20" ht="15.6" thickTop="1" thickBot="1">
      <c r="A151" s="73"/>
      <c r="B151" s="380"/>
      <c r="C151" s="182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81"/>
    </row>
    <row r="152" spans="1:20" ht="15.6" thickTop="1" thickBot="1">
      <c r="A152" s="73"/>
      <c r="B152" s="380"/>
      <c r="C152" s="182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81"/>
    </row>
    <row r="153" spans="1:20" ht="15.6" thickTop="1" thickBot="1">
      <c r="A153" s="73"/>
      <c r="B153" s="380"/>
      <c r="C153" s="182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81"/>
    </row>
    <row r="154" spans="1:20" ht="15.6" thickTop="1" thickBot="1">
      <c r="A154" s="73"/>
      <c r="B154" s="380"/>
      <c r="C154" s="183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70"/>
      <c r="P154" s="171"/>
      <c r="Q154" s="181"/>
    </row>
    <row r="155" spans="1:20" ht="15.6" thickTop="1" thickBot="1">
      <c r="A155" s="73"/>
      <c r="B155" s="380"/>
      <c r="C155" s="16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68"/>
      <c r="T155" s="184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--</v>
      </c>
      <c r="B156" s="380">
        <f ca="1">OFFSET('0'!$B$111,($A$1-1)*10,19)</f>
        <v>20</v>
      </c>
      <c r="C156" s="178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79"/>
    </row>
    <row r="157" spans="1:20" ht="15.6" thickTop="1" thickBot="1">
      <c r="A157" s="73"/>
      <c r="B157" s="380"/>
      <c r="C157" s="180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86"/>
    </row>
    <row r="158" spans="1:20" s="162" customFormat="1" ht="15.6" thickTop="1" thickBot="1">
      <c r="A158" s="74"/>
      <c r="B158" s="380"/>
      <c r="C158" s="180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86"/>
    </row>
    <row r="159" spans="1:20" ht="15.6" thickTop="1" thickBot="1">
      <c r="A159" s="73"/>
      <c r="B159" s="380"/>
      <c r="C159" s="182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81"/>
    </row>
    <row r="160" spans="1:20" ht="15.6" thickTop="1" thickBot="1">
      <c r="A160" s="73"/>
      <c r="B160" s="380"/>
      <c r="C160" s="182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81"/>
    </row>
    <row r="161" spans="1:20" ht="15.6" thickTop="1" thickBot="1">
      <c r="A161" s="73"/>
      <c r="B161" s="380"/>
      <c r="C161" s="182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81"/>
    </row>
    <row r="162" spans="1:20" ht="15.6" thickTop="1" thickBot="1">
      <c r="A162" s="73"/>
      <c r="B162" s="380"/>
      <c r="C162" s="183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70"/>
      <c r="P162" s="171"/>
      <c r="Q162" s="181"/>
    </row>
    <row r="163" spans="1:20" ht="15.6" thickTop="1" thickBot="1">
      <c r="A163" s="73"/>
      <c r="B163" s="380"/>
      <c r="C163" s="16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68"/>
      <c r="T163" s="184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78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79"/>
    </row>
    <row r="165" spans="1:20" ht="15.6" thickTop="1" thickBot="1">
      <c r="A165" s="73"/>
      <c r="B165" s="380"/>
      <c r="C165" s="180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86"/>
    </row>
    <row r="166" spans="1:20" s="162" customFormat="1" ht="15.6" thickTop="1" thickBot="1">
      <c r="A166" s="74"/>
      <c r="B166" s="380"/>
      <c r="C166" s="180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86"/>
    </row>
    <row r="167" spans="1:20" ht="15.6" thickTop="1" thickBot="1">
      <c r="A167" s="73"/>
      <c r="B167" s="380"/>
      <c r="C167" s="182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81"/>
    </row>
    <row r="168" spans="1:20" ht="15.6" thickTop="1" thickBot="1">
      <c r="A168" s="73"/>
      <c r="B168" s="380"/>
      <c r="C168" s="182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81"/>
    </row>
    <row r="169" spans="1:20" ht="15.6" thickTop="1" thickBot="1">
      <c r="A169" s="73"/>
      <c r="B169" s="380"/>
      <c r="C169" s="182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81"/>
    </row>
    <row r="170" spans="1:20" ht="15.6" thickTop="1" thickBot="1">
      <c r="A170" s="73"/>
      <c r="B170" s="380"/>
      <c r="C170" s="183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70"/>
      <c r="P170" s="171"/>
      <c r="Q170" s="181"/>
    </row>
    <row r="171" spans="1:20" ht="15.6" thickTop="1" thickBot="1">
      <c r="A171" s="73"/>
      <c r="B171" s="380"/>
      <c r="C171" s="16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68"/>
      <c r="T171" s="184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78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79"/>
    </row>
    <row r="173" spans="1:20" ht="15.6" thickTop="1" thickBot="1">
      <c r="A173" s="73"/>
      <c r="B173" s="380"/>
      <c r="C173" s="180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81"/>
    </row>
    <row r="174" spans="1:20" s="162" customFormat="1" ht="15.6" thickTop="1" thickBot="1">
      <c r="A174" s="74"/>
      <c r="B174" s="380"/>
      <c r="C174" s="180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81"/>
    </row>
    <row r="175" spans="1:20" ht="15.6" thickTop="1" thickBot="1">
      <c r="A175" s="73"/>
      <c r="B175" s="380"/>
      <c r="C175" s="182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81"/>
    </row>
    <row r="176" spans="1:20" ht="15.6" thickTop="1" thickBot="1">
      <c r="A176" s="73"/>
      <c r="B176" s="380"/>
      <c r="C176" s="182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81"/>
    </row>
    <row r="177" spans="1:20" ht="15.6" thickTop="1" thickBot="1">
      <c r="A177" s="73"/>
      <c r="B177" s="380"/>
      <c r="C177" s="182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81"/>
    </row>
    <row r="178" spans="1:20" ht="15.6" thickTop="1" thickBot="1">
      <c r="A178" s="73"/>
      <c r="B178" s="380"/>
      <c r="C178" s="183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70"/>
      <c r="P178" s="171"/>
      <c r="Q178" s="181"/>
    </row>
    <row r="179" spans="1:20" ht="15.6" thickTop="1" thickBot="1">
      <c r="A179" s="73"/>
      <c r="B179" s="380"/>
      <c r="C179" s="16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68"/>
      <c r="T179" s="184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SS</v>
      </c>
      <c r="B180" s="380">
        <f ca="1">OFFSET('0'!$B$111,($A$1-1)*10,22)</f>
        <v>23</v>
      </c>
      <c r="C180" s="178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79"/>
    </row>
    <row r="181" spans="1:20" s="162" customFormat="1" ht="15.6" thickTop="1" thickBot="1">
      <c r="A181" s="74"/>
      <c r="B181" s="380"/>
      <c r="C181" s="180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86"/>
    </row>
    <row r="182" spans="1:20" ht="15.6" thickTop="1" thickBot="1">
      <c r="A182" s="73"/>
      <c r="B182" s="380"/>
      <c r="C182" s="180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81"/>
    </row>
    <row r="183" spans="1:20" ht="15.6" thickTop="1" thickBot="1">
      <c r="A183" s="73"/>
      <c r="B183" s="380"/>
      <c r="C183" s="182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81"/>
    </row>
    <row r="184" spans="1:20" ht="15.6" thickTop="1" thickBot="1">
      <c r="A184" s="73"/>
      <c r="B184" s="380"/>
      <c r="C184" s="182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81"/>
    </row>
    <row r="185" spans="1:20" ht="15.6" thickTop="1" thickBot="1">
      <c r="A185" s="73"/>
      <c r="B185" s="380"/>
      <c r="C185" s="182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81"/>
    </row>
    <row r="186" spans="1:20" ht="15.6" thickTop="1" thickBot="1">
      <c r="A186" s="73"/>
      <c r="B186" s="380"/>
      <c r="C186" s="183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70"/>
      <c r="P186" s="171"/>
      <c r="Q186" s="181"/>
    </row>
    <row r="187" spans="1:20" ht="15.6" thickTop="1" thickBot="1">
      <c r="A187" s="73"/>
      <c r="B187" s="380"/>
      <c r="C187" s="16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68"/>
      <c r="T187" s="184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SK</v>
      </c>
      <c r="B188" s="380">
        <f ca="1">OFFSET('0'!$B$111,($A$1-1)*10,23)</f>
        <v>24</v>
      </c>
      <c r="C188" s="178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79"/>
    </row>
    <row r="189" spans="1:20" ht="15.6" thickTop="1" thickBot="1">
      <c r="A189" s="73"/>
      <c r="B189" s="380"/>
      <c r="C189" s="180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81"/>
    </row>
    <row r="190" spans="1:20" s="162" customFormat="1" ht="15.6" thickTop="1" thickBot="1">
      <c r="A190" s="74"/>
      <c r="B190" s="380"/>
      <c r="C190" s="180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81"/>
    </row>
    <row r="191" spans="1:20" ht="15.6" thickTop="1" thickBot="1">
      <c r="A191" s="73"/>
      <c r="B191" s="380"/>
      <c r="C191" s="182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81"/>
    </row>
    <row r="192" spans="1:20" ht="15.6" thickTop="1" thickBot="1">
      <c r="A192" s="73"/>
      <c r="B192" s="380"/>
      <c r="C192" s="182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81"/>
    </row>
    <row r="193" spans="1:20" ht="15.6" thickTop="1" thickBot="1">
      <c r="A193" s="73"/>
      <c r="B193" s="380"/>
      <c r="C193" s="182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81"/>
    </row>
    <row r="194" spans="1:20" ht="15.6" thickTop="1" thickBot="1">
      <c r="A194" s="73"/>
      <c r="B194" s="380"/>
      <c r="C194" s="183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70"/>
      <c r="P194" s="171"/>
      <c r="Q194" s="181"/>
    </row>
    <row r="195" spans="1:20" ht="15.6" thickTop="1" thickBot="1">
      <c r="A195" s="73"/>
      <c r="B195" s="380"/>
      <c r="C195" s="16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68"/>
      <c r="T195" s="184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78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79"/>
    </row>
    <row r="197" spans="1:20" ht="15.6" thickTop="1" thickBot="1">
      <c r="A197" s="73"/>
      <c r="B197" s="380"/>
      <c r="C197" s="180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81"/>
    </row>
    <row r="198" spans="1:20" ht="15.6" thickTop="1" thickBot="1">
      <c r="A198" s="73"/>
      <c r="B198" s="380"/>
      <c r="C198" s="180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81"/>
    </row>
    <row r="199" spans="1:20" ht="15.6" thickTop="1" thickBot="1">
      <c r="A199" s="73"/>
      <c r="B199" s="380"/>
      <c r="C199" s="182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81"/>
    </row>
    <row r="200" spans="1:20" ht="15.6" thickTop="1" thickBot="1">
      <c r="A200" s="73"/>
      <c r="B200" s="380"/>
      <c r="C200" s="182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81"/>
    </row>
    <row r="201" spans="1:20" ht="15.6" thickTop="1" thickBot="1">
      <c r="A201" s="73"/>
      <c r="B201" s="380"/>
      <c r="C201" s="182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81"/>
    </row>
    <row r="202" spans="1:20" ht="15.6" thickTop="1" thickBot="1">
      <c r="A202" s="73"/>
      <c r="B202" s="380"/>
      <c r="C202" s="177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70"/>
      <c r="P202" s="171"/>
      <c r="Q202" s="181"/>
    </row>
    <row r="203" spans="1:20" ht="15.6" thickTop="1" thickBot="1">
      <c r="A203" s="73"/>
      <c r="B203" s="380"/>
      <c r="C203" s="16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68"/>
      <c r="T203" s="184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--</v>
      </c>
      <c r="B204" s="380">
        <f ca="1">OFFSET('0'!$B$111,($A$1-1)*10,25)</f>
        <v>26</v>
      </c>
      <c r="C204" s="178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79"/>
    </row>
    <row r="205" spans="1:20" s="162" customFormat="1" ht="15.6" thickTop="1" thickBot="1">
      <c r="A205" s="74"/>
      <c r="B205" s="380"/>
      <c r="C205" s="180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86"/>
    </row>
    <row r="206" spans="1:20" ht="15.6" thickTop="1" thickBot="1">
      <c r="A206" s="73"/>
      <c r="B206" s="380"/>
      <c r="C206" s="180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81"/>
    </row>
    <row r="207" spans="1:20" ht="15.6" thickTop="1" thickBot="1">
      <c r="A207" s="73"/>
      <c r="B207" s="380"/>
      <c r="C207" s="182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81"/>
    </row>
    <row r="208" spans="1:20" ht="15.6" thickTop="1" thickBot="1">
      <c r="A208" s="73"/>
      <c r="B208" s="380"/>
      <c r="C208" s="182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81"/>
    </row>
    <row r="209" spans="1:20" ht="15.6" thickTop="1" thickBot="1">
      <c r="A209" s="73"/>
      <c r="B209" s="380"/>
      <c r="C209" s="182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81"/>
    </row>
    <row r="210" spans="1:20" ht="15.6" thickTop="1" thickBot="1">
      <c r="A210" s="73"/>
      <c r="B210" s="380"/>
      <c r="C210" s="177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70"/>
      <c r="P210" s="171"/>
      <c r="Q210" s="181"/>
    </row>
    <row r="211" spans="1:20" ht="15.6" thickTop="1" thickBot="1">
      <c r="A211" s="73"/>
      <c r="B211" s="380"/>
      <c r="C211" s="16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68"/>
      <c r="T211" s="184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--</v>
      </c>
      <c r="B212" s="380">
        <f ca="1">OFFSET('0'!$B$111,($A$1-1)*10,26)</f>
        <v>27</v>
      </c>
      <c r="C212" s="178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79"/>
    </row>
    <row r="213" spans="1:20" ht="15.6" thickTop="1" thickBot="1">
      <c r="A213" s="73"/>
      <c r="B213" s="380"/>
      <c r="C213" s="180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78"/>
        <v>0</v>
      </c>
      <c r="O213" s="269"/>
      <c r="P213" s="290"/>
      <c r="Q213" s="181"/>
    </row>
    <row r="214" spans="1:20" s="162" customFormat="1" ht="15.6" thickTop="1" thickBot="1">
      <c r="A214" s="74"/>
      <c r="B214" s="380"/>
      <c r="C214" s="180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81"/>
    </row>
    <row r="215" spans="1:20" s="162" customFormat="1" ht="15.6" thickTop="1" thickBot="1">
      <c r="A215" s="74"/>
      <c r="B215" s="380"/>
      <c r="C215" s="182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81"/>
    </row>
    <row r="216" spans="1:20" ht="15.6" thickTop="1" thickBot="1">
      <c r="A216" s="73"/>
      <c r="B216" s="380"/>
      <c r="C216" s="182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81"/>
    </row>
    <row r="217" spans="1:20" ht="15.6" thickTop="1" thickBot="1">
      <c r="A217" s="73"/>
      <c r="B217" s="380"/>
      <c r="C217" s="182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81"/>
    </row>
    <row r="218" spans="1:20" ht="15.6" thickTop="1" thickBot="1">
      <c r="A218" s="73"/>
      <c r="B218" s="380"/>
      <c r="C218" s="177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70"/>
      <c r="P218" s="171"/>
      <c r="Q218" s="181"/>
    </row>
    <row r="219" spans="1:20" ht="15.6" thickTop="1" thickBot="1">
      <c r="A219" s="73"/>
      <c r="B219" s="380"/>
      <c r="C219" s="167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68"/>
      <c r="T219" s="184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--</v>
      </c>
      <c r="B220" s="380">
        <f ca="1">OFFSET('0'!$B$111,($A$1-1)*10,27)</f>
        <v>28</v>
      </c>
      <c r="C220" s="178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79"/>
    </row>
    <row r="221" spans="1:20" s="162" customFormat="1" ht="15.6" thickTop="1" thickBot="1">
      <c r="A221" s="74"/>
      <c r="B221" s="380"/>
      <c r="C221" s="180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86"/>
    </row>
    <row r="222" spans="1:20" ht="15.6" thickTop="1" thickBot="1">
      <c r="A222" s="73"/>
      <c r="B222" s="380"/>
      <c r="C222" s="180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81"/>
    </row>
    <row r="223" spans="1:20" s="162" customFormat="1" ht="15.6" thickTop="1" thickBot="1">
      <c r="A223" s="74"/>
      <c r="B223" s="380"/>
      <c r="C223" s="182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81"/>
    </row>
    <row r="224" spans="1:20" ht="15.6" thickTop="1" thickBot="1">
      <c r="A224" s="73"/>
      <c r="B224" s="380"/>
      <c r="C224" s="182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81"/>
    </row>
    <row r="225" spans="1:20" ht="15.6" thickTop="1" thickBot="1">
      <c r="A225" s="73"/>
      <c r="B225" s="380"/>
      <c r="C225" s="182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81"/>
    </row>
    <row r="226" spans="1:20" ht="15.6" thickTop="1" thickBot="1">
      <c r="A226" s="73"/>
      <c r="B226" s="380"/>
      <c r="C226" s="177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70"/>
      <c r="P226" s="171"/>
      <c r="Q226" s="181"/>
    </row>
    <row r="227" spans="1:20" ht="15.6" thickTop="1" thickBot="1">
      <c r="A227" s="73"/>
      <c r="B227" s="380"/>
      <c r="C227" s="167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68"/>
      <c r="T227" s="184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78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79"/>
    </row>
    <row r="229" spans="1:20" ht="15.6" thickTop="1" thickBot="1">
      <c r="A229" s="73"/>
      <c r="B229" s="380"/>
      <c r="C229" s="180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86"/>
    </row>
    <row r="230" spans="1:20" ht="15.6" thickTop="1" thickBot="1">
      <c r="A230" s="73"/>
      <c r="B230" s="380"/>
      <c r="C230" s="180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81"/>
    </row>
    <row r="231" spans="1:20" s="162" customFormat="1" ht="15.6" thickTop="1" thickBot="1">
      <c r="A231" s="74"/>
      <c r="B231" s="380"/>
      <c r="C231" s="182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81"/>
    </row>
    <row r="232" spans="1:20" s="162" customFormat="1" ht="15.6" thickTop="1" thickBot="1">
      <c r="A232" s="74"/>
      <c r="B232" s="380"/>
      <c r="C232" s="182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81"/>
    </row>
    <row r="233" spans="1:20" ht="15.6" thickTop="1" thickBot="1">
      <c r="A233" s="73"/>
      <c r="B233" s="380"/>
      <c r="C233" s="182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81"/>
    </row>
    <row r="234" spans="1:20" ht="15.6" thickTop="1" thickBot="1">
      <c r="A234" s="73"/>
      <c r="B234" s="380"/>
      <c r="C234" s="177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70"/>
      <c r="P234" s="171"/>
      <c r="Q234" s="181"/>
    </row>
    <row r="235" spans="1:20" ht="15.6" thickTop="1" thickBot="1">
      <c r="A235" s="73"/>
      <c r="B235" s="380"/>
      <c r="C235" s="167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68"/>
      <c r="T235" s="184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SS</v>
      </c>
      <c r="B236" s="380">
        <f ca="1">OFFSET('0'!$B$111,($A$1-1)*10,29)</f>
        <v>30</v>
      </c>
      <c r="C236" s="178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79"/>
    </row>
    <row r="237" spans="1:20" ht="15.6" thickTop="1" thickBot="1">
      <c r="A237" s="73"/>
      <c r="B237" s="380"/>
      <c r="C237" s="180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86"/>
    </row>
    <row r="238" spans="1:20" s="162" customFormat="1" ht="15.6" thickTop="1" thickBot="1">
      <c r="A238" s="74"/>
      <c r="B238" s="380"/>
      <c r="C238" s="180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86"/>
    </row>
    <row r="239" spans="1:20" s="162" customFormat="1" ht="15.6" thickTop="1" thickBot="1">
      <c r="A239" s="74"/>
      <c r="B239" s="380"/>
      <c r="C239" s="182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86"/>
    </row>
    <row r="240" spans="1:20" ht="15.6" thickTop="1" thickBot="1">
      <c r="A240" s="73"/>
      <c r="B240" s="380"/>
      <c r="C240" s="182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81"/>
    </row>
    <row r="241" spans="1:20" ht="15.6" thickTop="1" thickBot="1">
      <c r="A241" s="73"/>
      <c r="B241" s="380"/>
      <c r="C241" s="182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81"/>
    </row>
    <row r="242" spans="1:20" ht="15.6" thickTop="1" thickBot="1">
      <c r="A242" s="73"/>
      <c r="B242" s="380"/>
      <c r="C242" s="177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70"/>
      <c r="P242" s="171"/>
      <c r="Q242" s="181"/>
    </row>
    <row r="243" spans="1:20" ht="15.6" thickTop="1" thickBot="1">
      <c r="A243" s="73"/>
      <c r="B243" s="380"/>
      <c r="C243" s="167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68"/>
      <c r="T243" s="184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str">
        <f ca="1">OFFSET('0'!$B$112,($A$1-1)*10,$B244-1)</f>
        <v>SK</v>
      </c>
      <c r="B244" s="380">
        <f ca="1">OFFSET('0'!$B$111,($A$1-1)*10,30)</f>
        <v>31</v>
      </c>
      <c r="C244" s="178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79"/>
    </row>
    <row r="245" spans="1:20" s="162" customFormat="1" ht="15.6" thickTop="1" thickBot="1">
      <c r="A245" s="74"/>
      <c r="B245" s="380"/>
      <c r="C245" s="180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90"/>
        <v>0</v>
      </c>
      <c r="O245" s="269"/>
      <c r="P245" s="296"/>
      <c r="Q245" s="186"/>
    </row>
    <row r="246" spans="1:20" s="162" customFormat="1" ht="15.6" thickTop="1" thickBot="1">
      <c r="A246" s="74"/>
      <c r="B246" s="380"/>
      <c r="C246" s="180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91">SUM(D246-E246)</f>
        <v>0</v>
      </c>
      <c r="N246" s="269">
        <f t="shared" si="90"/>
        <v>0</v>
      </c>
      <c r="O246" s="269"/>
      <c r="P246" s="294"/>
      <c r="Q246" s="186"/>
    </row>
    <row r="247" spans="1:20" s="162" customFormat="1" ht="15.6" thickTop="1" thickBot="1">
      <c r="A247" s="74"/>
      <c r="B247" s="380"/>
      <c r="C247" s="182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91"/>
        <v>0</v>
      </c>
      <c r="N247" s="269">
        <f t="shared" si="90"/>
        <v>0</v>
      </c>
      <c r="O247" s="269"/>
      <c r="P247" s="294"/>
      <c r="Q247" s="186"/>
    </row>
    <row r="248" spans="1:20" ht="15.6" thickTop="1" thickBot="1">
      <c r="A248" s="73"/>
      <c r="B248" s="380"/>
      <c r="C248" s="182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1"/>
        <v>0</v>
      </c>
      <c r="N248" s="269">
        <f t="shared" si="90"/>
        <v>0</v>
      </c>
      <c r="O248" s="269"/>
      <c r="P248" s="290"/>
      <c r="Q248" s="181"/>
    </row>
    <row r="249" spans="1:20" ht="15.6" thickTop="1" thickBot="1">
      <c r="A249" s="73"/>
      <c r="B249" s="380"/>
      <c r="C249" s="182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1"/>
        <v>0</v>
      </c>
      <c r="N249" s="269">
        <f t="shared" si="90"/>
        <v>0</v>
      </c>
      <c r="O249" s="269"/>
      <c r="P249" s="290"/>
      <c r="Q249" s="181"/>
    </row>
    <row r="250" spans="1:20" ht="15.6" thickTop="1" thickBot="1">
      <c r="A250" s="73"/>
      <c r="B250" s="380"/>
      <c r="C250" s="177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70"/>
      <c r="P250" s="171"/>
      <c r="Q250" s="181"/>
    </row>
    <row r="251" spans="1:20" ht="15.6" thickTop="1" thickBot="1">
      <c r="A251" s="73"/>
      <c r="B251" s="380"/>
      <c r="C251" s="167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68"/>
      <c r="T251" s="184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69" t="s">
        <v>31</v>
      </c>
      <c r="D253" s="117">
        <f t="shared" ref="D253:P253" si="93">SUM(D250,D242,D234,D226,D218,D210,D202,D194,D186,D178,D170,D162,D154,D146,D138,D130,D122,D114,D106,D98,D90,D82,D74,D66,D58,D50,D42,D34,D26,D18,D10)</f>
        <v>0</v>
      </c>
      <c r="E253" s="298">
        <f t="shared" si="93"/>
        <v>0</v>
      </c>
      <c r="F253" s="299">
        <f t="shared" si="93"/>
        <v>0</v>
      </c>
      <c r="G253" s="299">
        <f t="shared" si="93"/>
        <v>0</v>
      </c>
      <c r="H253" s="299">
        <f t="shared" si="93"/>
        <v>0</v>
      </c>
      <c r="I253" s="299">
        <f t="shared" si="93"/>
        <v>0</v>
      </c>
      <c r="J253" s="299">
        <f t="shared" si="93"/>
        <v>0</v>
      </c>
      <c r="K253" s="299">
        <f t="shared" si="93"/>
        <v>0</v>
      </c>
      <c r="L253" s="300">
        <f t="shared" si="93"/>
        <v>0</v>
      </c>
      <c r="M253" s="298">
        <f t="shared" si="93"/>
        <v>0</v>
      </c>
      <c r="N253" s="117">
        <f t="shared" si="93"/>
        <v>0</v>
      </c>
      <c r="O253" s="117">
        <f t="shared" si="93"/>
        <v>0</v>
      </c>
      <c r="P253" s="117">
        <f t="shared" si="93"/>
        <v>0</v>
      </c>
    </row>
    <row r="254" spans="1:20">
      <c r="C254" s="169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192" priority="32">
      <formula>$A12&lt;&gt;"--"</formula>
    </cfRule>
  </conditionalFormatting>
  <conditionalFormatting sqref="B20:B27">
    <cfRule type="expression" dxfId="191" priority="31">
      <formula>$A20&lt;&gt;"--"</formula>
    </cfRule>
  </conditionalFormatting>
  <conditionalFormatting sqref="B28:B35">
    <cfRule type="expression" dxfId="190" priority="30">
      <formula>$A28&lt;&gt;"--"</formula>
    </cfRule>
  </conditionalFormatting>
  <conditionalFormatting sqref="B36:B43">
    <cfRule type="expression" dxfId="189" priority="29">
      <formula>$A36&lt;&gt;"--"</formula>
    </cfRule>
  </conditionalFormatting>
  <conditionalFormatting sqref="B44:B51">
    <cfRule type="expression" dxfId="188" priority="28">
      <formula>$A44&lt;&gt;"--"</formula>
    </cfRule>
  </conditionalFormatting>
  <conditionalFormatting sqref="B52:B59">
    <cfRule type="expression" dxfId="187" priority="27">
      <formula>$A52&lt;&gt;"--"</formula>
    </cfRule>
  </conditionalFormatting>
  <conditionalFormatting sqref="B60:B67">
    <cfRule type="expression" dxfId="186" priority="26">
      <formula>$A60&lt;&gt;"--"</formula>
    </cfRule>
  </conditionalFormatting>
  <conditionalFormatting sqref="B68:B75">
    <cfRule type="expression" dxfId="185" priority="25">
      <formula>$A68&lt;&gt;"--"</formula>
    </cfRule>
  </conditionalFormatting>
  <conditionalFormatting sqref="B76:B83">
    <cfRule type="expression" dxfId="184" priority="24">
      <formula>$A76&lt;&gt;"--"</formula>
    </cfRule>
  </conditionalFormatting>
  <conditionalFormatting sqref="B84:B91">
    <cfRule type="expression" dxfId="183" priority="23">
      <formula>$A84&lt;&gt;"--"</formula>
    </cfRule>
  </conditionalFormatting>
  <conditionalFormatting sqref="B92:B99">
    <cfRule type="expression" dxfId="182" priority="22">
      <formula>$A92&lt;&gt;"--"</formula>
    </cfRule>
  </conditionalFormatting>
  <conditionalFormatting sqref="B100:B107">
    <cfRule type="expression" dxfId="181" priority="21">
      <formula>$A100&lt;&gt;"--"</formula>
    </cfRule>
  </conditionalFormatting>
  <conditionalFormatting sqref="B108:B115">
    <cfRule type="expression" dxfId="180" priority="20">
      <formula>$A108&lt;&gt;"--"</formula>
    </cfRule>
  </conditionalFormatting>
  <conditionalFormatting sqref="B116:B123">
    <cfRule type="expression" dxfId="179" priority="19">
      <formula>$A116&lt;&gt;"--"</formula>
    </cfRule>
  </conditionalFormatting>
  <conditionalFormatting sqref="B124:B131">
    <cfRule type="expression" dxfId="178" priority="18">
      <formula>$A124&lt;&gt;"--"</formula>
    </cfRule>
  </conditionalFormatting>
  <conditionalFormatting sqref="B132:B139">
    <cfRule type="expression" dxfId="177" priority="17">
      <formula>$A132&lt;&gt;"--"</formula>
    </cfRule>
  </conditionalFormatting>
  <conditionalFormatting sqref="B140:B147">
    <cfRule type="expression" dxfId="176" priority="16">
      <formula>$A140&lt;&gt;"--"</formula>
    </cfRule>
  </conditionalFormatting>
  <conditionalFormatting sqref="B148:B155">
    <cfRule type="expression" dxfId="175" priority="15">
      <formula>$A148&lt;&gt;"--"</formula>
    </cfRule>
  </conditionalFormatting>
  <conditionalFormatting sqref="B156:B163">
    <cfRule type="expression" dxfId="174" priority="14">
      <formula>$A156&lt;&gt;"--"</formula>
    </cfRule>
  </conditionalFormatting>
  <conditionalFormatting sqref="B164:B171">
    <cfRule type="expression" dxfId="173" priority="13">
      <formula>$A164&lt;&gt;"--"</formula>
    </cfRule>
  </conditionalFormatting>
  <conditionalFormatting sqref="B172:B179">
    <cfRule type="expression" dxfId="172" priority="12">
      <formula>$A172&lt;&gt;"--"</formula>
    </cfRule>
  </conditionalFormatting>
  <conditionalFormatting sqref="B180:B187">
    <cfRule type="expression" dxfId="171" priority="11">
      <formula>$A180&lt;&gt;"--"</formula>
    </cfRule>
  </conditionalFormatting>
  <conditionalFormatting sqref="B188:B195">
    <cfRule type="expression" dxfId="170" priority="10">
      <formula>$A188&lt;&gt;"--"</formula>
    </cfRule>
  </conditionalFormatting>
  <conditionalFormatting sqref="B196:B203">
    <cfRule type="expression" dxfId="169" priority="9">
      <formula>$A196&lt;&gt;"--"</formula>
    </cfRule>
  </conditionalFormatting>
  <conditionalFormatting sqref="B204:B211">
    <cfRule type="expression" dxfId="168" priority="8">
      <formula>$A204&lt;&gt;"--"</formula>
    </cfRule>
  </conditionalFormatting>
  <conditionalFormatting sqref="B212:B219">
    <cfRule type="expression" dxfId="167" priority="7">
      <formula>$A212&lt;&gt;"--"</formula>
    </cfRule>
  </conditionalFormatting>
  <conditionalFormatting sqref="B220:B227">
    <cfRule type="expression" dxfId="166" priority="6">
      <formula>$A220&lt;&gt;"--"</formula>
    </cfRule>
  </conditionalFormatting>
  <conditionalFormatting sqref="B228:B251">
    <cfRule type="expression" dxfId="165" priority="5">
      <formula>$A228&lt;&gt;"--"</formula>
    </cfRule>
  </conditionalFormatting>
  <conditionalFormatting sqref="B236:B243">
    <cfRule type="expression" dxfId="164" priority="4">
      <formula>$A236&lt;&gt;"--"</formula>
    </cfRule>
  </conditionalFormatting>
  <conditionalFormatting sqref="B244:B251">
    <cfRule type="expression" dxfId="163" priority="3">
      <formula>$A244&lt;&gt;"--"</formula>
    </cfRule>
  </conditionalFormatting>
  <conditionalFormatting sqref="B4:B11">
    <cfRule type="expression" dxfId="162" priority="2">
      <formula>$A4&lt;&gt;"--"</formula>
    </cfRule>
  </conditionalFormatting>
  <conditionalFormatting sqref="B228:B251">
    <cfRule type="cellIs" dxfId="161" priority="1" operator="lessThan">
      <formula>0</formula>
    </cfRule>
  </conditionalFormatting>
  <dataValidations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20:C25 C12:C17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V254"/>
  <sheetViews>
    <sheetView topLeftCell="K1" workbookViewId="0">
      <selection activeCell="U5" sqref="U5:V16"/>
    </sheetView>
  </sheetViews>
  <sheetFormatPr defaultColWidth="15.109375" defaultRowHeight="14.4"/>
  <cols>
    <col min="1" max="2" width="15.109375" style="161"/>
    <col min="3" max="3" width="22.109375" style="162" customWidth="1"/>
    <col min="4" max="11" width="15.1093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15.109375" style="161"/>
    <col min="20" max="20" width="26" style="162" customWidth="1"/>
    <col min="21" max="16384" width="15.109375" style="161"/>
  </cols>
  <sheetData>
    <row r="1" spans="1:22">
      <c r="A1" s="161">
        <v>9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metų'!V6:V13)</f>
        <v>11082547.809999999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178"/>
      <c r="D4" s="301"/>
      <c r="E4" s="302"/>
      <c r="F4" s="303"/>
      <c r="G4" s="303"/>
      <c r="H4" s="303"/>
      <c r="I4" s="303"/>
      <c r="J4" s="303"/>
      <c r="K4" s="303"/>
      <c r="L4" s="304"/>
      <c r="M4" s="302">
        <f>SUM(D4-E4)</f>
        <v>0</v>
      </c>
      <c r="N4" s="305">
        <f t="shared" ref="N4:N9" si="0">SUM(E4,M4)</f>
        <v>0</v>
      </c>
      <c r="O4" s="305"/>
      <c r="P4" s="306"/>
      <c r="Q4" s="179"/>
      <c r="T4" s="384"/>
    </row>
    <row r="5" spans="1:22">
      <c r="A5" s="73"/>
      <c r="B5" s="392"/>
      <c r="C5" s="180"/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81"/>
    </row>
    <row r="6" spans="1:22">
      <c r="A6" s="73"/>
      <c r="B6" s="392"/>
      <c r="C6" s="180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ref="M6:M9" si="1">SUM(D6-E6)</f>
        <v>0</v>
      </c>
      <c r="N6" s="269">
        <f t="shared" si="0"/>
        <v>0</v>
      </c>
      <c r="O6" s="269"/>
      <c r="P6" s="290"/>
      <c r="Q6" s="181"/>
      <c r="V6" s="86"/>
    </row>
    <row r="7" spans="1:22">
      <c r="A7" s="73"/>
      <c r="B7" s="392"/>
      <c r="C7" s="182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1"/>
        <v>0</v>
      </c>
      <c r="N7" s="269">
        <f t="shared" si="0"/>
        <v>0</v>
      </c>
      <c r="O7" s="269"/>
      <c r="P7" s="290"/>
      <c r="Q7" s="181"/>
      <c r="V7" s="86"/>
    </row>
    <row r="8" spans="1:22">
      <c r="A8" s="73"/>
      <c r="B8" s="392"/>
      <c r="C8" s="182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81"/>
      <c r="V8" s="86"/>
    </row>
    <row r="9" spans="1:22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81"/>
      <c r="V9" s="86"/>
    </row>
    <row r="10" spans="1:22" ht="15" thickBot="1">
      <c r="A10" s="73"/>
      <c r="B10" s="392"/>
      <c r="C10" s="183" t="s">
        <v>69</v>
      </c>
      <c r="D10" s="266">
        <f>SUM(D4:D9)</f>
        <v>0</v>
      </c>
      <c r="E10" s="267">
        <f>SUM(E4:E9)</f>
        <v>0</v>
      </c>
      <c r="F10" s="268">
        <f>SUM(F4:F9)</f>
        <v>0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68">
        <f t="shared" si="2"/>
        <v>0</v>
      </c>
      <c r="L10" s="273"/>
      <c r="M10" s="267">
        <f>SUM(M4:M9)</f>
        <v>0</v>
      </c>
      <c r="N10" s="269">
        <f>SUM(N4:N9)</f>
        <v>0</v>
      </c>
      <c r="O10" s="170"/>
      <c r="P10" s="171"/>
      <c r="Q10" s="181"/>
      <c r="V10" s="86"/>
    </row>
    <row r="11" spans="1:22" ht="15" thickBot="1">
      <c r="A11" s="73"/>
      <c r="B11" s="393"/>
      <c r="C11" s="16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68"/>
      <c r="T11" s="184">
        <f>$V$3+L11</f>
        <v>11082547.809999999</v>
      </c>
      <c r="V11" s="86"/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178"/>
      <c r="D12" s="284"/>
      <c r="E12" s="285"/>
      <c r="F12" s="286"/>
      <c r="G12" s="286"/>
      <c r="H12" s="286"/>
      <c r="I12" s="286"/>
      <c r="J12" s="286"/>
      <c r="K12" s="286"/>
      <c r="L12" s="295"/>
      <c r="M12" s="302">
        <f>SUM(D12-E12)</f>
        <v>0</v>
      </c>
      <c r="N12" s="305">
        <f t="shared" ref="N12:N17" si="3">SUM(E12,M12)</f>
        <v>0</v>
      </c>
      <c r="O12" s="305"/>
      <c r="P12" s="292"/>
      <c r="Q12" s="186"/>
      <c r="V12" s="86"/>
    </row>
    <row r="13" spans="1:22" ht="17.25" customHeight="1">
      <c r="A13" s="73"/>
      <c r="B13" s="392"/>
      <c r="C13" s="180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3"/>
        <v>0</v>
      </c>
      <c r="O13" s="269"/>
      <c r="P13" s="290"/>
      <c r="Q13" s="181"/>
      <c r="V13" s="86"/>
    </row>
    <row r="14" spans="1:22">
      <c r="A14" s="73"/>
      <c r="B14" s="392"/>
      <c r="C14" s="180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4">SUM(D14-E14)</f>
        <v>0</v>
      </c>
      <c r="N14" s="269">
        <f t="shared" si="3"/>
        <v>0</v>
      </c>
      <c r="O14" s="269"/>
      <c r="P14" s="290"/>
      <c r="Q14" s="181"/>
    </row>
    <row r="15" spans="1:22">
      <c r="A15" s="73"/>
      <c r="B15" s="392"/>
      <c r="C15" s="182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4"/>
        <v>0</v>
      </c>
      <c r="N15" s="269">
        <f t="shared" si="3"/>
        <v>0</v>
      </c>
      <c r="O15" s="269"/>
      <c r="P15" s="290"/>
      <c r="Q15" s="181"/>
    </row>
    <row r="16" spans="1:22">
      <c r="A16" s="73"/>
      <c r="B16" s="392"/>
      <c r="C16" s="182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 t="shared" si="4"/>
        <v>0</v>
      </c>
      <c r="N16" s="279">
        <f t="shared" si="3"/>
        <v>0</v>
      </c>
      <c r="O16" s="279"/>
      <c r="P16" s="292"/>
      <c r="Q16" s="187"/>
    </row>
    <row r="17" spans="1:22" ht="15" thickBot="1">
      <c r="A17" s="73"/>
      <c r="B17" s="392"/>
      <c r="C17" s="182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87"/>
      <c r="U17" s="83"/>
      <c r="V17" s="84"/>
    </row>
    <row r="18" spans="1:22" ht="15" thickBot="1">
      <c r="A18" s="73"/>
      <c r="B18" s="392"/>
      <c r="C18" s="183" t="s">
        <v>69</v>
      </c>
      <c r="D18" s="266">
        <f>SUM(D12:D17)</f>
        <v>0</v>
      </c>
      <c r="E18" s="267">
        <f>SUM(E12:E17)</f>
        <v>0</v>
      </c>
      <c r="F18" s="268">
        <f>SUM(F12:F17)</f>
        <v>0</v>
      </c>
      <c r="G18" s="268">
        <f t="shared" ref="G18:K18" si="5">SUM(G12:G17)</f>
        <v>0</v>
      </c>
      <c r="H18" s="268">
        <f t="shared" si="5"/>
        <v>0</v>
      </c>
      <c r="I18" s="268">
        <f t="shared" si="5"/>
        <v>0</v>
      </c>
      <c r="J18" s="268">
        <f t="shared" si="5"/>
        <v>0</v>
      </c>
      <c r="K18" s="268">
        <f t="shared" si="5"/>
        <v>0</v>
      </c>
      <c r="L18" s="273"/>
      <c r="M18" s="267">
        <f>SUM(M12:M17)</f>
        <v>0</v>
      </c>
      <c r="N18" s="280">
        <f>SUM(N12:N17)</f>
        <v>0</v>
      </c>
      <c r="O18" s="188"/>
      <c r="P18" s="189"/>
      <c r="Q18" s="187"/>
      <c r="U18" s="85"/>
      <c r="V18" s="85"/>
    </row>
    <row r="19" spans="1:22" ht="15" thickBot="1">
      <c r="A19" s="73"/>
      <c r="B19" s="393"/>
      <c r="C19" s="16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68"/>
      <c r="T19" s="184">
        <f>$V$3+L11+L19</f>
        <v>11082547.809999999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78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0</v>
      </c>
      <c r="O20" s="305"/>
      <c r="P20" s="306"/>
      <c r="Q20" s="179"/>
    </row>
    <row r="21" spans="1:22" ht="15.6" thickTop="1" thickBot="1">
      <c r="A21" s="73"/>
      <c r="B21" s="380"/>
      <c r="C21" s="180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81"/>
    </row>
    <row r="22" spans="1:22" ht="15.6" thickTop="1" thickBot="1">
      <c r="A22" s="73"/>
      <c r="B22" s="380"/>
      <c r="C22" s="180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81"/>
    </row>
    <row r="23" spans="1:22" ht="15.6" thickTop="1" thickBot="1">
      <c r="A23" s="73"/>
      <c r="B23" s="380"/>
      <c r="C23" s="182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81"/>
    </row>
    <row r="24" spans="1:22" ht="15.6" thickTop="1" thickBot="1">
      <c r="A24" s="73"/>
      <c r="B24" s="380"/>
      <c r="C24" s="182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87"/>
    </row>
    <row r="25" spans="1:22" ht="15.6" thickTop="1" thickBot="1">
      <c r="A25" s="73"/>
      <c r="B25" s="380"/>
      <c r="C25" s="182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87"/>
    </row>
    <row r="26" spans="1:22" ht="15.6" thickTop="1" thickBot="1">
      <c r="A26" s="73"/>
      <c r="B26" s="380"/>
      <c r="C26" s="183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0</v>
      </c>
      <c r="O26" s="188"/>
      <c r="P26" s="189"/>
      <c r="Q26" s="187"/>
    </row>
    <row r="27" spans="1:22" ht="15.6" thickTop="1" thickBot="1">
      <c r="A27" s="73"/>
      <c r="B27" s="380"/>
      <c r="C27" s="173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74"/>
      <c r="T27" s="184">
        <f>$V$3++L11+L19+L27</f>
        <v>11082547.809999999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78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79"/>
    </row>
    <row r="29" spans="1:22" ht="17.25" customHeight="1" thickTop="1" thickBot="1">
      <c r="A29" s="73"/>
      <c r="B29" s="380"/>
      <c r="C29" s="180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81"/>
    </row>
    <row r="30" spans="1:22" ht="17.25" customHeight="1" thickTop="1" thickBot="1">
      <c r="A30" s="73"/>
      <c r="B30" s="380"/>
      <c r="C30" s="180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81"/>
    </row>
    <row r="31" spans="1:22" ht="17.25" customHeight="1" thickTop="1" thickBot="1">
      <c r="A31" s="73"/>
      <c r="B31" s="380"/>
      <c r="C31" s="182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81"/>
    </row>
    <row r="32" spans="1:22" ht="15.6" thickTop="1" thickBot="1">
      <c r="A32" s="73"/>
      <c r="B32" s="380"/>
      <c r="C32" s="182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81"/>
    </row>
    <row r="33" spans="1:20" ht="15.6" thickTop="1" thickBot="1">
      <c r="A33" s="73"/>
      <c r="B33" s="380"/>
      <c r="C33" s="182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81"/>
    </row>
    <row r="34" spans="1:20" ht="15.6" thickTop="1" thickBot="1">
      <c r="A34" s="73"/>
      <c r="B34" s="380"/>
      <c r="C34" s="183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70"/>
      <c r="P34" s="171"/>
      <c r="Q34" s="181"/>
    </row>
    <row r="35" spans="1:20" ht="15.6" thickTop="1" thickBot="1">
      <c r="A35" s="73"/>
      <c r="B35" s="380"/>
      <c r="C35" s="16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68"/>
      <c r="T35" s="184">
        <f>$V$3+L11+L19+L27+L35</f>
        <v>11082547.809999999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78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79"/>
    </row>
    <row r="37" spans="1:20" ht="15.6" thickTop="1" thickBot="1">
      <c r="A37" s="73"/>
      <c r="B37" s="380"/>
      <c r="C37" s="180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81"/>
    </row>
    <row r="38" spans="1:20" ht="15.6" thickTop="1" thickBot="1">
      <c r="A38" s="73"/>
      <c r="B38" s="380"/>
      <c r="C38" s="180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81"/>
    </row>
    <row r="39" spans="1:20" ht="15.6" thickTop="1" thickBot="1">
      <c r="A39" s="73"/>
      <c r="B39" s="380"/>
      <c r="C39" s="182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81"/>
    </row>
    <row r="40" spans="1:20" ht="15.6" thickTop="1" thickBot="1">
      <c r="A40" s="73"/>
      <c r="B40" s="380"/>
      <c r="C40" s="182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81"/>
    </row>
    <row r="41" spans="1:20" ht="15.6" thickTop="1" thickBot="1">
      <c r="A41" s="73"/>
      <c r="B41" s="380"/>
      <c r="C41" s="182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81"/>
    </row>
    <row r="42" spans="1:20" ht="15.6" thickTop="1" thickBot="1">
      <c r="A42" s="73"/>
      <c r="B42" s="380"/>
      <c r="C42" s="183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172"/>
      <c r="P42" s="185"/>
      <c r="Q42" s="187"/>
    </row>
    <row r="43" spans="1:20" ht="15.6" thickTop="1" thickBot="1">
      <c r="A43" s="73"/>
      <c r="B43" s="380"/>
      <c r="C43" s="16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68"/>
      <c r="T43" s="184">
        <f>$V$3+L11+L19+L27+L35+L43</f>
        <v>11082547.809999999</v>
      </c>
    </row>
    <row r="44" spans="1:20" ht="15.6" thickTop="1" thickBot="1">
      <c r="A44" s="73" t="str">
        <f ca="1">OFFSET('0'!$B$112,($A$1-1)*10,$B44-1)</f>
        <v>SS</v>
      </c>
      <c r="B44" s="380">
        <f ca="1">OFFSET('0'!$B$111,($A$1-1)*10,5)</f>
        <v>6</v>
      </c>
      <c r="C44" s="178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79"/>
    </row>
    <row r="45" spans="1:20" ht="15.6" thickTop="1" thickBot="1">
      <c r="A45" s="73"/>
      <c r="B45" s="380"/>
      <c r="C45" s="180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81"/>
    </row>
    <row r="46" spans="1:20" ht="15.6" thickTop="1" thickBot="1">
      <c r="A46" s="73"/>
      <c r="B46" s="380"/>
      <c r="C46" s="180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81"/>
    </row>
    <row r="47" spans="1:20" ht="15.6" thickTop="1" thickBot="1">
      <c r="A47" s="73"/>
      <c r="B47" s="380"/>
      <c r="C47" s="182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81"/>
    </row>
    <row r="48" spans="1:20" ht="15.6" thickTop="1" thickBot="1">
      <c r="A48" s="73"/>
      <c r="B48" s="380"/>
      <c r="C48" s="182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87"/>
    </row>
    <row r="49" spans="1:20" ht="15.6" thickTop="1" thickBot="1">
      <c r="A49" s="73"/>
      <c r="B49" s="380"/>
      <c r="C49" s="182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87"/>
    </row>
    <row r="50" spans="1:20" ht="15.6" thickTop="1" thickBot="1">
      <c r="A50" s="73"/>
      <c r="B50" s="380"/>
      <c r="C50" s="183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188"/>
      <c r="P50" s="189"/>
      <c r="Q50" s="187"/>
    </row>
    <row r="51" spans="1:20" ht="15.6" thickTop="1" thickBot="1">
      <c r="A51" s="73"/>
      <c r="B51" s="380"/>
      <c r="C51" s="173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74"/>
      <c r="T51" s="184">
        <f>$V$3+L11+L19+L27+L35+L43+L51</f>
        <v>11082547.809999999</v>
      </c>
    </row>
    <row r="52" spans="1:20" ht="15.6" thickTop="1" thickBot="1">
      <c r="A52" s="73" t="str">
        <f ca="1">OFFSET('0'!$B$112,($A$1-1)*10,$B52-1)</f>
        <v>SK</v>
      </c>
      <c r="B52" s="380">
        <f ca="1">OFFSET('0'!$B$111,($A$1-1)*10,6)</f>
        <v>7</v>
      </c>
      <c r="C52" s="178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79"/>
    </row>
    <row r="53" spans="1:20" ht="15.6" thickTop="1" thickBot="1">
      <c r="A53" s="73"/>
      <c r="B53" s="380"/>
      <c r="C53" s="180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81"/>
    </row>
    <row r="54" spans="1:20" ht="15.6" thickTop="1" thickBot="1">
      <c r="A54" s="73"/>
      <c r="B54" s="380"/>
      <c r="C54" s="180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81"/>
    </row>
    <row r="55" spans="1:20" ht="15.6" thickTop="1" thickBot="1">
      <c r="A55" s="73"/>
      <c r="B55" s="380"/>
      <c r="C55" s="182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81"/>
    </row>
    <row r="56" spans="1:20" ht="15.6" thickTop="1" thickBot="1">
      <c r="A56" s="73"/>
      <c r="B56" s="380"/>
      <c r="C56" s="182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87"/>
    </row>
    <row r="57" spans="1:20" ht="15.6" thickTop="1" thickBot="1">
      <c r="A57" s="73"/>
      <c r="B57" s="380"/>
      <c r="C57" s="182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87"/>
    </row>
    <row r="58" spans="1:20" ht="15.6" thickTop="1" thickBot="1">
      <c r="A58" s="73"/>
      <c r="B58" s="380"/>
      <c r="C58" s="183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188"/>
      <c r="P58" s="189"/>
      <c r="Q58" s="187"/>
    </row>
    <row r="59" spans="1:20" ht="15.6" thickTop="1" thickBot="1">
      <c r="A59" s="73"/>
      <c r="B59" s="380"/>
      <c r="C59" s="16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68"/>
      <c r="T59" s="184">
        <f>$V$3+L11+L19+L27+L35+L43+L51+L59</f>
        <v>11082547.809999999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78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79"/>
    </row>
    <row r="61" spans="1:20" ht="15.6" thickTop="1" thickBot="1">
      <c r="A61" s="73"/>
      <c r="B61" s="380"/>
      <c r="C61" s="180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81"/>
    </row>
    <row r="62" spans="1:20" ht="15.6" thickTop="1" thickBot="1">
      <c r="A62" s="73"/>
      <c r="B62" s="380"/>
      <c r="C62" s="180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81"/>
    </row>
    <row r="63" spans="1:20" ht="15.6" thickTop="1" thickBot="1">
      <c r="A63" s="73"/>
      <c r="B63" s="380"/>
      <c r="C63" s="182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81"/>
    </row>
    <row r="64" spans="1:20" ht="15.6" thickTop="1" thickBot="1">
      <c r="A64" s="73"/>
      <c r="B64" s="380"/>
      <c r="C64" s="182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87"/>
    </row>
    <row r="65" spans="1:20" ht="15.6" thickTop="1" thickBot="1">
      <c r="A65" s="73"/>
      <c r="B65" s="380"/>
      <c r="C65" s="182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87"/>
    </row>
    <row r="66" spans="1:20" ht="15.6" thickTop="1" thickBot="1">
      <c r="A66" s="73"/>
      <c r="B66" s="380"/>
      <c r="C66" s="183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188"/>
      <c r="P66" s="189"/>
      <c r="Q66" s="187"/>
    </row>
    <row r="67" spans="1:20" ht="15.6" thickTop="1" thickBot="1">
      <c r="A67" s="73"/>
      <c r="B67" s="380"/>
      <c r="C67" s="16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68"/>
      <c r="T67" s="184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78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79"/>
    </row>
    <row r="69" spans="1:20" ht="15.6" thickTop="1" thickBot="1">
      <c r="A69" s="73"/>
      <c r="B69" s="380"/>
      <c r="C69" s="180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81"/>
    </row>
    <row r="70" spans="1:20" ht="15.6" thickTop="1" thickBot="1">
      <c r="A70" s="73"/>
      <c r="B70" s="380"/>
      <c r="C70" s="180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81"/>
    </row>
    <row r="71" spans="1:20" ht="15.6" thickTop="1" thickBot="1">
      <c r="A71" s="73"/>
      <c r="B71" s="380"/>
      <c r="C71" s="182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81"/>
    </row>
    <row r="72" spans="1:20" ht="15.6" thickTop="1" thickBot="1">
      <c r="A72" s="73"/>
      <c r="B72" s="380"/>
      <c r="C72" s="182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81"/>
    </row>
    <row r="73" spans="1:20" ht="15.6" thickTop="1" thickBot="1">
      <c r="A73" s="73"/>
      <c r="B73" s="380"/>
      <c r="C73" s="182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81"/>
    </row>
    <row r="74" spans="1:20" ht="15.6" thickTop="1" thickBot="1">
      <c r="A74" s="73"/>
      <c r="B74" s="380"/>
      <c r="C74" s="183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70"/>
      <c r="P74" s="171"/>
      <c r="Q74" s="181"/>
    </row>
    <row r="75" spans="1:20" ht="15.6" thickTop="1" thickBot="1">
      <c r="A75" s="73"/>
      <c r="B75" s="380"/>
      <c r="C75" s="16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68"/>
      <c r="T75" s="184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78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79"/>
    </row>
    <row r="77" spans="1:20" ht="15.6" thickTop="1" thickBot="1">
      <c r="A77" s="73"/>
      <c r="B77" s="380"/>
      <c r="C77" s="180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81"/>
    </row>
    <row r="78" spans="1:20" ht="15.6" thickTop="1" thickBot="1">
      <c r="A78" s="73"/>
      <c r="B78" s="380"/>
      <c r="C78" s="180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81"/>
    </row>
    <row r="79" spans="1:20" ht="15.6" thickTop="1" thickBot="1">
      <c r="A79" s="73"/>
      <c r="B79" s="380"/>
      <c r="C79" s="182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81"/>
    </row>
    <row r="80" spans="1:20" ht="15.6" thickTop="1" thickBot="1">
      <c r="A80" s="73"/>
      <c r="B80" s="380"/>
      <c r="C80" s="182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81"/>
    </row>
    <row r="81" spans="1:20" ht="15.6" thickTop="1" thickBot="1">
      <c r="A81" s="73"/>
      <c r="B81" s="380"/>
      <c r="C81" s="182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81"/>
    </row>
    <row r="82" spans="1:20" ht="15.6" thickTop="1" thickBot="1">
      <c r="A82" s="73"/>
      <c r="B82" s="380"/>
      <c r="C82" s="183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70"/>
      <c r="P82" s="171"/>
      <c r="Q82" s="181"/>
    </row>
    <row r="83" spans="1:20" ht="15.6" thickTop="1" thickBot="1">
      <c r="A83" s="73"/>
      <c r="B83" s="380"/>
      <c r="C83" s="16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68"/>
      <c r="T83" s="184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78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79"/>
    </row>
    <row r="85" spans="1:20" ht="15.6" thickTop="1" thickBot="1">
      <c r="A85" s="73"/>
      <c r="B85" s="380"/>
      <c r="C85" s="180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81"/>
    </row>
    <row r="86" spans="1:20" ht="15.6" thickTop="1" thickBot="1">
      <c r="A86" s="73"/>
      <c r="B86" s="380"/>
      <c r="C86" s="180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81"/>
    </row>
    <row r="87" spans="1:20" ht="15.6" thickTop="1" thickBot="1">
      <c r="A87" s="73"/>
      <c r="B87" s="380"/>
      <c r="C87" s="182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81"/>
    </row>
    <row r="88" spans="1:20" ht="15.6" thickTop="1" thickBot="1">
      <c r="A88" s="73"/>
      <c r="B88" s="380"/>
      <c r="C88" s="182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81"/>
    </row>
    <row r="89" spans="1:20" ht="15.6" thickTop="1" thickBot="1">
      <c r="A89" s="73"/>
      <c r="B89" s="380"/>
      <c r="C89" s="182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81"/>
    </row>
    <row r="90" spans="1:20" ht="15.6" thickTop="1" thickBot="1">
      <c r="A90" s="73"/>
      <c r="B90" s="380"/>
      <c r="C90" s="183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70"/>
      <c r="P90" s="171"/>
      <c r="Q90" s="181"/>
    </row>
    <row r="91" spans="1:20" ht="15.6" thickTop="1" thickBot="1">
      <c r="A91" s="73"/>
      <c r="B91" s="380"/>
      <c r="C91" s="16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68"/>
      <c r="T91" s="184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78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79"/>
    </row>
    <row r="93" spans="1:20" ht="15.6" thickTop="1" thickBot="1">
      <c r="A93" s="73"/>
      <c r="B93" s="380"/>
      <c r="C93" s="180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81"/>
    </row>
    <row r="94" spans="1:20" ht="15.6" thickTop="1" thickBot="1">
      <c r="A94" s="73"/>
      <c r="B94" s="380"/>
      <c r="C94" s="180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81"/>
    </row>
    <row r="95" spans="1:20" ht="15.6" thickTop="1" thickBot="1">
      <c r="A95" s="73"/>
      <c r="B95" s="380"/>
      <c r="C95" s="182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81"/>
    </row>
    <row r="96" spans="1:20" ht="15.6" thickTop="1" thickBot="1">
      <c r="A96" s="73"/>
      <c r="B96" s="380"/>
      <c r="C96" s="182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81"/>
    </row>
    <row r="97" spans="1:20" ht="15.6" thickTop="1" thickBot="1">
      <c r="A97" s="73"/>
      <c r="B97" s="380"/>
      <c r="C97" s="182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81"/>
    </row>
    <row r="98" spans="1:20" ht="15.6" thickTop="1" thickBot="1">
      <c r="A98" s="73"/>
      <c r="B98" s="380"/>
      <c r="C98" s="183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70"/>
      <c r="P98" s="171"/>
      <c r="Q98" s="181"/>
    </row>
    <row r="99" spans="1:20" ht="15.6" thickTop="1" thickBot="1">
      <c r="A99" s="73"/>
      <c r="B99" s="380"/>
      <c r="C99" s="16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68"/>
      <c r="T99" s="184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SS</v>
      </c>
      <c r="B100" s="380">
        <f ca="1">OFFSET('0'!$B$111,($A$1-1)*10,12)</f>
        <v>13</v>
      </c>
      <c r="C100" s="178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79"/>
    </row>
    <row r="101" spans="1:20" ht="15.6" thickTop="1" thickBot="1">
      <c r="A101" s="73"/>
      <c r="B101" s="380"/>
      <c r="C101" s="180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81"/>
    </row>
    <row r="102" spans="1:20" ht="15.6" thickTop="1" thickBot="1">
      <c r="A102" s="73"/>
      <c r="B102" s="380"/>
      <c r="C102" s="180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81"/>
    </row>
    <row r="103" spans="1:20" ht="15.6" thickTop="1" thickBot="1">
      <c r="A103" s="73"/>
      <c r="B103" s="380"/>
      <c r="C103" s="182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81"/>
    </row>
    <row r="104" spans="1:20" ht="15.6" thickTop="1" thickBot="1">
      <c r="A104" s="73"/>
      <c r="B104" s="380"/>
      <c r="C104" s="182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81"/>
    </row>
    <row r="105" spans="1:20" ht="15.6" thickTop="1" thickBot="1">
      <c r="A105" s="73"/>
      <c r="B105" s="380"/>
      <c r="C105" s="182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81"/>
    </row>
    <row r="106" spans="1:20" ht="15.6" thickTop="1" thickBot="1">
      <c r="A106" s="73"/>
      <c r="B106" s="380"/>
      <c r="C106" s="190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70"/>
      <c r="P106" s="171"/>
      <c r="Q106" s="181"/>
    </row>
    <row r="107" spans="1:20" ht="15.6" thickTop="1" thickBot="1">
      <c r="A107" s="73"/>
      <c r="B107" s="380"/>
      <c r="C107" s="16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68"/>
      <c r="T107" s="184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SK</v>
      </c>
      <c r="B108" s="380">
        <f ca="1">OFFSET('0'!$B$111,($A$1-1)*10,13)</f>
        <v>14</v>
      </c>
      <c r="C108" s="178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79"/>
    </row>
    <row r="109" spans="1:20" ht="15.6" thickTop="1" thickBot="1">
      <c r="A109" s="73"/>
      <c r="B109" s="380"/>
      <c r="C109" s="180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81"/>
    </row>
    <row r="110" spans="1:20" ht="15.6" thickTop="1" thickBot="1">
      <c r="A110" s="73"/>
      <c r="B110" s="380"/>
      <c r="C110" s="180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81"/>
    </row>
    <row r="111" spans="1:20" ht="15.6" thickTop="1" thickBot="1">
      <c r="A111" s="73"/>
      <c r="B111" s="380"/>
      <c r="C111" s="182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81"/>
    </row>
    <row r="112" spans="1:20" ht="15.6" thickTop="1" thickBot="1">
      <c r="A112" s="73"/>
      <c r="B112" s="380"/>
      <c r="C112" s="182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81"/>
    </row>
    <row r="113" spans="1:22" ht="15.6" thickTop="1" thickBot="1">
      <c r="A113" s="73"/>
      <c r="B113" s="380"/>
      <c r="C113" s="182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81"/>
    </row>
    <row r="114" spans="1:22" ht="15.6" thickTop="1" thickBot="1">
      <c r="A114" s="73"/>
      <c r="B114" s="380"/>
      <c r="C114" s="183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70"/>
      <c r="P114" s="171"/>
      <c r="Q114" s="181"/>
    </row>
    <row r="115" spans="1:22" ht="15.6" thickTop="1" thickBot="1">
      <c r="A115" s="73"/>
      <c r="B115" s="380"/>
      <c r="C115" s="16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68"/>
      <c r="S115" s="175"/>
      <c r="T115" s="184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--</v>
      </c>
      <c r="B116" s="380">
        <f ca="1">OFFSET('0'!$B$111,($A$1-1)*10,14)</f>
        <v>15</v>
      </c>
      <c r="C116" s="178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79"/>
    </row>
    <row r="117" spans="1:22" ht="15.6" thickTop="1" thickBot="1">
      <c r="A117" s="73"/>
      <c r="B117" s="380"/>
      <c r="C117" s="180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81"/>
    </row>
    <row r="118" spans="1:22" ht="15.6" thickTop="1" thickBot="1">
      <c r="A118" s="73"/>
      <c r="B118" s="380"/>
      <c r="C118" s="180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81"/>
      <c r="S118" s="175"/>
    </row>
    <row r="119" spans="1:22" ht="15.6" thickTop="1" thickBot="1">
      <c r="A119" s="73"/>
      <c r="B119" s="380"/>
      <c r="C119" s="182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81"/>
      <c r="S119" s="175"/>
    </row>
    <row r="120" spans="1:22" ht="15.6" thickTop="1" thickBot="1">
      <c r="A120" s="73"/>
      <c r="B120" s="380"/>
      <c r="C120" s="182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81"/>
      <c r="S120" s="175"/>
    </row>
    <row r="121" spans="1:22" ht="15.6" thickTop="1" thickBot="1">
      <c r="A121" s="73"/>
      <c r="B121" s="380"/>
      <c r="C121" s="182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81"/>
      <c r="S121" s="175"/>
    </row>
    <row r="122" spans="1:22" ht="15.6" thickTop="1" thickBot="1">
      <c r="A122" s="73"/>
      <c r="B122" s="380"/>
      <c r="C122" s="183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70"/>
      <c r="P122" s="171"/>
      <c r="Q122" s="181"/>
      <c r="S122" s="175"/>
    </row>
    <row r="123" spans="1:22" ht="15.6" thickTop="1" thickBot="1">
      <c r="A123" s="73"/>
      <c r="B123" s="380"/>
      <c r="C123" s="173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74"/>
      <c r="T123" s="184">
        <f>$V$3+L11+L19+L27+L35+L43+L51+L59+L67+L75+L83+L91+L99+L107+L115+L123</f>
        <v>11082547.809999999</v>
      </c>
      <c r="U123" s="175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78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79"/>
      <c r="V124" s="175"/>
    </row>
    <row r="125" spans="1:22" ht="15.6" thickTop="1" thickBot="1">
      <c r="A125" s="73"/>
      <c r="B125" s="380"/>
      <c r="C125" s="180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81"/>
    </row>
    <row r="126" spans="1:22" ht="15.6" thickTop="1" thickBot="1">
      <c r="A126" s="73"/>
      <c r="B126" s="380"/>
      <c r="C126" s="180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81"/>
    </row>
    <row r="127" spans="1:22" ht="15.6" thickTop="1" thickBot="1">
      <c r="A127" s="73"/>
      <c r="B127" s="380"/>
      <c r="C127" s="182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81"/>
    </row>
    <row r="128" spans="1:22" ht="15.6" thickTop="1" thickBot="1">
      <c r="A128" s="73"/>
      <c r="B128" s="380"/>
      <c r="C128" s="182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81"/>
    </row>
    <row r="129" spans="1:20" ht="15.6" thickTop="1" thickBot="1">
      <c r="A129" s="73"/>
      <c r="B129" s="380"/>
      <c r="C129" s="182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81"/>
    </row>
    <row r="130" spans="1:20" ht="15.6" thickTop="1" thickBot="1">
      <c r="A130" s="73"/>
      <c r="B130" s="380"/>
      <c r="C130" s="183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70"/>
      <c r="P130" s="171"/>
      <c r="Q130" s="181"/>
      <c r="S130" s="176"/>
    </row>
    <row r="131" spans="1:20" ht="15.6" thickTop="1" thickBot="1">
      <c r="A131" s="73"/>
      <c r="B131" s="380"/>
      <c r="C131" s="16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68"/>
      <c r="S131" s="175"/>
      <c r="T131" s="184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78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79"/>
    </row>
    <row r="133" spans="1:20" ht="15.6" thickTop="1" thickBot="1">
      <c r="A133" s="73"/>
      <c r="B133" s="380"/>
      <c r="C133" s="180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86"/>
    </row>
    <row r="134" spans="1:20" ht="15.6" thickTop="1" thickBot="1">
      <c r="A134" s="73"/>
      <c r="B134" s="380"/>
      <c r="C134" s="180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81"/>
    </row>
    <row r="135" spans="1:20" ht="15.6" thickTop="1" thickBot="1">
      <c r="A135" s="73"/>
      <c r="B135" s="380"/>
      <c r="C135" s="182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81"/>
    </row>
    <row r="136" spans="1:20" ht="15.6" thickTop="1" thickBot="1">
      <c r="A136" s="73"/>
      <c r="B136" s="380"/>
      <c r="C136" s="182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81"/>
    </row>
    <row r="137" spans="1:20" ht="15.6" thickTop="1" thickBot="1">
      <c r="A137" s="73"/>
      <c r="B137" s="380"/>
      <c r="C137" s="182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87"/>
    </row>
    <row r="138" spans="1:20" ht="15.6" thickTop="1" thickBot="1">
      <c r="A138" s="73"/>
      <c r="B138" s="380"/>
      <c r="C138" s="183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188"/>
      <c r="P138" s="189"/>
      <c r="Q138" s="187"/>
    </row>
    <row r="139" spans="1:20" ht="15.6" thickTop="1" thickBot="1">
      <c r="A139" s="73"/>
      <c r="B139" s="380"/>
      <c r="C139" s="16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68"/>
      <c r="T139" s="184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78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79"/>
    </row>
    <row r="141" spans="1:20" ht="15.6" thickTop="1" thickBot="1">
      <c r="A141" s="73"/>
      <c r="B141" s="380"/>
      <c r="C141" s="180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86"/>
    </row>
    <row r="142" spans="1:20" ht="15.6" thickTop="1" thickBot="1">
      <c r="A142" s="73"/>
      <c r="B142" s="380"/>
      <c r="C142" s="180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86"/>
    </row>
    <row r="143" spans="1:20" ht="15.6" thickTop="1" thickBot="1">
      <c r="A143" s="73"/>
      <c r="B143" s="380"/>
      <c r="C143" s="182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81"/>
    </row>
    <row r="144" spans="1:20" s="162" customFormat="1" ht="15.6" thickTop="1" thickBot="1">
      <c r="A144" s="74"/>
      <c r="B144" s="380"/>
      <c r="C144" s="182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81"/>
    </row>
    <row r="145" spans="1:20" s="162" customFormat="1" ht="15.6" thickTop="1" thickBot="1">
      <c r="A145" s="74"/>
      <c r="B145" s="380"/>
      <c r="C145" s="182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81"/>
    </row>
    <row r="146" spans="1:20" ht="15.6" thickTop="1" thickBot="1">
      <c r="A146" s="73"/>
      <c r="B146" s="380"/>
      <c r="C146" s="183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70"/>
      <c r="P146" s="171"/>
      <c r="Q146" s="181"/>
    </row>
    <row r="147" spans="1:20" ht="15.6" thickTop="1" thickBot="1">
      <c r="A147" s="73"/>
      <c r="B147" s="380"/>
      <c r="C147" s="16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68"/>
      <c r="T147" s="184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78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79"/>
    </row>
    <row r="149" spans="1:20" s="162" customFormat="1" ht="15.6" thickTop="1" thickBot="1">
      <c r="A149" s="74"/>
      <c r="B149" s="380"/>
      <c r="C149" s="180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86"/>
    </row>
    <row r="150" spans="1:20" ht="15.6" thickTop="1" thickBot="1">
      <c r="A150" s="73"/>
      <c r="B150" s="380"/>
      <c r="C150" s="180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86"/>
    </row>
    <row r="151" spans="1:20" ht="15.6" thickTop="1" thickBot="1">
      <c r="A151" s="73"/>
      <c r="B151" s="380"/>
      <c r="C151" s="182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81"/>
    </row>
    <row r="152" spans="1:20" ht="15.6" thickTop="1" thickBot="1">
      <c r="A152" s="73"/>
      <c r="B152" s="380"/>
      <c r="C152" s="182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81"/>
    </row>
    <row r="153" spans="1:20" ht="15.6" thickTop="1" thickBot="1">
      <c r="A153" s="73"/>
      <c r="B153" s="380"/>
      <c r="C153" s="182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81"/>
    </row>
    <row r="154" spans="1:20" ht="15.6" thickTop="1" thickBot="1">
      <c r="A154" s="73"/>
      <c r="B154" s="380"/>
      <c r="C154" s="183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70"/>
      <c r="P154" s="171"/>
      <c r="Q154" s="181"/>
    </row>
    <row r="155" spans="1:20" ht="15.6" thickTop="1" thickBot="1">
      <c r="A155" s="73"/>
      <c r="B155" s="380"/>
      <c r="C155" s="16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68"/>
      <c r="T155" s="184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SS</v>
      </c>
      <c r="B156" s="380">
        <f ca="1">OFFSET('0'!$B$111,($A$1-1)*10,19)</f>
        <v>20</v>
      </c>
      <c r="C156" s="178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79"/>
    </row>
    <row r="157" spans="1:20" ht="15.6" thickTop="1" thickBot="1">
      <c r="A157" s="73"/>
      <c r="B157" s="380"/>
      <c r="C157" s="180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86"/>
    </row>
    <row r="158" spans="1:20" s="162" customFormat="1" ht="15.6" thickTop="1" thickBot="1">
      <c r="A158" s="74"/>
      <c r="B158" s="380"/>
      <c r="C158" s="180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86"/>
    </row>
    <row r="159" spans="1:20" ht="15.6" thickTop="1" thickBot="1">
      <c r="A159" s="73"/>
      <c r="B159" s="380"/>
      <c r="C159" s="182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81"/>
    </row>
    <row r="160" spans="1:20" ht="15.6" thickTop="1" thickBot="1">
      <c r="A160" s="73"/>
      <c r="B160" s="380"/>
      <c r="C160" s="182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81"/>
    </row>
    <row r="161" spans="1:20" ht="15.6" thickTop="1" thickBot="1">
      <c r="A161" s="73"/>
      <c r="B161" s="380"/>
      <c r="C161" s="182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81"/>
    </row>
    <row r="162" spans="1:20" ht="15.6" thickTop="1" thickBot="1">
      <c r="A162" s="73"/>
      <c r="B162" s="380"/>
      <c r="C162" s="183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70"/>
      <c r="P162" s="171"/>
      <c r="Q162" s="181"/>
    </row>
    <row r="163" spans="1:20" ht="15.6" thickTop="1" thickBot="1">
      <c r="A163" s="73"/>
      <c r="B163" s="380"/>
      <c r="C163" s="16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68"/>
      <c r="T163" s="184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SK</v>
      </c>
      <c r="B164" s="380">
        <f ca="1">OFFSET('0'!$B$111,($A$1-1)*10,20)</f>
        <v>21</v>
      </c>
      <c r="C164" s="178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79"/>
    </row>
    <row r="165" spans="1:20" ht="15.6" thickTop="1" thickBot="1">
      <c r="A165" s="73"/>
      <c r="B165" s="380"/>
      <c r="C165" s="180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86"/>
    </row>
    <row r="166" spans="1:20" s="162" customFormat="1" ht="15.6" thickTop="1" thickBot="1">
      <c r="A166" s="74"/>
      <c r="B166" s="380"/>
      <c r="C166" s="180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86"/>
    </row>
    <row r="167" spans="1:20" ht="15.6" thickTop="1" thickBot="1">
      <c r="A167" s="73"/>
      <c r="B167" s="380"/>
      <c r="C167" s="182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81"/>
    </row>
    <row r="168" spans="1:20" ht="15.6" thickTop="1" thickBot="1">
      <c r="A168" s="73"/>
      <c r="B168" s="380"/>
      <c r="C168" s="182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81"/>
    </row>
    <row r="169" spans="1:20" ht="15.6" thickTop="1" thickBot="1">
      <c r="A169" s="73"/>
      <c r="B169" s="380"/>
      <c r="C169" s="182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81"/>
    </row>
    <row r="170" spans="1:20" ht="15.6" thickTop="1" thickBot="1">
      <c r="A170" s="73"/>
      <c r="B170" s="380"/>
      <c r="C170" s="183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70"/>
      <c r="P170" s="171"/>
      <c r="Q170" s="181"/>
    </row>
    <row r="171" spans="1:20" ht="15.6" thickTop="1" thickBot="1">
      <c r="A171" s="73"/>
      <c r="B171" s="380"/>
      <c r="C171" s="16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68"/>
      <c r="T171" s="184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78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79"/>
    </row>
    <row r="173" spans="1:20" ht="15.6" thickTop="1" thickBot="1">
      <c r="A173" s="73"/>
      <c r="B173" s="380"/>
      <c r="C173" s="180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81"/>
    </row>
    <row r="174" spans="1:20" s="162" customFormat="1" ht="15.6" thickTop="1" thickBot="1">
      <c r="A174" s="74"/>
      <c r="B174" s="380"/>
      <c r="C174" s="180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81"/>
    </row>
    <row r="175" spans="1:20" ht="15.6" thickTop="1" thickBot="1">
      <c r="A175" s="73"/>
      <c r="B175" s="380"/>
      <c r="C175" s="182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81"/>
    </row>
    <row r="176" spans="1:20" ht="15.6" thickTop="1" thickBot="1">
      <c r="A176" s="73"/>
      <c r="B176" s="380"/>
      <c r="C176" s="182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81"/>
    </row>
    <row r="177" spans="1:20" ht="15.6" thickTop="1" thickBot="1">
      <c r="A177" s="73"/>
      <c r="B177" s="380"/>
      <c r="C177" s="182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81"/>
    </row>
    <row r="178" spans="1:20" ht="15.6" thickTop="1" thickBot="1">
      <c r="A178" s="73"/>
      <c r="B178" s="380"/>
      <c r="C178" s="183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70"/>
      <c r="P178" s="171"/>
      <c r="Q178" s="181"/>
    </row>
    <row r="179" spans="1:20" ht="15.6" thickTop="1" thickBot="1">
      <c r="A179" s="73"/>
      <c r="B179" s="380"/>
      <c r="C179" s="16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68"/>
      <c r="T179" s="184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78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79"/>
    </row>
    <row r="181" spans="1:20" s="162" customFormat="1" ht="15.6" thickTop="1" thickBot="1">
      <c r="A181" s="74"/>
      <c r="B181" s="380"/>
      <c r="C181" s="180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86"/>
    </row>
    <row r="182" spans="1:20" ht="15.6" thickTop="1" thickBot="1">
      <c r="A182" s="73"/>
      <c r="B182" s="380"/>
      <c r="C182" s="180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81"/>
    </row>
    <row r="183" spans="1:20" ht="15.6" thickTop="1" thickBot="1">
      <c r="A183" s="73"/>
      <c r="B183" s="380"/>
      <c r="C183" s="182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81"/>
    </row>
    <row r="184" spans="1:20" ht="15.6" thickTop="1" thickBot="1">
      <c r="A184" s="73"/>
      <c r="B184" s="380"/>
      <c r="C184" s="182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81"/>
    </row>
    <row r="185" spans="1:20" ht="15.6" thickTop="1" thickBot="1">
      <c r="A185" s="73"/>
      <c r="B185" s="380"/>
      <c r="C185" s="182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81"/>
    </row>
    <row r="186" spans="1:20" ht="15.6" thickTop="1" thickBot="1">
      <c r="A186" s="73"/>
      <c r="B186" s="380"/>
      <c r="C186" s="183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70"/>
      <c r="P186" s="171"/>
      <c r="Q186" s="181"/>
    </row>
    <row r="187" spans="1:20" ht="15.6" thickTop="1" thickBot="1">
      <c r="A187" s="73"/>
      <c r="B187" s="380"/>
      <c r="C187" s="16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68"/>
      <c r="T187" s="184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78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79"/>
    </row>
    <row r="189" spans="1:20" ht="15.6" thickTop="1" thickBot="1">
      <c r="A189" s="73"/>
      <c r="B189" s="380"/>
      <c r="C189" s="180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81"/>
    </row>
    <row r="190" spans="1:20" s="162" customFormat="1" ht="15.6" thickTop="1" thickBot="1">
      <c r="A190" s="74"/>
      <c r="B190" s="380"/>
      <c r="C190" s="180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81"/>
    </row>
    <row r="191" spans="1:20" ht="15.6" thickTop="1" thickBot="1">
      <c r="A191" s="73"/>
      <c r="B191" s="380"/>
      <c r="C191" s="182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81"/>
    </row>
    <row r="192" spans="1:20" ht="15.6" thickTop="1" thickBot="1">
      <c r="A192" s="73"/>
      <c r="B192" s="380"/>
      <c r="C192" s="182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81"/>
    </row>
    <row r="193" spans="1:20" ht="15.6" thickTop="1" thickBot="1">
      <c r="A193" s="73"/>
      <c r="B193" s="380"/>
      <c r="C193" s="182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81"/>
    </row>
    <row r="194" spans="1:20" ht="15.6" thickTop="1" thickBot="1">
      <c r="A194" s="73"/>
      <c r="B194" s="380"/>
      <c r="C194" s="183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70"/>
      <c r="P194" s="171"/>
      <c r="Q194" s="181"/>
    </row>
    <row r="195" spans="1:20" ht="15.6" thickTop="1" thickBot="1">
      <c r="A195" s="73"/>
      <c r="B195" s="380"/>
      <c r="C195" s="16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68"/>
      <c r="T195" s="184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78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79"/>
    </row>
    <row r="197" spans="1:20" ht="15.6" thickTop="1" thickBot="1">
      <c r="A197" s="73"/>
      <c r="B197" s="380"/>
      <c r="C197" s="180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81"/>
    </row>
    <row r="198" spans="1:20" ht="15.6" thickTop="1" thickBot="1">
      <c r="A198" s="73"/>
      <c r="B198" s="380"/>
      <c r="C198" s="180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81"/>
    </row>
    <row r="199" spans="1:20" ht="15.6" thickTop="1" thickBot="1">
      <c r="A199" s="73"/>
      <c r="B199" s="380"/>
      <c r="C199" s="182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81"/>
    </row>
    <row r="200" spans="1:20" ht="15.6" thickTop="1" thickBot="1">
      <c r="A200" s="73"/>
      <c r="B200" s="380"/>
      <c r="C200" s="182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81"/>
    </row>
    <row r="201" spans="1:20" ht="15.6" thickTop="1" thickBot="1">
      <c r="A201" s="73"/>
      <c r="B201" s="380"/>
      <c r="C201" s="182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81"/>
    </row>
    <row r="202" spans="1:20" ht="15.6" thickTop="1" thickBot="1">
      <c r="A202" s="73"/>
      <c r="B202" s="380"/>
      <c r="C202" s="177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70"/>
      <c r="P202" s="171"/>
      <c r="Q202" s="181"/>
    </row>
    <row r="203" spans="1:20" ht="15.6" thickTop="1" thickBot="1">
      <c r="A203" s="73"/>
      <c r="B203" s="380"/>
      <c r="C203" s="16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68"/>
      <c r="T203" s="184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--</v>
      </c>
      <c r="B204" s="380">
        <f ca="1">OFFSET('0'!$B$111,($A$1-1)*10,25)</f>
        <v>26</v>
      </c>
      <c r="C204" s="178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79"/>
    </row>
    <row r="205" spans="1:20" s="162" customFormat="1" ht="15.6" thickTop="1" thickBot="1">
      <c r="A205" s="74"/>
      <c r="B205" s="380"/>
      <c r="C205" s="180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86"/>
    </row>
    <row r="206" spans="1:20" ht="15.6" thickTop="1" thickBot="1">
      <c r="A206" s="73"/>
      <c r="B206" s="380"/>
      <c r="C206" s="180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81"/>
    </row>
    <row r="207" spans="1:20" ht="15.6" thickTop="1" thickBot="1">
      <c r="A207" s="73"/>
      <c r="B207" s="380"/>
      <c r="C207" s="182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81"/>
    </row>
    <row r="208" spans="1:20" ht="15.6" thickTop="1" thickBot="1">
      <c r="A208" s="73"/>
      <c r="B208" s="380"/>
      <c r="C208" s="182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81"/>
    </row>
    <row r="209" spans="1:20" ht="15.6" thickTop="1" thickBot="1">
      <c r="A209" s="73"/>
      <c r="B209" s="380"/>
      <c r="C209" s="182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81"/>
    </row>
    <row r="210" spans="1:20" ht="15.6" thickTop="1" thickBot="1">
      <c r="A210" s="73"/>
      <c r="B210" s="380"/>
      <c r="C210" s="177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70"/>
      <c r="P210" s="171"/>
      <c r="Q210" s="181"/>
    </row>
    <row r="211" spans="1:20" ht="15.6" thickTop="1" thickBot="1">
      <c r="A211" s="73"/>
      <c r="B211" s="380"/>
      <c r="C211" s="16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68"/>
      <c r="T211" s="184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SS</v>
      </c>
      <c r="B212" s="380">
        <f ca="1">OFFSET('0'!$B$111,($A$1-1)*10,26)</f>
        <v>27</v>
      </c>
      <c r="C212" s="178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79"/>
    </row>
    <row r="213" spans="1:20" ht="15.6" thickTop="1" thickBot="1">
      <c r="A213" s="73"/>
      <c r="B213" s="380"/>
      <c r="C213" s="180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78"/>
        <v>0</v>
      </c>
      <c r="O213" s="269"/>
      <c r="P213" s="290"/>
      <c r="Q213" s="181"/>
    </row>
    <row r="214" spans="1:20" s="162" customFormat="1" ht="15.6" thickTop="1" thickBot="1">
      <c r="A214" s="74"/>
      <c r="B214" s="380"/>
      <c r="C214" s="180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81"/>
    </row>
    <row r="215" spans="1:20" s="162" customFormat="1" ht="15.6" thickTop="1" thickBot="1">
      <c r="A215" s="74"/>
      <c r="B215" s="380"/>
      <c r="C215" s="182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81"/>
    </row>
    <row r="216" spans="1:20" ht="15.6" thickTop="1" thickBot="1">
      <c r="A216" s="73"/>
      <c r="B216" s="380"/>
      <c r="C216" s="182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81"/>
    </row>
    <row r="217" spans="1:20" ht="15.6" thickTop="1" thickBot="1">
      <c r="A217" s="73"/>
      <c r="B217" s="380"/>
      <c r="C217" s="182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81"/>
    </row>
    <row r="218" spans="1:20" ht="15.6" thickTop="1" thickBot="1">
      <c r="A218" s="73"/>
      <c r="B218" s="380"/>
      <c r="C218" s="177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70"/>
      <c r="P218" s="171"/>
      <c r="Q218" s="181"/>
    </row>
    <row r="219" spans="1:20" ht="15.6" thickTop="1" thickBot="1">
      <c r="A219" s="73"/>
      <c r="B219" s="380"/>
      <c r="C219" s="167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68"/>
      <c r="T219" s="184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SK</v>
      </c>
      <c r="B220" s="380">
        <f ca="1">OFFSET('0'!$B$111,($A$1-1)*10,27)</f>
        <v>28</v>
      </c>
      <c r="C220" s="178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79"/>
    </row>
    <row r="221" spans="1:20" s="162" customFormat="1" ht="15.6" thickTop="1" thickBot="1">
      <c r="A221" s="74"/>
      <c r="B221" s="380"/>
      <c r="C221" s="180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86"/>
    </row>
    <row r="222" spans="1:20" ht="15.6" thickTop="1" thickBot="1">
      <c r="A222" s="73"/>
      <c r="B222" s="380"/>
      <c r="C222" s="180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81"/>
    </row>
    <row r="223" spans="1:20" s="162" customFormat="1" ht="15.6" thickTop="1" thickBot="1">
      <c r="A223" s="74"/>
      <c r="B223" s="380"/>
      <c r="C223" s="182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81"/>
    </row>
    <row r="224" spans="1:20" ht="15.6" thickTop="1" thickBot="1">
      <c r="A224" s="73"/>
      <c r="B224" s="380"/>
      <c r="C224" s="182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81"/>
    </row>
    <row r="225" spans="1:20" ht="15.6" thickTop="1" thickBot="1">
      <c r="A225" s="73"/>
      <c r="B225" s="380"/>
      <c r="C225" s="182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81"/>
    </row>
    <row r="226" spans="1:20" ht="15.6" thickTop="1" thickBot="1">
      <c r="A226" s="73"/>
      <c r="B226" s="380"/>
      <c r="C226" s="177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70"/>
      <c r="P226" s="171"/>
      <c r="Q226" s="181"/>
    </row>
    <row r="227" spans="1:20" ht="15.6" thickTop="1" thickBot="1">
      <c r="A227" s="73"/>
      <c r="B227" s="380"/>
      <c r="C227" s="167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68"/>
      <c r="T227" s="184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78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79"/>
    </row>
    <row r="229" spans="1:20" ht="15.6" thickTop="1" thickBot="1">
      <c r="A229" s="73"/>
      <c r="B229" s="380"/>
      <c r="C229" s="180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86"/>
    </row>
    <row r="230" spans="1:20" ht="15.6" thickTop="1" thickBot="1">
      <c r="A230" s="73"/>
      <c r="B230" s="380"/>
      <c r="C230" s="180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81"/>
    </row>
    <row r="231" spans="1:20" s="162" customFormat="1" ht="15.6" thickTop="1" thickBot="1">
      <c r="A231" s="74"/>
      <c r="B231" s="380"/>
      <c r="C231" s="182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81"/>
    </row>
    <row r="232" spans="1:20" s="162" customFormat="1" ht="15.6" thickTop="1" thickBot="1">
      <c r="A232" s="74"/>
      <c r="B232" s="380"/>
      <c r="C232" s="182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81"/>
    </row>
    <row r="233" spans="1:20" ht="15.6" thickTop="1" thickBot="1">
      <c r="A233" s="73"/>
      <c r="B233" s="380"/>
      <c r="C233" s="182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81"/>
    </row>
    <row r="234" spans="1:20" ht="15.6" thickTop="1" thickBot="1">
      <c r="A234" s="73"/>
      <c r="B234" s="380"/>
      <c r="C234" s="177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70"/>
      <c r="P234" s="171"/>
      <c r="Q234" s="181"/>
    </row>
    <row r="235" spans="1:20" ht="15.6" thickTop="1" thickBot="1">
      <c r="A235" s="73"/>
      <c r="B235" s="380"/>
      <c r="C235" s="167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68"/>
      <c r="T235" s="184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78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79"/>
    </row>
    <row r="237" spans="1:20" ht="15.6" thickTop="1" thickBot="1">
      <c r="A237" s="73"/>
      <c r="B237" s="380"/>
      <c r="C237" s="180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86"/>
    </row>
    <row r="238" spans="1:20" s="162" customFormat="1" ht="15.6" thickTop="1" thickBot="1">
      <c r="A238" s="74"/>
      <c r="B238" s="380"/>
      <c r="C238" s="180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86"/>
    </row>
    <row r="239" spans="1:20" s="162" customFormat="1" ht="15.6" thickTop="1" thickBot="1">
      <c r="A239" s="74"/>
      <c r="B239" s="380"/>
      <c r="C239" s="182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86"/>
    </row>
    <row r="240" spans="1:20" ht="15.6" thickTop="1" thickBot="1">
      <c r="A240" s="73"/>
      <c r="B240" s="380"/>
      <c r="C240" s="182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81"/>
    </row>
    <row r="241" spans="1:20" ht="15.6" thickTop="1" thickBot="1">
      <c r="A241" s="73"/>
      <c r="B241" s="380"/>
      <c r="C241" s="182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81"/>
    </row>
    <row r="242" spans="1:20" ht="15.6" thickTop="1" thickBot="1">
      <c r="A242" s="73"/>
      <c r="B242" s="380"/>
      <c r="C242" s="177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70"/>
      <c r="P242" s="171"/>
      <c r="Q242" s="181"/>
    </row>
    <row r="243" spans="1:20" ht="15.6" thickTop="1" thickBot="1">
      <c r="A243" s="73"/>
      <c r="B243" s="380"/>
      <c r="C243" s="167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68"/>
      <c r="T243" s="184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e">
        <f ca="1">OFFSET('0'!$B$112,($A$1-1)*10,$B244-1)</f>
        <v>#REF!</v>
      </c>
      <c r="B244" s="380">
        <f ca="1">OFFSET('0'!$B$111,($A$1-1)*10,30)</f>
        <v>-29</v>
      </c>
      <c r="C244" s="178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79"/>
    </row>
    <row r="245" spans="1:20" s="162" customFormat="1" ht="15.6" thickTop="1" thickBot="1">
      <c r="A245" s="74"/>
      <c r="B245" s="380"/>
      <c r="C245" s="180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90"/>
        <v>0</v>
      </c>
      <c r="O245" s="269"/>
      <c r="P245" s="296"/>
      <c r="Q245" s="186"/>
    </row>
    <row r="246" spans="1:20" s="162" customFormat="1" ht="15.6" thickTop="1" thickBot="1">
      <c r="A246" s="74"/>
      <c r="B246" s="380"/>
      <c r="C246" s="180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91">SUM(D246-E246)</f>
        <v>0</v>
      </c>
      <c r="N246" s="269">
        <f t="shared" si="90"/>
        <v>0</v>
      </c>
      <c r="O246" s="269"/>
      <c r="P246" s="294"/>
      <c r="Q246" s="186"/>
    </row>
    <row r="247" spans="1:20" s="162" customFormat="1" ht="15.6" thickTop="1" thickBot="1">
      <c r="A247" s="74"/>
      <c r="B247" s="380"/>
      <c r="C247" s="182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91"/>
        <v>0</v>
      </c>
      <c r="N247" s="269">
        <f t="shared" si="90"/>
        <v>0</v>
      </c>
      <c r="O247" s="269"/>
      <c r="P247" s="294"/>
      <c r="Q247" s="186"/>
    </row>
    <row r="248" spans="1:20" ht="15.6" thickTop="1" thickBot="1">
      <c r="A248" s="73"/>
      <c r="B248" s="380"/>
      <c r="C248" s="182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1"/>
        <v>0</v>
      </c>
      <c r="N248" s="269">
        <f t="shared" si="90"/>
        <v>0</v>
      </c>
      <c r="O248" s="269"/>
      <c r="P248" s="290"/>
      <c r="Q248" s="181"/>
    </row>
    <row r="249" spans="1:20" ht="15.6" thickTop="1" thickBot="1">
      <c r="A249" s="73"/>
      <c r="B249" s="380"/>
      <c r="C249" s="182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1"/>
        <v>0</v>
      </c>
      <c r="N249" s="269">
        <f t="shared" si="90"/>
        <v>0</v>
      </c>
      <c r="O249" s="269"/>
      <c r="P249" s="290"/>
      <c r="Q249" s="181"/>
    </row>
    <row r="250" spans="1:20" ht="15.6" thickTop="1" thickBot="1">
      <c r="A250" s="73"/>
      <c r="B250" s="380"/>
      <c r="C250" s="177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70"/>
      <c r="P250" s="171"/>
      <c r="Q250" s="181"/>
    </row>
    <row r="251" spans="1:20" ht="15.6" thickTop="1" thickBot="1">
      <c r="A251" s="73"/>
      <c r="B251" s="380"/>
      <c r="C251" s="167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68"/>
      <c r="T251" s="184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69" t="s">
        <v>31</v>
      </c>
      <c r="D253" s="117">
        <f t="shared" ref="D253:P253" si="93">SUM(D250,D242,D234,D226,D218,D210,D202,D194,D186,D178,D170,D162,D154,D146,D138,D130,D122,D114,D106,D98,D90,D82,D74,D66,D58,D50,D42,D34,D26,D18,D10)</f>
        <v>0</v>
      </c>
      <c r="E253" s="298">
        <f t="shared" si="93"/>
        <v>0</v>
      </c>
      <c r="F253" s="299">
        <f t="shared" si="93"/>
        <v>0</v>
      </c>
      <c r="G253" s="299">
        <f t="shared" si="93"/>
        <v>0</v>
      </c>
      <c r="H253" s="299">
        <f t="shared" si="93"/>
        <v>0</v>
      </c>
      <c r="I253" s="299">
        <f t="shared" si="93"/>
        <v>0</v>
      </c>
      <c r="J253" s="299">
        <f t="shared" si="93"/>
        <v>0</v>
      </c>
      <c r="K253" s="299">
        <f t="shared" si="93"/>
        <v>0</v>
      </c>
      <c r="L253" s="300">
        <f t="shared" si="93"/>
        <v>0</v>
      </c>
      <c r="M253" s="298">
        <f t="shared" si="93"/>
        <v>0</v>
      </c>
      <c r="N253" s="117">
        <f t="shared" si="93"/>
        <v>0</v>
      </c>
      <c r="O253" s="117">
        <f t="shared" si="93"/>
        <v>0</v>
      </c>
      <c r="P253" s="117">
        <f t="shared" si="93"/>
        <v>0</v>
      </c>
    </row>
    <row r="254" spans="1:20">
      <c r="C254" s="169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160" priority="32">
      <formula>$A12&lt;&gt;"--"</formula>
    </cfRule>
  </conditionalFormatting>
  <conditionalFormatting sqref="B20:B27">
    <cfRule type="expression" dxfId="159" priority="31">
      <formula>$A20&lt;&gt;"--"</formula>
    </cfRule>
  </conditionalFormatting>
  <conditionalFormatting sqref="B28:B35">
    <cfRule type="expression" dxfId="158" priority="30">
      <formula>$A28&lt;&gt;"--"</formula>
    </cfRule>
  </conditionalFormatting>
  <conditionalFormatting sqref="B36:B43">
    <cfRule type="expression" dxfId="157" priority="29">
      <formula>$A36&lt;&gt;"--"</formula>
    </cfRule>
  </conditionalFormatting>
  <conditionalFormatting sqref="B44:B51">
    <cfRule type="expression" dxfId="156" priority="28">
      <formula>$A44&lt;&gt;"--"</formula>
    </cfRule>
  </conditionalFormatting>
  <conditionalFormatting sqref="B52:B59">
    <cfRule type="expression" dxfId="155" priority="27">
      <formula>$A52&lt;&gt;"--"</formula>
    </cfRule>
  </conditionalFormatting>
  <conditionalFormatting sqref="B60:B67">
    <cfRule type="expression" dxfId="154" priority="26">
      <formula>$A60&lt;&gt;"--"</formula>
    </cfRule>
  </conditionalFormatting>
  <conditionalFormatting sqref="B68:B75">
    <cfRule type="expression" dxfId="153" priority="25">
      <formula>$A68&lt;&gt;"--"</formula>
    </cfRule>
  </conditionalFormatting>
  <conditionalFormatting sqref="B76:B83">
    <cfRule type="expression" dxfId="152" priority="24">
      <formula>$A76&lt;&gt;"--"</formula>
    </cfRule>
  </conditionalFormatting>
  <conditionalFormatting sqref="B84:B91">
    <cfRule type="expression" dxfId="151" priority="23">
      <formula>$A84&lt;&gt;"--"</formula>
    </cfRule>
  </conditionalFormatting>
  <conditionalFormatting sqref="B92:B99">
    <cfRule type="expression" dxfId="150" priority="22">
      <formula>$A92&lt;&gt;"--"</formula>
    </cfRule>
  </conditionalFormatting>
  <conditionalFormatting sqref="B100:B107">
    <cfRule type="expression" dxfId="149" priority="21">
      <formula>$A100&lt;&gt;"--"</formula>
    </cfRule>
  </conditionalFormatting>
  <conditionalFormatting sqref="B108:B115">
    <cfRule type="expression" dxfId="148" priority="20">
      <formula>$A108&lt;&gt;"--"</formula>
    </cfRule>
  </conditionalFormatting>
  <conditionalFormatting sqref="B116:B123">
    <cfRule type="expression" dxfId="147" priority="19">
      <formula>$A116&lt;&gt;"--"</formula>
    </cfRule>
  </conditionalFormatting>
  <conditionalFormatting sqref="B124:B131">
    <cfRule type="expression" dxfId="146" priority="18">
      <formula>$A124&lt;&gt;"--"</formula>
    </cfRule>
  </conditionalFormatting>
  <conditionalFormatting sqref="B132:B139">
    <cfRule type="expression" dxfId="145" priority="17">
      <formula>$A132&lt;&gt;"--"</formula>
    </cfRule>
  </conditionalFormatting>
  <conditionalFormatting sqref="B140:B147">
    <cfRule type="expression" dxfId="144" priority="16">
      <formula>$A140&lt;&gt;"--"</formula>
    </cfRule>
  </conditionalFormatting>
  <conditionalFormatting sqref="B148:B155">
    <cfRule type="expression" dxfId="143" priority="15">
      <formula>$A148&lt;&gt;"--"</formula>
    </cfRule>
  </conditionalFormatting>
  <conditionalFormatting sqref="B156:B163">
    <cfRule type="expression" dxfId="142" priority="14">
      <formula>$A156&lt;&gt;"--"</formula>
    </cfRule>
  </conditionalFormatting>
  <conditionalFormatting sqref="B164:B171">
    <cfRule type="expression" dxfId="141" priority="13">
      <formula>$A164&lt;&gt;"--"</formula>
    </cfRule>
  </conditionalFormatting>
  <conditionalFormatting sqref="B172:B179">
    <cfRule type="expression" dxfId="140" priority="12">
      <formula>$A172&lt;&gt;"--"</formula>
    </cfRule>
  </conditionalFormatting>
  <conditionalFormatting sqref="B180:B187">
    <cfRule type="expression" dxfId="139" priority="11">
      <formula>$A180&lt;&gt;"--"</formula>
    </cfRule>
  </conditionalFormatting>
  <conditionalFormatting sqref="B188:B195">
    <cfRule type="expression" dxfId="138" priority="10">
      <formula>$A188&lt;&gt;"--"</formula>
    </cfRule>
  </conditionalFormatting>
  <conditionalFormatting sqref="B196:B203">
    <cfRule type="expression" dxfId="137" priority="9">
      <formula>$A196&lt;&gt;"--"</formula>
    </cfRule>
  </conditionalFormatting>
  <conditionalFormatting sqref="B204:B211">
    <cfRule type="expression" dxfId="136" priority="8">
      <formula>$A204&lt;&gt;"--"</formula>
    </cfRule>
  </conditionalFormatting>
  <conditionalFormatting sqref="B212:B219">
    <cfRule type="expression" dxfId="135" priority="7">
      <formula>$A212&lt;&gt;"--"</formula>
    </cfRule>
  </conditionalFormatting>
  <conditionalFormatting sqref="B220:B227">
    <cfRule type="expression" dxfId="134" priority="6">
      <formula>$A220&lt;&gt;"--"</formula>
    </cfRule>
  </conditionalFormatting>
  <conditionalFormatting sqref="B228:B251">
    <cfRule type="expression" dxfId="133" priority="5">
      <formula>$A228&lt;&gt;"--"</formula>
    </cfRule>
  </conditionalFormatting>
  <conditionalFormatting sqref="B236:B243">
    <cfRule type="expression" dxfId="132" priority="4">
      <formula>$A236&lt;&gt;"--"</formula>
    </cfRule>
  </conditionalFormatting>
  <conditionalFormatting sqref="B244:B251">
    <cfRule type="expression" dxfId="131" priority="3">
      <formula>$A244&lt;&gt;"--"</formula>
    </cfRule>
  </conditionalFormatting>
  <conditionalFormatting sqref="B4:B11">
    <cfRule type="expression" dxfId="130" priority="2">
      <formula>$A4&lt;&gt;"--"</formula>
    </cfRule>
  </conditionalFormatting>
  <conditionalFormatting sqref="B228:B251">
    <cfRule type="cellIs" dxfId="129" priority="1" operator="lessThan">
      <formula>0</formula>
    </cfRule>
  </conditionalFormatting>
  <dataValidations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20:C25 C12:C17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V254"/>
  <sheetViews>
    <sheetView topLeftCell="K1" workbookViewId="0">
      <selection activeCell="U5" sqref="U5:V17"/>
    </sheetView>
  </sheetViews>
  <sheetFormatPr defaultColWidth="15.109375" defaultRowHeight="14.4"/>
  <cols>
    <col min="1" max="2" width="15.109375" style="161"/>
    <col min="3" max="3" width="22.109375" style="162" customWidth="1"/>
    <col min="4" max="11" width="15.1093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15.109375" style="161"/>
    <col min="20" max="20" width="26" style="162" customWidth="1"/>
    <col min="21" max="16384" width="15.109375" style="161"/>
  </cols>
  <sheetData>
    <row r="1" spans="1:22">
      <c r="A1" s="161">
        <v>10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metų'!V6:V14)</f>
        <v>11082547.809999999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178"/>
      <c r="D4" s="301"/>
      <c r="E4" s="302"/>
      <c r="F4" s="303"/>
      <c r="G4" s="303"/>
      <c r="H4" s="303"/>
      <c r="I4" s="303"/>
      <c r="J4" s="303"/>
      <c r="K4" s="303"/>
      <c r="L4" s="304"/>
      <c r="M4" s="302">
        <f>SUM(D4-E4)</f>
        <v>0</v>
      </c>
      <c r="N4" s="305">
        <f t="shared" ref="N4:N9" si="0">SUM(E4,M4)</f>
        <v>0</v>
      </c>
      <c r="O4" s="305"/>
      <c r="P4" s="306"/>
      <c r="Q4" s="179"/>
      <c r="T4" s="384"/>
    </row>
    <row r="5" spans="1:22">
      <c r="A5" s="73"/>
      <c r="B5" s="392"/>
      <c r="C5" s="180"/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81"/>
    </row>
    <row r="6" spans="1:22">
      <c r="A6" s="73"/>
      <c r="B6" s="392"/>
      <c r="C6" s="180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ref="M6:M9" si="1">SUM(D6-E6)</f>
        <v>0</v>
      </c>
      <c r="N6" s="269">
        <f t="shared" si="0"/>
        <v>0</v>
      </c>
      <c r="O6" s="269"/>
      <c r="P6" s="290"/>
      <c r="Q6" s="181"/>
      <c r="V6" s="86"/>
    </row>
    <row r="7" spans="1:22">
      <c r="A7" s="73"/>
      <c r="B7" s="392"/>
      <c r="C7" s="182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1"/>
        <v>0</v>
      </c>
      <c r="N7" s="269">
        <f t="shared" si="0"/>
        <v>0</v>
      </c>
      <c r="O7" s="269"/>
      <c r="P7" s="290"/>
      <c r="Q7" s="181"/>
      <c r="V7" s="86"/>
    </row>
    <row r="8" spans="1:22">
      <c r="A8" s="73"/>
      <c r="B8" s="392"/>
      <c r="C8" s="182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81"/>
      <c r="V8" s="86"/>
    </row>
    <row r="9" spans="1:22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81"/>
      <c r="V9" s="86"/>
    </row>
    <row r="10" spans="1:22" ht="15" thickBot="1">
      <c r="A10" s="73"/>
      <c r="B10" s="392"/>
      <c r="C10" s="183" t="s">
        <v>69</v>
      </c>
      <c r="D10" s="266">
        <f>SUM(D4:D9)</f>
        <v>0</v>
      </c>
      <c r="E10" s="267">
        <f>SUM(E4:E9)</f>
        <v>0</v>
      </c>
      <c r="F10" s="268">
        <f>SUM(F4:F9)</f>
        <v>0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68">
        <f t="shared" si="2"/>
        <v>0</v>
      </c>
      <c r="L10" s="273"/>
      <c r="M10" s="267">
        <f>SUM(M4:M9)</f>
        <v>0</v>
      </c>
      <c r="N10" s="269">
        <f>SUM(N4:N9)</f>
        <v>0</v>
      </c>
      <c r="O10" s="170"/>
      <c r="P10" s="171"/>
      <c r="Q10" s="181"/>
      <c r="V10" s="86"/>
    </row>
    <row r="11" spans="1:22" ht="15" thickBot="1">
      <c r="A11" s="73"/>
      <c r="B11" s="393"/>
      <c r="C11" s="16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68"/>
      <c r="T11" s="184">
        <f>$V$3+L11</f>
        <v>11082547.809999999</v>
      </c>
      <c r="V11" s="86"/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178"/>
      <c r="D12" s="284"/>
      <c r="E12" s="285"/>
      <c r="F12" s="286"/>
      <c r="G12" s="286"/>
      <c r="H12" s="286"/>
      <c r="I12" s="286"/>
      <c r="J12" s="286"/>
      <c r="K12" s="286"/>
      <c r="L12" s="295"/>
      <c r="M12" s="302">
        <f>SUM(D12-E12)</f>
        <v>0</v>
      </c>
      <c r="N12" s="305">
        <f t="shared" ref="N12:N17" si="3">SUM(E12,M12)</f>
        <v>0</v>
      </c>
      <c r="O12" s="305"/>
      <c r="P12" s="292"/>
      <c r="Q12" s="186"/>
      <c r="V12" s="86"/>
    </row>
    <row r="13" spans="1:22" ht="17.25" customHeight="1">
      <c r="A13" s="73"/>
      <c r="B13" s="392"/>
      <c r="C13" s="180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3"/>
        <v>0</v>
      </c>
      <c r="O13" s="269"/>
      <c r="P13" s="290"/>
      <c r="Q13" s="181"/>
      <c r="V13" s="86"/>
    </row>
    <row r="14" spans="1:22">
      <c r="A14" s="73"/>
      <c r="B14" s="392"/>
      <c r="C14" s="180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4">SUM(D14-E14)</f>
        <v>0</v>
      </c>
      <c r="N14" s="269">
        <f t="shared" si="3"/>
        <v>0</v>
      </c>
      <c r="O14" s="269"/>
      <c r="P14" s="290"/>
      <c r="Q14" s="181"/>
      <c r="V14" s="86"/>
    </row>
    <row r="15" spans="1:22">
      <c r="A15" s="73"/>
      <c r="B15" s="392"/>
      <c r="C15" s="182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4"/>
        <v>0</v>
      </c>
      <c r="N15" s="269">
        <f t="shared" si="3"/>
        <v>0</v>
      </c>
      <c r="O15" s="269"/>
      <c r="P15" s="290"/>
      <c r="Q15" s="181"/>
    </row>
    <row r="16" spans="1:22">
      <c r="A16" s="73"/>
      <c r="B16" s="392"/>
      <c r="C16" s="182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 t="shared" si="4"/>
        <v>0</v>
      </c>
      <c r="N16" s="279">
        <f t="shared" si="3"/>
        <v>0</v>
      </c>
      <c r="O16" s="279"/>
      <c r="P16" s="292"/>
      <c r="Q16" s="187"/>
    </row>
    <row r="17" spans="1:22" ht="15" thickBot="1">
      <c r="A17" s="73"/>
      <c r="B17" s="392"/>
      <c r="C17" s="182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87"/>
      <c r="U17" s="83"/>
      <c r="V17" s="84"/>
    </row>
    <row r="18" spans="1:22" ht="15" thickBot="1">
      <c r="A18" s="73"/>
      <c r="B18" s="392"/>
      <c r="C18" s="183" t="s">
        <v>69</v>
      </c>
      <c r="D18" s="266">
        <f>SUM(D12:D17)</f>
        <v>0</v>
      </c>
      <c r="E18" s="267">
        <f>SUM(E12:E17)</f>
        <v>0</v>
      </c>
      <c r="F18" s="268">
        <f>SUM(F12:F17)</f>
        <v>0</v>
      </c>
      <c r="G18" s="268">
        <f t="shared" ref="G18:K18" si="5">SUM(G12:G17)</f>
        <v>0</v>
      </c>
      <c r="H18" s="268">
        <f t="shared" si="5"/>
        <v>0</v>
      </c>
      <c r="I18" s="268">
        <f t="shared" si="5"/>
        <v>0</v>
      </c>
      <c r="J18" s="268">
        <f t="shared" si="5"/>
        <v>0</v>
      </c>
      <c r="K18" s="268">
        <f t="shared" si="5"/>
        <v>0</v>
      </c>
      <c r="L18" s="273"/>
      <c r="M18" s="267">
        <f>SUM(M12:M17)</f>
        <v>0</v>
      </c>
      <c r="N18" s="280">
        <f>SUM(N12:N17)</f>
        <v>0</v>
      </c>
      <c r="O18" s="188"/>
      <c r="P18" s="189"/>
      <c r="Q18" s="187"/>
      <c r="U18" s="85"/>
      <c r="V18" s="85"/>
    </row>
    <row r="19" spans="1:22" ht="15" thickBot="1">
      <c r="A19" s="73"/>
      <c r="B19" s="393"/>
      <c r="C19" s="16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68"/>
      <c r="T19" s="184">
        <f>$V$3+L11+L19</f>
        <v>11082547.809999999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78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0</v>
      </c>
      <c r="O20" s="305"/>
      <c r="P20" s="306"/>
      <c r="Q20" s="179"/>
    </row>
    <row r="21" spans="1:22" ht="15.6" thickTop="1" thickBot="1">
      <c r="A21" s="73"/>
      <c r="B21" s="380"/>
      <c r="C21" s="180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81"/>
    </row>
    <row r="22" spans="1:22" ht="15.6" thickTop="1" thickBot="1">
      <c r="A22" s="73"/>
      <c r="B22" s="380"/>
      <c r="C22" s="180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81"/>
    </row>
    <row r="23" spans="1:22" ht="15.6" thickTop="1" thickBot="1">
      <c r="A23" s="73"/>
      <c r="B23" s="380"/>
      <c r="C23" s="182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81"/>
    </row>
    <row r="24" spans="1:22" ht="15.6" thickTop="1" thickBot="1">
      <c r="A24" s="73"/>
      <c r="B24" s="380"/>
      <c r="C24" s="182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87"/>
    </row>
    <row r="25" spans="1:22" ht="15.6" thickTop="1" thickBot="1">
      <c r="A25" s="73"/>
      <c r="B25" s="380"/>
      <c r="C25" s="182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87"/>
    </row>
    <row r="26" spans="1:22" ht="15.6" thickTop="1" thickBot="1">
      <c r="A26" s="73"/>
      <c r="B26" s="380"/>
      <c r="C26" s="183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0</v>
      </c>
      <c r="O26" s="188"/>
      <c r="P26" s="189"/>
      <c r="Q26" s="187"/>
    </row>
    <row r="27" spans="1:22" ht="15.6" thickTop="1" thickBot="1">
      <c r="A27" s="73"/>
      <c r="B27" s="380"/>
      <c r="C27" s="173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74"/>
      <c r="T27" s="184">
        <f>$V$3++L11+L19+L27</f>
        <v>11082547.809999999</v>
      </c>
    </row>
    <row r="28" spans="1:22" ht="15.6" thickTop="1" thickBot="1">
      <c r="A28" s="73" t="str">
        <f ca="1">OFFSET('0'!$B$112,($A$1-1)*10,$B28-1)</f>
        <v>SS</v>
      </c>
      <c r="B28" s="380">
        <f ca="1">OFFSET('0'!$B$111,($A$1-1)*10,3)</f>
        <v>4</v>
      </c>
      <c r="C28" s="178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79"/>
    </row>
    <row r="29" spans="1:22" ht="17.25" customHeight="1" thickTop="1" thickBot="1">
      <c r="A29" s="73"/>
      <c r="B29" s="380"/>
      <c r="C29" s="180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81"/>
    </row>
    <row r="30" spans="1:22" ht="17.25" customHeight="1" thickTop="1" thickBot="1">
      <c r="A30" s="73"/>
      <c r="B30" s="380"/>
      <c r="C30" s="180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81"/>
    </row>
    <row r="31" spans="1:22" ht="17.25" customHeight="1" thickTop="1" thickBot="1">
      <c r="A31" s="73"/>
      <c r="B31" s="380"/>
      <c r="C31" s="182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81"/>
    </row>
    <row r="32" spans="1:22" ht="15.6" thickTop="1" thickBot="1">
      <c r="A32" s="73"/>
      <c r="B32" s="380"/>
      <c r="C32" s="182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81"/>
    </row>
    <row r="33" spans="1:20" ht="15.6" thickTop="1" thickBot="1">
      <c r="A33" s="73"/>
      <c r="B33" s="380"/>
      <c r="C33" s="182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81"/>
    </row>
    <row r="34" spans="1:20" ht="15.6" thickTop="1" thickBot="1">
      <c r="A34" s="73"/>
      <c r="B34" s="380"/>
      <c r="C34" s="183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70"/>
      <c r="P34" s="171"/>
      <c r="Q34" s="181"/>
    </row>
    <row r="35" spans="1:20" ht="15.6" thickTop="1" thickBot="1">
      <c r="A35" s="73"/>
      <c r="B35" s="380"/>
      <c r="C35" s="16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68"/>
      <c r="T35" s="184">
        <f>$V$3+L11+L19+L27+L35</f>
        <v>11082547.809999999</v>
      </c>
    </row>
    <row r="36" spans="1:20" ht="15.6" thickTop="1" thickBot="1">
      <c r="A36" s="73" t="str">
        <f ca="1">OFFSET('0'!$B$112,($A$1-1)*10,$B36-1)</f>
        <v>SK</v>
      </c>
      <c r="B36" s="380">
        <f ca="1">OFFSET('0'!$B$111,($A$1-1)*10,4)</f>
        <v>5</v>
      </c>
      <c r="C36" s="178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79"/>
    </row>
    <row r="37" spans="1:20" ht="15.6" thickTop="1" thickBot="1">
      <c r="A37" s="73"/>
      <c r="B37" s="380"/>
      <c r="C37" s="180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81"/>
    </row>
    <row r="38" spans="1:20" ht="15.6" thickTop="1" thickBot="1">
      <c r="A38" s="73"/>
      <c r="B38" s="380"/>
      <c r="C38" s="180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81"/>
    </row>
    <row r="39" spans="1:20" ht="15.6" thickTop="1" thickBot="1">
      <c r="A39" s="73"/>
      <c r="B39" s="380"/>
      <c r="C39" s="182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81"/>
    </row>
    <row r="40" spans="1:20" ht="15.6" thickTop="1" thickBot="1">
      <c r="A40" s="73"/>
      <c r="B40" s="380"/>
      <c r="C40" s="182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81"/>
    </row>
    <row r="41" spans="1:20" ht="15.6" thickTop="1" thickBot="1">
      <c r="A41" s="73"/>
      <c r="B41" s="380"/>
      <c r="C41" s="182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81"/>
    </row>
    <row r="42" spans="1:20" ht="15.6" thickTop="1" thickBot="1">
      <c r="A42" s="73"/>
      <c r="B42" s="380"/>
      <c r="C42" s="183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172"/>
      <c r="P42" s="185"/>
      <c r="Q42" s="187"/>
    </row>
    <row r="43" spans="1:20" ht="15.6" thickTop="1" thickBot="1">
      <c r="A43" s="73"/>
      <c r="B43" s="380"/>
      <c r="C43" s="16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68"/>
      <c r="T43" s="184">
        <f>$V$3+L11+L19+L27+L35+L43</f>
        <v>11082547.809999999</v>
      </c>
    </row>
    <row r="44" spans="1:20" ht="15.6" thickTop="1" thickBot="1">
      <c r="A44" s="73" t="str">
        <f ca="1">OFFSET('0'!$B$112,($A$1-1)*10,$B44-1)</f>
        <v>--</v>
      </c>
      <c r="B44" s="380">
        <f ca="1">OFFSET('0'!$B$111,($A$1-1)*10,5)</f>
        <v>6</v>
      </c>
      <c r="C44" s="178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79"/>
    </row>
    <row r="45" spans="1:20" ht="15.6" thickTop="1" thickBot="1">
      <c r="A45" s="73"/>
      <c r="B45" s="380"/>
      <c r="C45" s="180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81"/>
    </row>
    <row r="46" spans="1:20" ht="15.6" thickTop="1" thickBot="1">
      <c r="A46" s="73"/>
      <c r="B46" s="380"/>
      <c r="C46" s="180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81"/>
    </row>
    <row r="47" spans="1:20" ht="15.6" thickTop="1" thickBot="1">
      <c r="A47" s="73"/>
      <c r="B47" s="380"/>
      <c r="C47" s="182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81"/>
    </row>
    <row r="48" spans="1:20" ht="15.6" thickTop="1" thickBot="1">
      <c r="A48" s="73"/>
      <c r="B48" s="380"/>
      <c r="C48" s="182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87"/>
    </row>
    <row r="49" spans="1:20" ht="15.6" thickTop="1" thickBot="1">
      <c r="A49" s="73"/>
      <c r="B49" s="380"/>
      <c r="C49" s="182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87"/>
    </row>
    <row r="50" spans="1:20" ht="15.6" thickTop="1" thickBot="1">
      <c r="A50" s="73"/>
      <c r="B50" s="380"/>
      <c r="C50" s="183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188"/>
      <c r="P50" s="189"/>
      <c r="Q50" s="187"/>
    </row>
    <row r="51" spans="1:20" ht="15.6" thickTop="1" thickBot="1">
      <c r="A51" s="73"/>
      <c r="B51" s="380"/>
      <c r="C51" s="173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74"/>
      <c r="T51" s="184">
        <f>$V$3+L11+L19+L27+L35+L43+L51</f>
        <v>11082547.809999999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78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79"/>
    </row>
    <row r="53" spans="1:20" ht="15.6" thickTop="1" thickBot="1">
      <c r="A53" s="73"/>
      <c r="B53" s="380"/>
      <c r="C53" s="180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81"/>
    </row>
    <row r="54" spans="1:20" ht="15.6" thickTop="1" thickBot="1">
      <c r="A54" s="73"/>
      <c r="B54" s="380"/>
      <c r="C54" s="180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81"/>
    </row>
    <row r="55" spans="1:20" ht="15.6" thickTop="1" thickBot="1">
      <c r="A55" s="73"/>
      <c r="B55" s="380"/>
      <c r="C55" s="182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81"/>
    </row>
    <row r="56" spans="1:20" ht="15.6" thickTop="1" thickBot="1">
      <c r="A56" s="73"/>
      <c r="B56" s="380"/>
      <c r="C56" s="182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87"/>
    </row>
    <row r="57" spans="1:20" ht="15.6" thickTop="1" thickBot="1">
      <c r="A57" s="73"/>
      <c r="B57" s="380"/>
      <c r="C57" s="182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87"/>
    </row>
    <row r="58" spans="1:20" ht="15.6" thickTop="1" thickBot="1">
      <c r="A58" s="73"/>
      <c r="B58" s="380"/>
      <c r="C58" s="183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188"/>
      <c r="P58" s="189"/>
      <c r="Q58" s="187"/>
    </row>
    <row r="59" spans="1:20" ht="15.6" thickTop="1" thickBot="1">
      <c r="A59" s="73"/>
      <c r="B59" s="380"/>
      <c r="C59" s="16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68"/>
      <c r="T59" s="184">
        <f>$V$3+L11+L19+L27+L35+L43+L51+L59</f>
        <v>11082547.809999999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78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79"/>
    </row>
    <row r="61" spans="1:20" ht="15.6" thickTop="1" thickBot="1">
      <c r="A61" s="73"/>
      <c r="B61" s="380"/>
      <c r="C61" s="180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81"/>
    </row>
    <row r="62" spans="1:20" ht="15.6" thickTop="1" thickBot="1">
      <c r="A62" s="73"/>
      <c r="B62" s="380"/>
      <c r="C62" s="180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81"/>
    </row>
    <row r="63" spans="1:20" ht="15.6" thickTop="1" thickBot="1">
      <c r="A63" s="73"/>
      <c r="B63" s="380"/>
      <c r="C63" s="182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81"/>
    </row>
    <row r="64" spans="1:20" ht="15.6" thickTop="1" thickBot="1">
      <c r="A64" s="73"/>
      <c r="B64" s="380"/>
      <c r="C64" s="182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87"/>
    </row>
    <row r="65" spans="1:20" ht="15.6" thickTop="1" thickBot="1">
      <c r="A65" s="73"/>
      <c r="B65" s="380"/>
      <c r="C65" s="182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87"/>
    </row>
    <row r="66" spans="1:20" ht="15.6" thickTop="1" thickBot="1">
      <c r="A66" s="73"/>
      <c r="B66" s="380"/>
      <c r="C66" s="183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188"/>
      <c r="P66" s="189"/>
      <c r="Q66" s="187"/>
    </row>
    <row r="67" spans="1:20" ht="15.6" thickTop="1" thickBot="1">
      <c r="A67" s="73"/>
      <c r="B67" s="380"/>
      <c r="C67" s="16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68"/>
      <c r="T67" s="184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78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79"/>
    </row>
    <row r="69" spans="1:20" ht="15.6" thickTop="1" thickBot="1">
      <c r="A69" s="73"/>
      <c r="B69" s="380"/>
      <c r="C69" s="180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81"/>
    </row>
    <row r="70" spans="1:20" ht="15.6" thickTop="1" thickBot="1">
      <c r="A70" s="73"/>
      <c r="B70" s="380"/>
      <c r="C70" s="180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81"/>
    </row>
    <row r="71" spans="1:20" ht="15.6" thickTop="1" thickBot="1">
      <c r="A71" s="73"/>
      <c r="B71" s="380"/>
      <c r="C71" s="182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81"/>
    </row>
    <row r="72" spans="1:20" ht="15.6" thickTop="1" thickBot="1">
      <c r="A72" s="73"/>
      <c r="B72" s="380"/>
      <c r="C72" s="182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81"/>
    </row>
    <row r="73" spans="1:20" ht="15.6" thickTop="1" thickBot="1">
      <c r="A73" s="73"/>
      <c r="B73" s="380"/>
      <c r="C73" s="182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81"/>
    </row>
    <row r="74" spans="1:20" ht="15.6" thickTop="1" thickBot="1">
      <c r="A74" s="73"/>
      <c r="B74" s="380"/>
      <c r="C74" s="183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70"/>
      <c r="P74" s="171"/>
      <c r="Q74" s="181"/>
    </row>
    <row r="75" spans="1:20" ht="15.6" thickTop="1" thickBot="1">
      <c r="A75" s="73"/>
      <c r="B75" s="380"/>
      <c r="C75" s="16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68"/>
      <c r="T75" s="184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78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79"/>
    </row>
    <row r="77" spans="1:20" ht="15.6" thickTop="1" thickBot="1">
      <c r="A77" s="73"/>
      <c r="B77" s="380"/>
      <c r="C77" s="180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81"/>
    </row>
    <row r="78" spans="1:20" ht="15.6" thickTop="1" thickBot="1">
      <c r="A78" s="73"/>
      <c r="B78" s="380"/>
      <c r="C78" s="180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81"/>
    </row>
    <row r="79" spans="1:20" ht="15.6" thickTop="1" thickBot="1">
      <c r="A79" s="73"/>
      <c r="B79" s="380"/>
      <c r="C79" s="182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81"/>
    </row>
    <row r="80" spans="1:20" ht="15.6" thickTop="1" thickBot="1">
      <c r="A80" s="73"/>
      <c r="B80" s="380"/>
      <c r="C80" s="182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81"/>
    </row>
    <row r="81" spans="1:20" ht="15.6" thickTop="1" thickBot="1">
      <c r="A81" s="73"/>
      <c r="B81" s="380"/>
      <c r="C81" s="182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81"/>
    </row>
    <row r="82" spans="1:20" ht="15.6" thickTop="1" thickBot="1">
      <c r="A82" s="73"/>
      <c r="B82" s="380"/>
      <c r="C82" s="183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70"/>
      <c r="P82" s="171"/>
      <c r="Q82" s="181"/>
    </row>
    <row r="83" spans="1:20" ht="15.6" thickTop="1" thickBot="1">
      <c r="A83" s="73"/>
      <c r="B83" s="380"/>
      <c r="C83" s="16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68"/>
      <c r="T83" s="184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SS</v>
      </c>
      <c r="B84" s="380">
        <f ca="1">OFFSET('0'!$B$111,($A$1-1)*10,10)</f>
        <v>11</v>
      </c>
      <c r="C84" s="178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79"/>
    </row>
    <row r="85" spans="1:20" ht="15.6" thickTop="1" thickBot="1">
      <c r="A85" s="73"/>
      <c r="B85" s="380"/>
      <c r="C85" s="180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81"/>
    </row>
    <row r="86" spans="1:20" ht="15.6" thickTop="1" thickBot="1">
      <c r="A86" s="73"/>
      <c r="B86" s="380"/>
      <c r="C86" s="180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81"/>
    </row>
    <row r="87" spans="1:20" ht="15.6" thickTop="1" thickBot="1">
      <c r="A87" s="73"/>
      <c r="B87" s="380"/>
      <c r="C87" s="182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81"/>
    </row>
    <row r="88" spans="1:20" ht="15.6" thickTop="1" thickBot="1">
      <c r="A88" s="73"/>
      <c r="B88" s="380"/>
      <c r="C88" s="182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81"/>
    </row>
    <row r="89" spans="1:20" ht="15.6" thickTop="1" thickBot="1">
      <c r="A89" s="73"/>
      <c r="B89" s="380"/>
      <c r="C89" s="182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81"/>
    </row>
    <row r="90" spans="1:20" ht="15.6" thickTop="1" thickBot="1">
      <c r="A90" s="73"/>
      <c r="B90" s="380"/>
      <c r="C90" s="183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70"/>
      <c r="P90" s="171"/>
      <c r="Q90" s="181"/>
    </row>
    <row r="91" spans="1:20" ht="15.6" thickTop="1" thickBot="1">
      <c r="A91" s="73"/>
      <c r="B91" s="380"/>
      <c r="C91" s="16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68"/>
      <c r="T91" s="184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SK</v>
      </c>
      <c r="B92" s="380">
        <f ca="1">OFFSET('0'!$B$111,($A$1-1)*10,11)</f>
        <v>12</v>
      </c>
      <c r="C92" s="178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79"/>
    </row>
    <row r="93" spans="1:20" ht="15.6" thickTop="1" thickBot="1">
      <c r="A93" s="73"/>
      <c r="B93" s="380"/>
      <c r="C93" s="180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81"/>
    </row>
    <row r="94" spans="1:20" ht="15.6" thickTop="1" thickBot="1">
      <c r="A94" s="73"/>
      <c r="B94" s="380"/>
      <c r="C94" s="180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81"/>
    </row>
    <row r="95" spans="1:20" ht="15.6" thickTop="1" thickBot="1">
      <c r="A95" s="73"/>
      <c r="B95" s="380"/>
      <c r="C95" s="182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81"/>
    </row>
    <row r="96" spans="1:20" ht="15.6" thickTop="1" thickBot="1">
      <c r="A96" s="73"/>
      <c r="B96" s="380"/>
      <c r="C96" s="182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81"/>
    </row>
    <row r="97" spans="1:20" ht="15.6" thickTop="1" thickBot="1">
      <c r="A97" s="73"/>
      <c r="B97" s="380"/>
      <c r="C97" s="182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81"/>
    </row>
    <row r="98" spans="1:20" ht="15.6" thickTop="1" thickBot="1">
      <c r="A98" s="73"/>
      <c r="B98" s="380"/>
      <c r="C98" s="183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70"/>
      <c r="P98" s="171"/>
      <c r="Q98" s="181"/>
    </row>
    <row r="99" spans="1:20" ht="15.6" thickTop="1" thickBot="1">
      <c r="A99" s="73"/>
      <c r="B99" s="380"/>
      <c r="C99" s="16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68"/>
      <c r="T99" s="184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--</v>
      </c>
      <c r="B100" s="380">
        <f ca="1">OFFSET('0'!$B$111,($A$1-1)*10,12)</f>
        <v>13</v>
      </c>
      <c r="C100" s="178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79"/>
    </row>
    <row r="101" spans="1:20" ht="15.6" thickTop="1" thickBot="1">
      <c r="A101" s="73"/>
      <c r="B101" s="380"/>
      <c r="C101" s="180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81"/>
    </row>
    <row r="102" spans="1:20" ht="15.6" thickTop="1" thickBot="1">
      <c r="A102" s="73"/>
      <c r="B102" s="380"/>
      <c r="C102" s="180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81"/>
    </row>
    <row r="103" spans="1:20" ht="15.6" thickTop="1" thickBot="1">
      <c r="A103" s="73"/>
      <c r="B103" s="380"/>
      <c r="C103" s="182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81"/>
    </row>
    <row r="104" spans="1:20" ht="15.6" thickTop="1" thickBot="1">
      <c r="A104" s="73"/>
      <c r="B104" s="380"/>
      <c r="C104" s="182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81"/>
    </row>
    <row r="105" spans="1:20" ht="15.6" thickTop="1" thickBot="1">
      <c r="A105" s="73"/>
      <c r="B105" s="380"/>
      <c r="C105" s="182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81"/>
    </row>
    <row r="106" spans="1:20" ht="15.6" thickTop="1" thickBot="1">
      <c r="A106" s="73"/>
      <c r="B106" s="380"/>
      <c r="C106" s="190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70"/>
      <c r="P106" s="171"/>
      <c r="Q106" s="181"/>
    </row>
    <row r="107" spans="1:20" ht="15.6" thickTop="1" thickBot="1">
      <c r="A107" s="73"/>
      <c r="B107" s="380"/>
      <c r="C107" s="16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68"/>
      <c r="T107" s="184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78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79"/>
    </row>
    <row r="109" spans="1:20" ht="15.6" thickTop="1" thickBot="1">
      <c r="A109" s="73"/>
      <c r="B109" s="380"/>
      <c r="C109" s="180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81"/>
    </row>
    <row r="110" spans="1:20" ht="15.6" thickTop="1" thickBot="1">
      <c r="A110" s="73"/>
      <c r="B110" s="380"/>
      <c r="C110" s="180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81"/>
    </row>
    <row r="111" spans="1:20" ht="15.6" thickTop="1" thickBot="1">
      <c r="A111" s="73"/>
      <c r="B111" s="380"/>
      <c r="C111" s="182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81"/>
    </row>
    <row r="112" spans="1:20" ht="15.6" thickTop="1" thickBot="1">
      <c r="A112" s="73"/>
      <c r="B112" s="380"/>
      <c r="C112" s="182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81"/>
    </row>
    <row r="113" spans="1:22" ht="15.6" thickTop="1" thickBot="1">
      <c r="A113" s="73"/>
      <c r="B113" s="380"/>
      <c r="C113" s="182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81"/>
    </row>
    <row r="114" spans="1:22" ht="15.6" thickTop="1" thickBot="1">
      <c r="A114" s="73"/>
      <c r="B114" s="380"/>
      <c r="C114" s="183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70"/>
      <c r="P114" s="171"/>
      <c r="Q114" s="181"/>
    </row>
    <row r="115" spans="1:22" ht="15.6" thickTop="1" thickBot="1">
      <c r="A115" s="73"/>
      <c r="B115" s="380"/>
      <c r="C115" s="16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68"/>
      <c r="S115" s="175"/>
      <c r="T115" s="184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--</v>
      </c>
      <c r="B116" s="380">
        <f ca="1">OFFSET('0'!$B$111,($A$1-1)*10,14)</f>
        <v>15</v>
      </c>
      <c r="C116" s="178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79"/>
    </row>
    <row r="117" spans="1:22" ht="15.6" thickTop="1" thickBot="1">
      <c r="A117" s="73"/>
      <c r="B117" s="380"/>
      <c r="C117" s="180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81"/>
    </row>
    <row r="118" spans="1:22" ht="15.6" thickTop="1" thickBot="1">
      <c r="A118" s="73"/>
      <c r="B118" s="380"/>
      <c r="C118" s="180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81"/>
      <c r="S118" s="175"/>
    </row>
    <row r="119" spans="1:22" ht="15.6" thickTop="1" thickBot="1">
      <c r="A119" s="73"/>
      <c r="B119" s="380"/>
      <c r="C119" s="182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81"/>
      <c r="S119" s="175"/>
    </row>
    <row r="120" spans="1:22" ht="15.6" thickTop="1" thickBot="1">
      <c r="A120" s="73"/>
      <c r="B120" s="380"/>
      <c r="C120" s="182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81"/>
      <c r="S120" s="175"/>
    </row>
    <row r="121" spans="1:22" ht="15.6" thickTop="1" thickBot="1">
      <c r="A121" s="73"/>
      <c r="B121" s="380"/>
      <c r="C121" s="182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81"/>
      <c r="S121" s="175"/>
    </row>
    <row r="122" spans="1:22" ht="15.6" thickTop="1" thickBot="1">
      <c r="A122" s="73"/>
      <c r="B122" s="380"/>
      <c r="C122" s="183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70"/>
      <c r="P122" s="171"/>
      <c r="Q122" s="181"/>
      <c r="S122" s="175"/>
    </row>
    <row r="123" spans="1:22" ht="15.6" thickTop="1" thickBot="1">
      <c r="A123" s="73"/>
      <c r="B123" s="380"/>
      <c r="C123" s="173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74"/>
      <c r="T123" s="184">
        <f>$V$3+L11+L19+L27+L35+L43+L51+L59+L67+L75+L83+L91+L99+L107+L115+L123</f>
        <v>11082547.809999999</v>
      </c>
      <c r="U123" s="175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78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79"/>
      <c r="V124" s="175"/>
    </row>
    <row r="125" spans="1:22" ht="15.6" thickTop="1" thickBot="1">
      <c r="A125" s="73"/>
      <c r="B125" s="380"/>
      <c r="C125" s="180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81"/>
    </row>
    <row r="126" spans="1:22" ht="15.6" thickTop="1" thickBot="1">
      <c r="A126" s="73"/>
      <c r="B126" s="380"/>
      <c r="C126" s="180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81"/>
    </row>
    <row r="127" spans="1:22" ht="15.6" thickTop="1" thickBot="1">
      <c r="A127" s="73"/>
      <c r="B127" s="380"/>
      <c r="C127" s="182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81"/>
    </row>
    <row r="128" spans="1:22" ht="15.6" thickTop="1" thickBot="1">
      <c r="A128" s="73"/>
      <c r="B128" s="380"/>
      <c r="C128" s="182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81"/>
    </row>
    <row r="129" spans="1:20" ht="15.6" thickTop="1" thickBot="1">
      <c r="A129" s="73"/>
      <c r="B129" s="380"/>
      <c r="C129" s="182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81"/>
    </row>
    <row r="130" spans="1:20" ht="15.6" thickTop="1" thickBot="1">
      <c r="A130" s="73"/>
      <c r="B130" s="380"/>
      <c r="C130" s="183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70"/>
      <c r="P130" s="171"/>
      <c r="Q130" s="181"/>
      <c r="S130" s="176"/>
    </row>
    <row r="131" spans="1:20" ht="15.6" thickTop="1" thickBot="1">
      <c r="A131" s="73"/>
      <c r="B131" s="380"/>
      <c r="C131" s="16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68"/>
      <c r="S131" s="175"/>
      <c r="T131" s="184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78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79"/>
    </row>
    <row r="133" spans="1:20" ht="15.6" thickTop="1" thickBot="1">
      <c r="A133" s="73"/>
      <c r="B133" s="380"/>
      <c r="C133" s="180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86"/>
    </row>
    <row r="134" spans="1:20" ht="15.6" thickTop="1" thickBot="1">
      <c r="A134" s="73"/>
      <c r="B134" s="380"/>
      <c r="C134" s="180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81"/>
    </row>
    <row r="135" spans="1:20" ht="15.6" thickTop="1" thickBot="1">
      <c r="A135" s="73"/>
      <c r="B135" s="380"/>
      <c r="C135" s="182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81"/>
    </row>
    <row r="136" spans="1:20" ht="15.6" thickTop="1" thickBot="1">
      <c r="A136" s="73"/>
      <c r="B136" s="380"/>
      <c r="C136" s="182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81"/>
    </row>
    <row r="137" spans="1:20" ht="15.6" thickTop="1" thickBot="1">
      <c r="A137" s="73"/>
      <c r="B137" s="380"/>
      <c r="C137" s="182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87"/>
    </row>
    <row r="138" spans="1:20" ht="15.6" thickTop="1" thickBot="1">
      <c r="A138" s="73"/>
      <c r="B138" s="380"/>
      <c r="C138" s="183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188"/>
      <c r="P138" s="189"/>
      <c r="Q138" s="187"/>
    </row>
    <row r="139" spans="1:20" ht="15.6" thickTop="1" thickBot="1">
      <c r="A139" s="73"/>
      <c r="B139" s="380"/>
      <c r="C139" s="16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68"/>
      <c r="T139" s="184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SS</v>
      </c>
      <c r="B140" s="380">
        <f ca="1">OFFSET('0'!$B$111,($A$1-1)*10,17)</f>
        <v>18</v>
      </c>
      <c r="C140" s="178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79"/>
    </row>
    <row r="141" spans="1:20" ht="15.6" thickTop="1" thickBot="1">
      <c r="A141" s="73"/>
      <c r="B141" s="380"/>
      <c r="C141" s="180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86"/>
    </row>
    <row r="142" spans="1:20" ht="15.6" thickTop="1" thickBot="1">
      <c r="A142" s="73"/>
      <c r="B142" s="380"/>
      <c r="C142" s="180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86"/>
    </row>
    <row r="143" spans="1:20" ht="15.6" thickTop="1" thickBot="1">
      <c r="A143" s="73"/>
      <c r="B143" s="380"/>
      <c r="C143" s="182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81"/>
    </row>
    <row r="144" spans="1:20" s="162" customFormat="1" ht="15.6" thickTop="1" thickBot="1">
      <c r="A144" s="74"/>
      <c r="B144" s="380"/>
      <c r="C144" s="182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81"/>
    </row>
    <row r="145" spans="1:20" s="162" customFormat="1" ht="15.6" thickTop="1" thickBot="1">
      <c r="A145" s="74"/>
      <c r="B145" s="380"/>
      <c r="C145" s="182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81"/>
    </row>
    <row r="146" spans="1:20" ht="15.6" thickTop="1" thickBot="1">
      <c r="A146" s="73"/>
      <c r="B146" s="380"/>
      <c r="C146" s="183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70"/>
      <c r="P146" s="171"/>
      <c r="Q146" s="181"/>
    </row>
    <row r="147" spans="1:20" ht="15.6" thickTop="1" thickBot="1">
      <c r="A147" s="73"/>
      <c r="B147" s="380"/>
      <c r="C147" s="16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68"/>
      <c r="T147" s="184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SK</v>
      </c>
      <c r="B148" s="380">
        <f ca="1">OFFSET('0'!$B$111,($A$1-1)*10,18)</f>
        <v>19</v>
      </c>
      <c r="C148" s="178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79"/>
    </row>
    <row r="149" spans="1:20" s="162" customFormat="1" ht="15.6" thickTop="1" thickBot="1">
      <c r="A149" s="74"/>
      <c r="B149" s="380"/>
      <c r="C149" s="180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86"/>
    </row>
    <row r="150" spans="1:20" ht="15.6" thickTop="1" thickBot="1">
      <c r="A150" s="73"/>
      <c r="B150" s="380"/>
      <c r="C150" s="180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86"/>
    </row>
    <row r="151" spans="1:20" ht="15.6" thickTop="1" thickBot="1">
      <c r="A151" s="73"/>
      <c r="B151" s="380"/>
      <c r="C151" s="182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81"/>
    </row>
    <row r="152" spans="1:20" ht="15.6" thickTop="1" thickBot="1">
      <c r="A152" s="73"/>
      <c r="B152" s="380"/>
      <c r="C152" s="182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81"/>
    </row>
    <row r="153" spans="1:20" ht="15.6" thickTop="1" thickBot="1">
      <c r="A153" s="73"/>
      <c r="B153" s="380"/>
      <c r="C153" s="182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81"/>
    </row>
    <row r="154" spans="1:20" ht="15.6" thickTop="1" thickBot="1">
      <c r="A154" s="73"/>
      <c r="B154" s="380"/>
      <c r="C154" s="183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70"/>
      <c r="P154" s="171"/>
      <c r="Q154" s="181"/>
    </row>
    <row r="155" spans="1:20" ht="15.6" thickTop="1" thickBot="1">
      <c r="A155" s="73"/>
      <c r="B155" s="380"/>
      <c r="C155" s="16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68"/>
      <c r="T155" s="184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--</v>
      </c>
      <c r="B156" s="380">
        <f ca="1">OFFSET('0'!$B$111,($A$1-1)*10,19)</f>
        <v>20</v>
      </c>
      <c r="C156" s="178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79"/>
    </row>
    <row r="157" spans="1:20" ht="15.6" thickTop="1" thickBot="1">
      <c r="A157" s="73"/>
      <c r="B157" s="380"/>
      <c r="C157" s="180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86"/>
    </row>
    <row r="158" spans="1:20" s="162" customFormat="1" ht="15.6" thickTop="1" thickBot="1">
      <c r="A158" s="74"/>
      <c r="B158" s="380"/>
      <c r="C158" s="180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86"/>
    </row>
    <row r="159" spans="1:20" ht="15.6" thickTop="1" thickBot="1">
      <c r="A159" s="73"/>
      <c r="B159" s="380"/>
      <c r="C159" s="182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81"/>
    </row>
    <row r="160" spans="1:20" ht="15.6" thickTop="1" thickBot="1">
      <c r="A160" s="73"/>
      <c r="B160" s="380"/>
      <c r="C160" s="182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81"/>
    </row>
    <row r="161" spans="1:20" ht="15.6" thickTop="1" thickBot="1">
      <c r="A161" s="73"/>
      <c r="B161" s="380"/>
      <c r="C161" s="182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81"/>
    </row>
    <row r="162" spans="1:20" ht="15.6" thickTop="1" thickBot="1">
      <c r="A162" s="73"/>
      <c r="B162" s="380"/>
      <c r="C162" s="183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70"/>
      <c r="P162" s="171"/>
      <c r="Q162" s="181"/>
    </row>
    <row r="163" spans="1:20" ht="15.6" thickTop="1" thickBot="1">
      <c r="A163" s="73"/>
      <c r="B163" s="380"/>
      <c r="C163" s="16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68"/>
      <c r="T163" s="184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78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79"/>
    </row>
    <row r="165" spans="1:20" ht="15.6" thickTop="1" thickBot="1">
      <c r="A165" s="73"/>
      <c r="B165" s="380"/>
      <c r="C165" s="180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86"/>
    </row>
    <row r="166" spans="1:20" s="162" customFormat="1" ht="15.6" thickTop="1" thickBot="1">
      <c r="A166" s="74"/>
      <c r="B166" s="380"/>
      <c r="C166" s="180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86"/>
    </row>
    <row r="167" spans="1:20" ht="15.6" thickTop="1" thickBot="1">
      <c r="A167" s="73"/>
      <c r="B167" s="380"/>
      <c r="C167" s="182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81"/>
    </row>
    <row r="168" spans="1:20" ht="15.6" thickTop="1" thickBot="1">
      <c r="A168" s="73"/>
      <c r="B168" s="380"/>
      <c r="C168" s="182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81"/>
    </row>
    <row r="169" spans="1:20" ht="15.6" thickTop="1" thickBot="1">
      <c r="A169" s="73"/>
      <c r="B169" s="380"/>
      <c r="C169" s="182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81"/>
    </row>
    <row r="170" spans="1:20" ht="15.6" thickTop="1" thickBot="1">
      <c r="A170" s="73"/>
      <c r="B170" s="380"/>
      <c r="C170" s="183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70"/>
      <c r="P170" s="171"/>
      <c r="Q170" s="181"/>
    </row>
    <row r="171" spans="1:20" ht="15.6" thickTop="1" thickBot="1">
      <c r="A171" s="73"/>
      <c r="B171" s="380"/>
      <c r="C171" s="16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68"/>
      <c r="T171" s="184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78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79"/>
    </row>
    <row r="173" spans="1:20" ht="15.6" thickTop="1" thickBot="1">
      <c r="A173" s="73"/>
      <c r="B173" s="380"/>
      <c r="C173" s="180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81"/>
    </row>
    <row r="174" spans="1:20" s="162" customFormat="1" ht="15.6" thickTop="1" thickBot="1">
      <c r="A174" s="74"/>
      <c r="B174" s="380"/>
      <c r="C174" s="180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81"/>
    </row>
    <row r="175" spans="1:20" ht="15.6" thickTop="1" thickBot="1">
      <c r="A175" s="73"/>
      <c r="B175" s="380"/>
      <c r="C175" s="182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81"/>
    </row>
    <row r="176" spans="1:20" ht="15.6" thickTop="1" thickBot="1">
      <c r="A176" s="73"/>
      <c r="B176" s="380"/>
      <c r="C176" s="182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81"/>
    </row>
    <row r="177" spans="1:20" ht="15.6" thickTop="1" thickBot="1">
      <c r="A177" s="73"/>
      <c r="B177" s="380"/>
      <c r="C177" s="182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81"/>
    </row>
    <row r="178" spans="1:20" ht="15.6" thickTop="1" thickBot="1">
      <c r="A178" s="73"/>
      <c r="B178" s="380"/>
      <c r="C178" s="183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70"/>
      <c r="P178" s="171"/>
      <c r="Q178" s="181"/>
    </row>
    <row r="179" spans="1:20" ht="15.6" thickTop="1" thickBot="1">
      <c r="A179" s="73"/>
      <c r="B179" s="380"/>
      <c r="C179" s="16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68"/>
      <c r="T179" s="184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78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79"/>
    </row>
    <row r="181" spans="1:20" s="162" customFormat="1" ht="15.6" thickTop="1" thickBot="1">
      <c r="A181" s="74"/>
      <c r="B181" s="380"/>
      <c r="C181" s="180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86"/>
    </row>
    <row r="182" spans="1:20" ht="15.6" thickTop="1" thickBot="1">
      <c r="A182" s="73"/>
      <c r="B182" s="380"/>
      <c r="C182" s="180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81"/>
    </row>
    <row r="183" spans="1:20" ht="15.6" thickTop="1" thickBot="1">
      <c r="A183" s="73"/>
      <c r="B183" s="380"/>
      <c r="C183" s="182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81"/>
    </row>
    <row r="184" spans="1:20" ht="15.6" thickTop="1" thickBot="1">
      <c r="A184" s="73"/>
      <c r="B184" s="380"/>
      <c r="C184" s="182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81"/>
    </row>
    <row r="185" spans="1:20" ht="15.6" thickTop="1" thickBot="1">
      <c r="A185" s="73"/>
      <c r="B185" s="380"/>
      <c r="C185" s="182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81"/>
    </row>
    <row r="186" spans="1:20" ht="15.6" thickTop="1" thickBot="1">
      <c r="A186" s="73"/>
      <c r="B186" s="380"/>
      <c r="C186" s="183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70"/>
      <c r="P186" s="171"/>
      <c r="Q186" s="181"/>
    </row>
    <row r="187" spans="1:20" ht="15.6" thickTop="1" thickBot="1">
      <c r="A187" s="73"/>
      <c r="B187" s="380"/>
      <c r="C187" s="16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68"/>
      <c r="T187" s="184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78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79"/>
    </row>
    <row r="189" spans="1:20" ht="15.6" thickTop="1" thickBot="1">
      <c r="A189" s="73"/>
      <c r="B189" s="380"/>
      <c r="C189" s="180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81"/>
    </row>
    <row r="190" spans="1:20" s="162" customFormat="1" ht="15.6" thickTop="1" thickBot="1">
      <c r="A190" s="74"/>
      <c r="B190" s="380"/>
      <c r="C190" s="180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81"/>
    </row>
    <row r="191" spans="1:20" ht="15.6" thickTop="1" thickBot="1">
      <c r="A191" s="73"/>
      <c r="B191" s="380"/>
      <c r="C191" s="182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81"/>
    </row>
    <row r="192" spans="1:20" ht="15.6" thickTop="1" thickBot="1">
      <c r="A192" s="73"/>
      <c r="B192" s="380"/>
      <c r="C192" s="182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81"/>
    </row>
    <row r="193" spans="1:20" ht="15.6" thickTop="1" thickBot="1">
      <c r="A193" s="73"/>
      <c r="B193" s="380"/>
      <c r="C193" s="182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81"/>
    </row>
    <row r="194" spans="1:20" ht="15.6" thickTop="1" thickBot="1">
      <c r="A194" s="73"/>
      <c r="B194" s="380"/>
      <c r="C194" s="183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70"/>
      <c r="P194" s="171"/>
      <c r="Q194" s="181"/>
    </row>
    <row r="195" spans="1:20" ht="15.6" thickTop="1" thickBot="1">
      <c r="A195" s="73"/>
      <c r="B195" s="380"/>
      <c r="C195" s="16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68"/>
      <c r="T195" s="184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SS</v>
      </c>
      <c r="B196" s="380">
        <f ca="1">OFFSET('0'!$B$111,($A$1-1)*10,24)</f>
        <v>25</v>
      </c>
      <c r="C196" s="178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79"/>
    </row>
    <row r="197" spans="1:20" ht="15.6" thickTop="1" thickBot="1">
      <c r="A197" s="73"/>
      <c r="B197" s="380"/>
      <c r="C197" s="180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81"/>
    </row>
    <row r="198" spans="1:20" ht="15.6" thickTop="1" thickBot="1">
      <c r="A198" s="73"/>
      <c r="B198" s="380"/>
      <c r="C198" s="180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81"/>
    </row>
    <row r="199" spans="1:20" ht="15.6" thickTop="1" thickBot="1">
      <c r="A199" s="73"/>
      <c r="B199" s="380"/>
      <c r="C199" s="182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81"/>
    </row>
    <row r="200" spans="1:20" ht="15.6" thickTop="1" thickBot="1">
      <c r="A200" s="73"/>
      <c r="B200" s="380"/>
      <c r="C200" s="182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81"/>
    </row>
    <row r="201" spans="1:20" ht="15.6" thickTop="1" thickBot="1">
      <c r="A201" s="73"/>
      <c r="B201" s="380"/>
      <c r="C201" s="182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81"/>
    </row>
    <row r="202" spans="1:20" ht="15.6" thickTop="1" thickBot="1">
      <c r="A202" s="73"/>
      <c r="B202" s="380"/>
      <c r="C202" s="177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70"/>
      <c r="P202" s="171"/>
      <c r="Q202" s="181"/>
    </row>
    <row r="203" spans="1:20" ht="15.6" thickTop="1" thickBot="1">
      <c r="A203" s="73"/>
      <c r="B203" s="380"/>
      <c r="C203" s="16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68"/>
      <c r="T203" s="184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SK</v>
      </c>
      <c r="B204" s="380">
        <f ca="1">OFFSET('0'!$B$111,($A$1-1)*10,25)</f>
        <v>26</v>
      </c>
      <c r="C204" s="178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79"/>
    </row>
    <row r="205" spans="1:20" s="162" customFormat="1" ht="15.6" thickTop="1" thickBot="1">
      <c r="A205" s="74"/>
      <c r="B205" s="380"/>
      <c r="C205" s="180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86"/>
    </row>
    <row r="206" spans="1:20" ht="15.6" thickTop="1" thickBot="1">
      <c r="A206" s="73"/>
      <c r="B206" s="380"/>
      <c r="C206" s="180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81"/>
    </row>
    <row r="207" spans="1:20" ht="15.6" thickTop="1" thickBot="1">
      <c r="A207" s="73"/>
      <c r="B207" s="380"/>
      <c r="C207" s="182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81"/>
    </row>
    <row r="208" spans="1:20" ht="15.6" thickTop="1" thickBot="1">
      <c r="A208" s="73"/>
      <c r="B208" s="380"/>
      <c r="C208" s="182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81"/>
    </row>
    <row r="209" spans="1:20" ht="15.6" thickTop="1" thickBot="1">
      <c r="A209" s="73"/>
      <c r="B209" s="380"/>
      <c r="C209" s="182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81"/>
    </row>
    <row r="210" spans="1:20" ht="15.6" thickTop="1" thickBot="1">
      <c r="A210" s="73"/>
      <c r="B210" s="380"/>
      <c r="C210" s="177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70"/>
      <c r="P210" s="171"/>
      <c r="Q210" s="181"/>
    </row>
    <row r="211" spans="1:20" ht="15.6" thickTop="1" thickBot="1">
      <c r="A211" s="73"/>
      <c r="B211" s="380"/>
      <c r="C211" s="16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68"/>
      <c r="T211" s="184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--</v>
      </c>
      <c r="B212" s="380">
        <f ca="1">OFFSET('0'!$B$111,($A$1-1)*10,26)</f>
        <v>27</v>
      </c>
      <c r="C212" s="178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79"/>
    </row>
    <row r="213" spans="1:20" ht="15.6" thickTop="1" thickBot="1">
      <c r="A213" s="73"/>
      <c r="B213" s="380"/>
      <c r="C213" s="180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78"/>
        <v>0</v>
      </c>
      <c r="O213" s="269"/>
      <c r="P213" s="290"/>
      <c r="Q213" s="181"/>
    </row>
    <row r="214" spans="1:20" s="162" customFormat="1" ht="15.6" thickTop="1" thickBot="1">
      <c r="A214" s="74"/>
      <c r="B214" s="380"/>
      <c r="C214" s="180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81"/>
    </row>
    <row r="215" spans="1:20" s="162" customFormat="1" ht="15.6" thickTop="1" thickBot="1">
      <c r="A215" s="74"/>
      <c r="B215" s="380"/>
      <c r="C215" s="182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81"/>
    </row>
    <row r="216" spans="1:20" ht="15.6" thickTop="1" thickBot="1">
      <c r="A216" s="73"/>
      <c r="B216" s="380"/>
      <c r="C216" s="182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81"/>
    </row>
    <row r="217" spans="1:20" ht="15.6" thickTop="1" thickBot="1">
      <c r="A217" s="73"/>
      <c r="B217" s="380"/>
      <c r="C217" s="182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81"/>
    </row>
    <row r="218" spans="1:20" ht="15.6" thickTop="1" thickBot="1">
      <c r="A218" s="73"/>
      <c r="B218" s="380"/>
      <c r="C218" s="177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70"/>
      <c r="P218" s="171"/>
      <c r="Q218" s="181"/>
    </row>
    <row r="219" spans="1:20" ht="15.6" thickTop="1" thickBot="1">
      <c r="A219" s="73"/>
      <c r="B219" s="380"/>
      <c r="C219" s="167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68"/>
      <c r="T219" s="184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--</v>
      </c>
      <c r="B220" s="380">
        <f ca="1">OFFSET('0'!$B$111,($A$1-1)*10,27)</f>
        <v>28</v>
      </c>
      <c r="C220" s="178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79"/>
    </row>
    <row r="221" spans="1:20" s="162" customFormat="1" ht="15.6" thickTop="1" thickBot="1">
      <c r="A221" s="74"/>
      <c r="B221" s="380"/>
      <c r="C221" s="180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86"/>
    </row>
    <row r="222" spans="1:20" ht="15.6" thickTop="1" thickBot="1">
      <c r="A222" s="73"/>
      <c r="B222" s="380"/>
      <c r="C222" s="180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81"/>
    </row>
    <row r="223" spans="1:20" s="162" customFormat="1" ht="15.6" thickTop="1" thickBot="1">
      <c r="A223" s="74"/>
      <c r="B223" s="380"/>
      <c r="C223" s="182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81"/>
    </row>
    <row r="224" spans="1:20" ht="15.6" thickTop="1" thickBot="1">
      <c r="A224" s="73"/>
      <c r="B224" s="380"/>
      <c r="C224" s="182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81"/>
    </row>
    <row r="225" spans="1:20" ht="15.6" thickTop="1" thickBot="1">
      <c r="A225" s="73"/>
      <c r="B225" s="380"/>
      <c r="C225" s="182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81"/>
    </row>
    <row r="226" spans="1:20" ht="15.6" thickTop="1" thickBot="1">
      <c r="A226" s="73"/>
      <c r="B226" s="380"/>
      <c r="C226" s="177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70"/>
      <c r="P226" s="171"/>
      <c r="Q226" s="181"/>
    </row>
    <row r="227" spans="1:20" ht="15.6" thickTop="1" thickBot="1">
      <c r="A227" s="73"/>
      <c r="B227" s="380"/>
      <c r="C227" s="167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68"/>
      <c r="T227" s="184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78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79"/>
    </row>
    <row r="229" spans="1:20" ht="15.6" thickTop="1" thickBot="1">
      <c r="A229" s="73"/>
      <c r="B229" s="380"/>
      <c r="C229" s="180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86"/>
    </row>
    <row r="230" spans="1:20" ht="15.6" thickTop="1" thickBot="1">
      <c r="A230" s="73"/>
      <c r="B230" s="380"/>
      <c r="C230" s="180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81"/>
    </row>
    <row r="231" spans="1:20" s="162" customFormat="1" ht="15.6" thickTop="1" thickBot="1">
      <c r="A231" s="74"/>
      <c r="B231" s="380"/>
      <c r="C231" s="182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81"/>
    </row>
    <row r="232" spans="1:20" s="162" customFormat="1" ht="15.6" thickTop="1" thickBot="1">
      <c r="A232" s="74"/>
      <c r="B232" s="380"/>
      <c r="C232" s="182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81"/>
    </row>
    <row r="233" spans="1:20" ht="15.6" thickTop="1" thickBot="1">
      <c r="A233" s="73"/>
      <c r="B233" s="380"/>
      <c r="C233" s="182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81"/>
    </row>
    <row r="234" spans="1:20" ht="15.6" thickTop="1" thickBot="1">
      <c r="A234" s="73"/>
      <c r="B234" s="380"/>
      <c r="C234" s="177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70"/>
      <c r="P234" s="171"/>
      <c r="Q234" s="181"/>
    </row>
    <row r="235" spans="1:20" ht="15.6" thickTop="1" thickBot="1">
      <c r="A235" s="73"/>
      <c r="B235" s="380"/>
      <c r="C235" s="167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68"/>
      <c r="T235" s="184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78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79"/>
    </row>
    <row r="237" spans="1:20" ht="15.6" thickTop="1" thickBot="1">
      <c r="A237" s="73"/>
      <c r="B237" s="380"/>
      <c r="C237" s="180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86"/>
    </row>
    <row r="238" spans="1:20" s="162" customFormat="1" ht="15.6" thickTop="1" thickBot="1">
      <c r="A238" s="74"/>
      <c r="B238" s="380"/>
      <c r="C238" s="180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86"/>
    </row>
    <row r="239" spans="1:20" s="162" customFormat="1" ht="15.6" thickTop="1" thickBot="1">
      <c r="A239" s="74"/>
      <c r="B239" s="380"/>
      <c r="C239" s="182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86"/>
    </row>
    <row r="240" spans="1:20" ht="15.6" thickTop="1" thickBot="1">
      <c r="A240" s="73"/>
      <c r="B240" s="380"/>
      <c r="C240" s="182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81"/>
    </row>
    <row r="241" spans="1:20" ht="15.6" thickTop="1" thickBot="1">
      <c r="A241" s="73"/>
      <c r="B241" s="380"/>
      <c r="C241" s="182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81"/>
    </row>
    <row r="242" spans="1:20" ht="15.6" thickTop="1" thickBot="1">
      <c r="A242" s="73"/>
      <c r="B242" s="380"/>
      <c r="C242" s="177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70"/>
      <c r="P242" s="171"/>
      <c r="Q242" s="181"/>
    </row>
    <row r="243" spans="1:20" ht="15.6" thickTop="1" thickBot="1">
      <c r="A243" s="73"/>
      <c r="B243" s="380"/>
      <c r="C243" s="167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68"/>
      <c r="T243" s="184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str">
        <f ca="1">OFFSET('0'!$B$112,($A$1-1)*10,$B244-1)</f>
        <v>--</v>
      </c>
      <c r="B244" s="380">
        <f ca="1">OFFSET('0'!$B$111,($A$1-1)*10,30)</f>
        <v>31</v>
      </c>
      <c r="C244" s="178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79"/>
    </row>
    <row r="245" spans="1:20" s="162" customFormat="1" ht="15.6" thickTop="1" thickBot="1">
      <c r="A245" s="74"/>
      <c r="B245" s="380"/>
      <c r="C245" s="180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90"/>
        <v>0</v>
      </c>
      <c r="O245" s="269"/>
      <c r="P245" s="296"/>
      <c r="Q245" s="186"/>
    </row>
    <row r="246" spans="1:20" s="162" customFormat="1" ht="15.6" thickTop="1" thickBot="1">
      <c r="A246" s="74"/>
      <c r="B246" s="380"/>
      <c r="C246" s="180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91">SUM(D246-E246)</f>
        <v>0</v>
      </c>
      <c r="N246" s="269">
        <f t="shared" si="90"/>
        <v>0</v>
      </c>
      <c r="O246" s="269"/>
      <c r="P246" s="294"/>
      <c r="Q246" s="186"/>
    </row>
    <row r="247" spans="1:20" s="162" customFormat="1" ht="15.6" thickTop="1" thickBot="1">
      <c r="A247" s="74"/>
      <c r="B247" s="380"/>
      <c r="C247" s="182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91"/>
        <v>0</v>
      </c>
      <c r="N247" s="269">
        <f t="shared" si="90"/>
        <v>0</v>
      </c>
      <c r="O247" s="269"/>
      <c r="P247" s="294"/>
      <c r="Q247" s="186"/>
    </row>
    <row r="248" spans="1:20" ht="15.6" thickTop="1" thickBot="1">
      <c r="A248" s="73"/>
      <c r="B248" s="380"/>
      <c r="C248" s="182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1"/>
        <v>0</v>
      </c>
      <c r="N248" s="269">
        <f t="shared" si="90"/>
        <v>0</v>
      </c>
      <c r="O248" s="269"/>
      <c r="P248" s="290"/>
      <c r="Q248" s="181"/>
    </row>
    <row r="249" spans="1:20" ht="15.6" thickTop="1" thickBot="1">
      <c r="A249" s="73"/>
      <c r="B249" s="380"/>
      <c r="C249" s="182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1"/>
        <v>0</v>
      </c>
      <c r="N249" s="269">
        <f t="shared" si="90"/>
        <v>0</v>
      </c>
      <c r="O249" s="269"/>
      <c r="P249" s="290"/>
      <c r="Q249" s="181"/>
    </row>
    <row r="250" spans="1:20" ht="15.6" thickTop="1" thickBot="1">
      <c r="A250" s="73"/>
      <c r="B250" s="380"/>
      <c r="C250" s="177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70"/>
      <c r="P250" s="171"/>
      <c r="Q250" s="181"/>
    </row>
    <row r="251" spans="1:20" ht="15.6" thickTop="1" thickBot="1">
      <c r="A251" s="73"/>
      <c r="B251" s="380"/>
      <c r="C251" s="167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68"/>
      <c r="T251" s="184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69" t="s">
        <v>31</v>
      </c>
      <c r="D253" s="117">
        <f t="shared" ref="D253:P253" si="93">SUM(D250,D242,D234,D226,D218,D210,D202,D194,D186,D178,D170,D162,D154,D146,D138,D130,D122,D114,D106,D98,D90,D82,D74,D66,D58,D50,D42,D34,D26,D18,D10)</f>
        <v>0</v>
      </c>
      <c r="E253" s="298">
        <f t="shared" si="93"/>
        <v>0</v>
      </c>
      <c r="F253" s="299">
        <f t="shared" si="93"/>
        <v>0</v>
      </c>
      <c r="G253" s="299">
        <f t="shared" si="93"/>
        <v>0</v>
      </c>
      <c r="H253" s="299">
        <f t="shared" si="93"/>
        <v>0</v>
      </c>
      <c r="I253" s="299">
        <f t="shared" si="93"/>
        <v>0</v>
      </c>
      <c r="J253" s="299">
        <f t="shared" si="93"/>
        <v>0</v>
      </c>
      <c r="K253" s="299">
        <f t="shared" si="93"/>
        <v>0</v>
      </c>
      <c r="L253" s="300">
        <f t="shared" si="93"/>
        <v>0</v>
      </c>
      <c r="M253" s="298">
        <f t="shared" si="93"/>
        <v>0</v>
      </c>
      <c r="N253" s="117">
        <f t="shared" si="93"/>
        <v>0</v>
      </c>
      <c r="O253" s="117">
        <f t="shared" si="93"/>
        <v>0</v>
      </c>
      <c r="P253" s="117">
        <f t="shared" si="93"/>
        <v>0</v>
      </c>
    </row>
    <row r="254" spans="1:20">
      <c r="C254" s="169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128" priority="32">
      <formula>$A12&lt;&gt;"--"</formula>
    </cfRule>
  </conditionalFormatting>
  <conditionalFormatting sqref="B20:B27">
    <cfRule type="expression" dxfId="127" priority="31">
      <formula>$A20&lt;&gt;"--"</formula>
    </cfRule>
  </conditionalFormatting>
  <conditionalFormatting sqref="B28:B35">
    <cfRule type="expression" dxfId="126" priority="30">
      <formula>$A28&lt;&gt;"--"</formula>
    </cfRule>
  </conditionalFormatting>
  <conditionalFormatting sqref="B36:B43">
    <cfRule type="expression" dxfId="125" priority="29">
      <formula>$A36&lt;&gt;"--"</formula>
    </cfRule>
  </conditionalFormatting>
  <conditionalFormatting sqref="B44:B51">
    <cfRule type="expression" dxfId="124" priority="28">
      <formula>$A44&lt;&gt;"--"</formula>
    </cfRule>
  </conditionalFormatting>
  <conditionalFormatting sqref="B52:B59">
    <cfRule type="expression" dxfId="123" priority="27">
      <formula>$A52&lt;&gt;"--"</formula>
    </cfRule>
  </conditionalFormatting>
  <conditionalFormatting sqref="B60:B67">
    <cfRule type="expression" dxfId="122" priority="26">
      <formula>$A60&lt;&gt;"--"</formula>
    </cfRule>
  </conditionalFormatting>
  <conditionalFormatting sqref="B68:B75">
    <cfRule type="expression" dxfId="121" priority="25">
      <formula>$A68&lt;&gt;"--"</formula>
    </cfRule>
  </conditionalFormatting>
  <conditionalFormatting sqref="B76:B83">
    <cfRule type="expression" dxfId="120" priority="24">
      <formula>$A76&lt;&gt;"--"</formula>
    </cfRule>
  </conditionalFormatting>
  <conditionalFormatting sqref="B84:B91">
    <cfRule type="expression" dxfId="119" priority="23">
      <formula>$A84&lt;&gt;"--"</formula>
    </cfRule>
  </conditionalFormatting>
  <conditionalFormatting sqref="B92:B99">
    <cfRule type="expression" dxfId="118" priority="22">
      <formula>$A92&lt;&gt;"--"</formula>
    </cfRule>
  </conditionalFormatting>
  <conditionalFormatting sqref="B100:B107">
    <cfRule type="expression" dxfId="117" priority="21">
      <formula>$A100&lt;&gt;"--"</formula>
    </cfRule>
  </conditionalFormatting>
  <conditionalFormatting sqref="B108:B115">
    <cfRule type="expression" dxfId="116" priority="20">
      <formula>$A108&lt;&gt;"--"</formula>
    </cfRule>
  </conditionalFormatting>
  <conditionalFormatting sqref="B116:B123">
    <cfRule type="expression" dxfId="115" priority="19">
      <formula>$A116&lt;&gt;"--"</formula>
    </cfRule>
  </conditionalFormatting>
  <conditionalFormatting sqref="B124:B131">
    <cfRule type="expression" dxfId="114" priority="18">
      <formula>$A124&lt;&gt;"--"</formula>
    </cfRule>
  </conditionalFormatting>
  <conditionalFormatting sqref="B132:B139">
    <cfRule type="expression" dxfId="113" priority="17">
      <formula>$A132&lt;&gt;"--"</formula>
    </cfRule>
  </conditionalFormatting>
  <conditionalFormatting sqref="B140:B147">
    <cfRule type="expression" dxfId="112" priority="16">
      <formula>$A140&lt;&gt;"--"</formula>
    </cfRule>
  </conditionalFormatting>
  <conditionalFormatting sqref="B148:B155">
    <cfRule type="expression" dxfId="111" priority="15">
      <formula>$A148&lt;&gt;"--"</formula>
    </cfRule>
  </conditionalFormatting>
  <conditionalFormatting sqref="B156:B163">
    <cfRule type="expression" dxfId="110" priority="14">
      <formula>$A156&lt;&gt;"--"</formula>
    </cfRule>
  </conditionalFormatting>
  <conditionalFormatting sqref="B164:B171">
    <cfRule type="expression" dxfId="109" priority="13">
      <formula>$A164&lt;&gt;"--"</formula>
    </cfRule>
  </conditionalFormatting>
  <conditionalFormatting sqref="B172:B179">
    <cfRule type="expression" dxfId="108" priority="12">
      <formula>$A172&lt;&gt;"--"</formula>
    </cfRule>
  </conditionalFormatting>
  <conditionalFormatting sqref="B180:B187">
    <cfRule type="expression" dxfId="107" priority="11">
      <formula>$A180&lt;&gt;"--"</formula>
    </cfRule>
  </conditionalFormatting>
  <conditionalFormatting sqref="B188:B195">
    <cfRule type="expression" dxfId="106" priority="10">
      <formula>$A188&lt;&gt;"--"</formula>
    </cfRule>
  </conditionalFormatting>
  <conditionalFormatting sqref="B196:B203">
    <cfRule type="expression" dxfId="105" priority="9">
      <formula>$A196&lt;&gt;"--"</formula>
    </cfRule>
  </conditionalFormatting>
  <conditionalFormatting sqref="B204:B211">
    <cfRule type="expression" dxfId="104" priority="8">
      <formula>$A204&lt;&gt;"--"</formula>
    </cfRule>
  </conditionalFormatting>
  <conditionalFormatting sqref="B212:B219">
    <cfRule type="expression" dxfId="103" priority="7">
      <formula>$A212&lt;&gt;"--"</formula>
    </cfRule>
  </conditionalFormatting>
  <conditionalFormatting sqref="B220:B227">
    <cfRule type="expression" dxfId="102" priority="6">
      <formula>$A220&lt;&gt;"--"</formula>
    </cfRule>
  </conditionalFormatting>
  <conditionalFormatting sqref="B228:B251">
    <cfRule type="expression" dxfId="101" priority="5">
      <formula>$A228&lt;&gt;"--"</formula>
    </cfRule>
  </conditionalFormatting>
  <conditionalFormatting sqref="B236:B243">
    <cfRule type="expression" dxfId="100" priority="4">
      <formula>$A236&lt;&gt;"--"</formula>
    </cfRule>
  </conditionalFormatting>
  <conditionalFormatting sqref="B244:B251">
    <cfRule type="expression" dxfId="99" priority="3">
      <formula>$A244&lt;&gt;"--"</formula>
    </cfRule>
  </conditionalFormatting>
  <conditionalFormatting sqref="B4:B11">
    <cfRule type="expression" dxfId="98" priority="2">
      <formula>$A4&lt;&gt;"--"</formula>
    </cfRule>
  </conditionalFormatting>
  <conditionalFormatting sqref="B228:B251">
    <cfRule type="cellIs" dxfId="97" priority="1" operator="lessThan">
      <formula>0</formula>
    </cfRule>
  </conditionalFormatting>
  <dataValidations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20:C25 C12:C17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V254"/>
  <sheetViews>
    <sheetView topLeftCell="K1" workbookViewId="0">
      <selection activeCell="U5" sqref="U5:V16"/>
    </sheetView>
  </sheetViews>
  <sheetFormatPr defaultColWidth="15.109375" defaultRowHeight="14.4"/>
  <cols>
    <col min="1" max="2" width="15.109375" style="161"/>
    <col min="3" max="3" width="22.109375" style="162" customWidth="1"/>
    <col min="4" max="11" width="15.1093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15.109375" style="161"/>
    <col min="20" max="20" width="26" style="162" customWidth="1"/>
    <col min="21" max="16384" width="15.109375" style="161"/>
  </cols>
  <sheetData>
    <row r="1" spans="1:22">
      <c r="A1" s="161">
        <v>11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metų'!V6:V15)</f>
        <v>11082547.809999999</v>
      </c>
    </row>
    <row r="4" spans="1:22" ht="16.5" customHeight="1" thickTop="1">
      <c r="A4" s="73" t="str">
        <f ca="1">OFFSET('0'!$B$112,($A$1-1)*10,$B4-1)</f>
        <v>SV</v>
      </c>
      <c r="B4" s="391">
        <f ca="1">OFFSET('0'!$B$111,($A$1-1)*10,0)</f>
        <v>1</v>
      </c>
      <c r="C4" s="178"/>
      <c r="D4" s="301"/>
      <c r="E4" s="302"/>
      <c r="F4" s="303"/>
      <c r="G4" s="303"/>
      <c r="H4" s="303"/>
      <c r="I4" s="303"/>
      <c r="J4" s="303"/>
      <c r="K4" s="303"/>
      <c r="L4" s="304"/>
      <c r="M4" s="302">
        <f>SUM(D4-E4)</f>
        <v>0</v>
      </c>
      <c r="N4" s="305">
        <f t="shared" ref="N4:N9" si="0">SUM(E4,M4)</f>
        <v>0</v>
      </c>
      <c r="O4" s="305"/>
      <c r="P4" s="306"/>
      <c r="Q4" s="179"/>
      <c r="T4" s="384"/>
    </row>
    <row r="5" spans="1:22">
      <c r="A5" s="73"/>
      <c r="B5" s="392"/>
      <c r="C5" s="180"/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81"/>
    </row>
    <row r="6" spans="1:22">
      <c r="A6" s="73"/>
      <c r="B6" s="392"/>
      <c r="C6" s="180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ref="M6:M9" si="1">SUM(D6-E6)</f>
        <v>0</v>
      </c>
      <c r="N6" s="269">
        <f t="shared" si="0"/>
        <v>0</v>
      </c>
      <c r="O6" s="269"/>
      <c r="P6" s="290"/>
      <c r="Q6" s="181"/>
      <c r="V6" s="86"/>
    </row>
    <row r="7" spans="1:22">
      <c r="A7" s="73"/>
      <c r="B7" s="392"/>
      <c r="C7" s="182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1"/>
        <v>0</v>
      </c>
      <c r="N7" s="269">
        <f t="shared" si="0"/>
        <v>0</v>
      </c>
      <c r="O7" s="269"/>
      <c r="P7" s="290"/>
      <c r="Q7" s="181"/>
      <c r="V7" s="86"/>
    </row>
    <row r="8" spans="1:22">
      <c r="A8" s="73"/>
      <c r="B8" s="392"/>
      <c r="C8" s="182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81"/>
      <c r="V8" s="86"/>
    </row>
    <row r="9" spans="1:22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81"/>
      <c r="V9" s="86"/>
    </row>
    <row r="10" spans="1:22" ht="15" thickBot="1">
      <c r="A10" s="73"/>
      <c r="B10" s="392"/>
      <c r="C10" s="183" t="s">
        <v>69</v>
      </c>
      <c r="D10" s="266">
        <f>SUM(D4:D9)</f>
        <v>0</v>
      </c>
      <c r="E10" s="267">
        <f>SUM(E4:E9)</f>
        <v>0</v>
      </c>
      <c r="F10" s="268">
        <f>SUM(F4:F9)</f>
        <v>0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68">
        <f t="shared" si="2"/>
        <v>0</v>
      </c>
      <c r="L10" s="273"/>
      <c r="M10" s="267">
        <f>SUM(M4:M9)</f>
        <v>0</v>
      </c>
      <c r="N10" s="269">
        <f>SUM(N4:N9)</f>
        <v>0</v>
      </c>
      <c r="O10" s="170"/>
      <c r="P10" s="171"/>
      <c r="Q10" s="181"/>
      <c r="V10" s="86"/>
    </row>
    <row r="11" spans="1:22" ht="15" thickBot="1">
      <c r="A11" s="73"/>
      <c r="B11" s="393"/>
      <c r="C11" s="16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68"/>
      <c r="T11" s="184">
        <f>$V$3+L11</f>
        <v>11082547.809999999</v>
      </c>
      <c r="V11" s="86"/>
    </row>
    <row r="12" spans="1:22" ht="15" thickTop="1">
      <c r="A12" s="73" t="str">
        <f ca="1">OFFSET('0'!$B$112,($A$1-1)*10,$B12-1)</f>
        <v>SV</v>
      </c>
      <c r="B12" s="391">
        <f ca="1">OFFSET('0'!$B$111,($A$1-1)*10,1)</f>
        <v>2</v>
      </c>
      <c r="C12" s="178"/>
      <c r="D12" s="284"/>
      <c r="E12" s="285"/>
      <c r="F12" s="286"/>
      <c r="G12" s="286"/>
      <c r="H12" s="286"/>
      <c r="I12" s="286"/>
      <c r="J12" s="286"/>
      <c r="K12" s="286"/>
      <c r="L12" s="295"/>
      <c r="M12" s="302">
        <f>SUM(D12-E12)</f>
        <v>0</v>
      </c>
      <c r="N12" s="305">
        <f t="shared" ref="N12:N17" si="3">SUM(E12,M12)</f>
        <v>0</v>
      </c>
      <c r="O12" s="305"/>
      <c r="P12" s="292"/>
      <c r="Q12" s="186"/>
      <c r="V12" s="86"/>
    </row>
    <row r="13" spans="1:22" ht="17.25" customHeight="1">
      <c r="A13" s="73"/>
      <c r="B13" s="392"/>
      <c r="C13" s="180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3"/>
        <v>0</v>
      </c>
      <c r="O13" s="269"/>
      <c r="P13" s="290"/>
      <c r="Q13" s="181"/>
      <c r="V13" s="86"/>
    </row>
    <row r="14" spans="1:22">
      <c r="A14" s="73"/>
      <c r="B14" s="392"/>
      <c r="C14" s="180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4">SUM(D14-E14)</f>
        <v>0</v>
      </c>
      <c r="N14" s="269">
        <f t="shared" si="3"/>
        <v>0</v>
      </c>
      <c r="O14" s="269"/>
      <c r="P14" s="290"/>
      <c r="Q14" s="181"/>
      <c r="V14" s="86"/>
    </row>
    <row r="15" spans="1:22">
      <c r="A15" s="73"/>
      <c r="B15" s="392"/>
      <c r="C15" s="182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4"/>
        <v>0</v>
      </c>
      <c r="N15" s="269">
        <f t="shared" si="3"/>
        <v>0</v>
      </c>
      <c r="O15" s="269"/>
      <c r="P15" s="290"/>
      <c r="Q15" s="181"/>
      <c r="V15" s="86"/>
    </row>
    <row r="16" spans="1:22">
      <c r="A16" s="73"/>
      <c r="B16" s="392"/>
      <c r="C16" s="182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 t="shared" si="4"/>
        <v>0</v>
      </c>
      <c r="N16" s="279">
        <f t="shared" si="3"/>
        <v>0</v>
      </c>
      <c r="O16" s="279"/>
      <c r="P16" s="292"/>
      <c r="Q16" s="187"/>
    </row>
    <row r="17" spans="1:22" ht="15" thickBot="1">
      <c r="A17" s="73"/>
      <c r="B17" s="392"/>
      <c r="C17" s="182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87"/>
      <c r="U17" s="83"/>
      <c r="V17" s="84"/>
    </row>
    <row r="18" spans="1:22" ht="15" thickBot="1">
      <c r="A18" s="73"/>
      <c r="B18" s="392"/>
      <c r="C18" s="183" t="s">
        <v>69</v>
      </c>
      <c r="D18" s="266">
        <f>SUM(D12:D17)</f>
        <v>0</v>
      </c>
      <c r="E18" s="267">
        <f>SUM(E12:E17)</f>
        <v>0</v>
      </c>
      <c r="F18" s="268">
        <f>SUM(F12:F17)</f>
        <v>0</v>
      </c>
      <c r="G18" s="268">
        <f t="shared" ref="G18:K18" si="5">SUM(G12:G17)</f>
        <v>0</v>
      </c>
      <c r="H18" s="268">
        <f t="shared" si="5"/>
        <v>0</v>
      </c>
      <c r="I18" s="268">
        <f t="shared" si="5"/>
        <v>0</v>
      </c>
      <c r="J18" s="268">
        <f t="shared" si="5"/>
        <v>0</v>
      </c>
      <c r="K18" s="268">
        <f t="shared" si="5"/>
        <v>0</v>
      </c>
      <c r="L18" s="273"/>
      <c r="M18" s="267">
        <f>SUM(M12:M17)</f>
        <v>0</v>
      </c>
      <c r="N18" s="280">
        <f>SUM(N12:N17)</f>
        <v>0</v>
      </c>
      <c r="O18" s="188"/>
      <c r="P18" s="189"/>
      <c r="Q18" s="187"/>
      <c r="U18" s="85"/>
      <c r="V18" s="85"/>
    </row>
    <row r="19" spans="1:22" ht="15" thickBot="1">
      <c r="A19" s="73"/>
      <c r="B19" s="393"/>
      <c r="C19" s="16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68"/>
      <c r="T19" s="184">
        <f>$V$3+L11+L19</f>
        <v>11082547.809999999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78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0</v>
      </c>
      <c r="O20" s="305"/>
      <c r="P20" s="306"/>
      <c r="Q20" s="179"/>
    </row>
    <row r="21" spans="1:22" ht="15.6" thickTop="1" thickBot="1">
      <c r="A21" s="73"/>
      <c r="B21" s="380"/>
      <c r="C21" s="180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81"/>
    </row>
    <row r="22" spans="1:22" ht="15.6" thickTop="1" thickBot="1">
      <c r="A22" s="73"/>
      <c r="B22" s="380"/>
      <c r="C22" s="180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81"/>
    </row>
    <row r="23" spans="1:22" ht="15.6" thickTop="1" thickBot="1">
      <c r="A23" s="73"/>
      <c r="B23" s="380"/>
      <c r="C23" s="182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81"/>
    </row>
    <row r="24" spans="1:22" ht="15.6" thickTop="1" thickBot="1">
      <c r="A24" s="73"/>
      <c r="B24" s="380"/>
      <c r="C24" s="182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87"/>
    </row>
    <row r="25" spans="1:22" ht="15.6" thickTop="1" thickBot="1">
      <c r="A25" s="73"/>
      <c r="B25" s="380"/>
      <c r="C25" s="182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87"/>
    </row>
    <row r="26" spans="1:22" ht="15.6" thickTop="1" thickBot="1">
      <c r="A26" s="73"/>
      <c r="B26" s="380"/>
      <c r="C26" s="183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0</v>
      </c>
      <c r="O26" s="188"/>
      <c r="P26" s="189"/>
      <c r="Q26" s="187"/>
    </row>
    <row r="27" spans="1:22" ht="15.6" thickTop="1" thickBot="1">
      <c r="A27" s="73"/>
      <c r="B27" s="380"/>
      <c r="C27" s="173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74"/>
      <c r="T27" s="184">
        <f>$V$3++L11+L19+L27</f>
        <v>11082547.809999999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78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79"/>
    </row>
    <row r="29" spans="1:22" ht="17.25" customHeight="1" thickTop="1" thickBot="1">
      <c r="A29" s="73"/>
      <c r="B29" s="380"/>
      <c r="C29" s="180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81"/>
    </row>
    <row r="30" spans="1:22" ht="17.25" customHeight="1" thickTop="1" thickBot="1">
      <c r="A30" s="73"/>
      <c r="B30" s="380"/>
      <c r="C30" s="180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81"/>
    </row>
    <row r="31" spans="1:22" ht="17.25" customHeight="1" thickTop="1" thickBot="1">
      <c r="A31" s="73"/>
      <c r="B31" s="380"/>
      <c r="C31" s="182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81"/>
    </row>
    <row r="32" spans="1:22" ht="15.6" thickTop="1" thickBot="1">
      <c r="A32" s="73"/>
      <c r="B32" s="380"/>
      <c r="C32" s="182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81"/>
    </row>
    <row r="33" spans="1:20" ht="15.6" thickTop="1" thickBot="1">
      <c r="A33" s="73"/>
      <c r="B33" s="380"/>
      <c r="C33" s="182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81"/>
    </row>
    <row r="34" spans="1:20" ht="15.6" thickTop="1" thickBot="1">
      <c r="A34" s="73"/>
      <c r="B34" s="380"/>
      <c r="C34" s="183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70"/>
      <c r="P34" s="171"/>
      <c r="Q34" s="181"/>
    </row>
    <row r="35" spans="1:20" ht="15.6" thickTop="1" thickBot="1">
      <c r="A35" s="73"/>
      <c r="B35" s="380"/>
      <c r="C35" s="16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68"/>
      <c r="T35" s="184">
        <f>$V$3+L11+L19+L27+L35</f>
        <v>11082547.809999999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78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79"/>
    </row>
    <row r="37" spans="1:20" ht="15.6" thickTop="1" thickBot="1">
      <c r="A37" s="73"/>
      <c r="B37" s="380"/>
      <c r="C37" s="180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81"/>
    </row>
    <row r="38" spans="1:20" ht="15.6" thickTop="1" thickBot="1">
      <c r="A38" s="73"/>
      <c r="B38" s="380"/>
      <c r="C38" s="180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81"/>
    </row>
    <row r="39" spans="1:20" ht="15.6" thickTop="1" thickBot="1">
      <c r="A39" s="73"/>
      <c r="B39" s="380"/>
      <c r="C39" s="182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81"/>
    </row>
    <row r="40" spans="1:20" ht="15.6" thickTop="1" thickBot="1">
      <c r="A40" s="73"/>
      <c r="B40" s="380"/>
      <c r="C40" s="182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81"/>
    </row>
    <row r="41" spans="1:20" ht="15.6" thickTop="1" thickBot="1">
      <c r="A41" s="73"/>
      <c r="B41" s="380"/>
      <c r="C41" s="182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81"/>
    </row>
    <row r="42" spans="1:20" ht="15.6" thickTop="1" thickBot="1">
      <c r="A42" s="73"/>
      <c r="B42" s="380"/>
      <c r="C42" s="183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172"/>
      <c r="P42" s="185"/>
      <c r="Q42" s="187"/>
    </row>
    <row r="43" spans="1:20" ht="15.6" thickTop="1" thickBot="1">
      <c r="A43" s="73"/>
      <c r="B43" s="380"/>
      <c r="C43" s="16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68"/>
      <c r="T43" s="184">
        <f>$V$3+L11+L19+L27+L35+L43</f>
        <v>11082547.809999999</v>
      </c>
    </row>
    <row r="44" spans="1:20" ht="15.6" thickTop="1" thickBot="1">
      <c r="A44" s="73" t="str">
        <f ca="1">OFFSET('0'!$B$112,($A$1-1)*10,$B44-1)</f>
        <v>--</v>
      </c>
      <c r="B44" s="380">
        <f ca="1">OFFSET('0'!$B$111,($A$1-1)*10,5)</f>
        <v>6</v>
      </c>
      <c r="C44" s="178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79"/>
    </row>
    <row r="45" spans="1:20" ht="15.6" thickTop="1" thickBot="1">
      <c r="A45" s="73"/>
      <c r="B45" s="380"/>
      <c r="C45" s="180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81"/>
    </row>
    <row r="46" spans="1:20" ht="15.6" thickTop="1" thickBot="1">
      <c r="A46" s="73"/>
      <c r="B46" s="380"/>
      <c r="C46" s="180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81"/>
    </row>
    <row r="47" spans="1:20" ht="15.6" thickTop="1" thickBot="1">
      <c r="A47" s="73"/>
      <c r="B47" s="380"/>
      <c r="C47" s="182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81"/>
    </row>
    <row r="48" spans="1:20" ht="15.6" thickTop="1" thickBot="1">
      <c r="A48" s="73"/>
      <c r="B48" s="380"/>
      <c r="C48" s="182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87"/>
    </row>
    <row r="49" spans="1:20" ht="15.6" thickTop="1" thickBot="1">
      <c r="A49" s="73"/>
      <c r="B49" s="380"/>
      <c r="C49" s="182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87"/>
    </row>
    <row r="50" spans="1:20" ht="15.6" thickTop="1" thickBot="1">
      <c r="A50" s="73"/>
      <c r="B50" s="380"/>
      <c r="C50" s="183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188"/>
      <c r="P50" s="189"/>
      <c r="Q50" s="187"/>
    </row>
    <row r="51" spans="1:20" ht="15.6" thickTop="1" thickBot="1">
      <c r="A51" s="73"/>
      <c r="B51" s="380"/>
      <c r="C51" s="173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74"/>
      <c r="T51" s="184">
        <f>$V$3+L11+L19+L27+L35+L43+L51</f>
        <v>11082547.809999999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78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79"/>
    </row>
    <row r="53" spans="1:20" ht="15.6" thickTop="1" thickBot="1">
      <c r="A53" s="73"/>
      <c r="B53" s="380"/>
      <c r="C53" s="180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81"/>
    </row>
    <row r="54" spans="1:20" ht="15.6" thickTop="1" thickBot="1">
      <c r="A54" s="73"/>
      <c r="B54" s="380"/>
      <c r="C54" s="180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81"/>
    </row>
    <row r="55" spans="1:20" ht="15.6" thickTop="1" thickBot="1">
      <c r="A55" s="73"/>
      <c r="B55" s="380"/>
      <c r="C55" s="182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81"/>
    </row>
    <row r="56" spans="1:20" ht="15.6" thickTop="1" thickBot="1">
      <c r="A56" s="73"/>
      <c r="B56" s="380"/>
      <c r="C56" s="182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87"/>
    </row>
    <row r="57" spans="1:20" ht="15.6" thickTop="1" thickBot="1">
      <c r="A57" s="73"/>
      <c r="B57" s="380"/>
      <c r="C57" s="182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87"/>
    </row>
    <row r="58" spans="1:20" ht="15.6" thickTop="1" thickBot="1">
      <c r="A58" s="73"/>
      <c r="B58" s="380"/>
      <c r="C58" s="183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188"/>
      <c r="P58" s="189"/>
      <c r="Q58" s="187"/>
    </row>
    <row r="59" spans="1:20" ht="15.6" thickTop="1" thickBot="1">
      <c r="A59" s="73"/>
      <c r="B59" s="380"/>
      <c r="C59" s="16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68"/>
      <c r="T59" s="184">
        <f>$V$3+L11+L19+L27+L35+L43+L51+L59</f>
        <v>11082547.809999999</v>
      </c>
    </row>
    <row r="60" spans="1:20" ht="15.6" thickTop="1" thickBot="1">
      <c r="A60" s="73" t="str">
        <f ca="1">OFFSET('0'!$B$112,($A$1-1)*10,$B60-1)</f>
        <v>SS</v>
      </c>
      <c r="B60" s="380">
        <f ca="1">OFFSET('0'!$B$111,($A$1-1)*10,7)</f>
        <v>8</v>
      </c>
      <c r="C60" s="178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79"/>
    </row>
    <row r="61" spans="1:20" ht="15.6" thickTop="1" thickBot="1">
      <c r="A61" s="73"/>
      <c r="B61" s="380"/>
      <c r="C61" s="180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81"/>
    </row>
    <row r="62" spans="1:20" ht="15.6" thickTop="1" thickBot="1">
      <c r="A62" s="73"/>
      <c r="B62" s="380"/>
      <c r="C62" s="180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81"/>
    </row>
    <row r="63" spans="1:20" ht="15.6" thickTop="1" thickBot="1">
      <c r="A63" s="73"/>
      <c r="B63" s="380"/>
      <c r="C63" s="182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81"/>
    </row>
    <row r="64" spans="1:20" ht="15.6" thickTop="1" thickBot="1">
      <c r="A64" s="73"/>
      <c r="B64" s="380"/>
      <c r="C64" s="182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87"/>
    </row>
    <row r="65" spans="1:20" ht="15.6" thickTop="1" thickBot="1">
      <c r="A65" s="73"/>
      <c r="B65" s="380"/>
      <c r="C65" s="182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87"/>
    </row>
    <row r="66" spans="1:20" ht="15.6" thickTop="1" thickBot="1">
      <c r="A66" s="73"/>
      <c r="B66" s="380"/>
      <c r="C66" s="183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188"/>
      <c r="P66" s="189"/>
      <c r="Q66" s="187"/>
    </row>
    <row r="67" spans="1:20" ht="15.6" thickTop="1" thickBot="1">
      <c r="A67" s="73"/>
      <c r="B67" s="380"/>
      <c r="C67" s="16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68"/>
      <c r="T67" s="184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SK</v>
      </c>
      <c r="B68" s="380">
        <f ca="1">OFFSET('0'!$B$111,($A$1-1)*10,8)</f>
        <v>9</v>
      </c>
      <c r="C68" s="178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79"/>
    </row>
    <row r="69" spans="1:20" ht="15.6" thickTop="1" thickBot="1">
      <c r="A69" s="73"/>
      <c r="B69" s="380"/>
      <c r="C69" s="180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81"/>
    </row>
    <row r="70" spans="1:20" ht="15.6" thickTop="1" thickBot="1">
      <c r="A70" s="73"/>
      <c r="B70" s="380"/>
      <c r="C70" s="180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81"/>
    </row>
    <row r="71" spans="1:20" ht="15.6" thickTop="1" thickBot="1">
      <c r="A71" s="73"/>
      <c r="B71" s="380"/>
      <c r="C71" s="182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81"/>
    </row>
    <row r="72" spans="1:20" ht="15.6" thickTop="1" thickBot="1">
      <c r="A72" s="73"/>
      <c r="B72" s="380"/>
      <c r="C72" s="182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81"/>
    </row>
    <row r="73" spans="1:20" ht="15.6" thickTop="1" thickBot="1">
      <c r="A73" s="73"/>
      <c r="B73" s="380"/>
      <c r="C73" s="182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81"/>
    </row>
    <row r="74" spans="1:20" ht="15.6" thickTop="1" thickBot="1">
      <c r="A74" s="73"/>
      <c r="B74" s="380"/>
      <c r="C74" s="183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70"/>
      <c r="P74" s="171"/>
      <c r="Q74" s="181"/>
    </row>
    <row r="75" spans="1:20" ht="15.6" thickTop="1" thickBot="1">
      <c r="A75" s="73"/>
      <c r="B75" s="380"/>
      <c r="C75" s="16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68"/>
      <c r="T75" s="184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78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79"/>
    </row>
    <row r="77" spans="1:20" ht="15.6" thickTop="1" thickBot="1">
      <c r="A77" s="73"/>
      <c r="B77" s="380"/>
      <c r="C77" s="180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81"/>
    </row>
    <row r="78" spans="1:20" ht="15.6" thickTop="1" thickBot="1">
      <c r="A78" s="73"/>
      <c r="B78" s="380"/>
      <c r="C78" s="180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81"/>
    </row>
    <row r="79" spans="1:20" ht="15.6" thickTop="1" thickBot="1">
      <c r="A79" s="73"/>
      <c r="B79" s="380"/>
      <c r="C79" s="182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81"/>
    </row>
    <row r="80" spans="1:20" ht="15.6" thickTop="1" thickBot="1">
      <c r="A80" s="73"/>
      <c r="B80" s="380"/>
      <c r="C80" s="182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81"/>
    </row>
    <row r="81" spans="1:20" ht="15.6" thickTop="1" thickBot="1">
      <c r="A81" s="73"/>
      <c r="B81" s="380"/>
      <c r="C81" s="182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81"/>
    </row>
    <row r="82" spans="1:20" ht="15.6" thickTop="1" thickBot="1">
      <c r="A82" s="73"/>
      <c r="B82" s="380"/>
      <c r="C82" s="183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70"/>
      <c r="P82" s="171"/>
      <c r="Q82" s="181"/>
    </row>
    <row r="83" spans="1:20" ht="15.6" thickTop="1" thickBot="1">
      <c r="A83" s="73"/>
      <c r="B83" s="380"/>
      <c r="C83" s="16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68"/>
      <c r="T83" s="184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78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79"/>
    </row>
    <row r="85" spans="1:20" ht="15.6" thickTop="1" thickBot="1">
      <c r="A85" s="73"/>
      <c r="B85" s="380"/>
      <c r="C85" s="180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81"/>
    </row>
    <row r="86" spans="1:20" ht="15.6" thickTop="1" thickBot="1">
      <c r="A86" s="73"/>
      <c r="B86" s="380"/>
      <c r="C86" s="180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81"/>
    </row>
    <row r="87" spans="1:20" ht="15.6" thickTop="1" thickBot="1">
      <c r="A87" s="73"/>
      <c r="B87" s="380"/>
      <c r="C87" s="182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81"/>
    </row>
    <row r="88" spans="1:20" ht="15.6" thickTop="1" thickBot="1">
      <c r="A88" s="73"/>
      <c r="B88" s="380"/>
      <c r="C88" s="182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81"/>
    </row>
    <row r="89" spans="1:20" ht="15.6" thickTop="1" thickBot="1">
      <c r="A89" s="73"/>
      <c r="B89" s="380"/>
      <c r="C89" s="182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81"/>
    </row>
    <row r="90" spans="1:20" ht="15.6" thickTop="1" thickBot="1">
      <c r="A90" s="73"/>
      <c r="B90" s="380"/>
      <c r="C90" s="183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70"/>
      <c r="P90" s="171"/>
      <c r="Q90" s="181"/>
    </row>
    <row r="91" spans="1:20" ht="15.6" thickTop="1" thickBot="1">
      <c r="A91" s="73"/>
      <c r="B91" s="380"/>
      <c r="C91" s="16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68"/>
      <c r="T91" s="184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78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79"/>
    </row>
    <row r="93" spans="1:20" ht="15.6" thickTop="1" thickBot="1">
      <c r="A93" s="73"/>
      <c r="B93" s="380"/>
      <c r="C93" s="180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81"/>
    </row>
    <row r="94" spans="1:20" ht="15.6" thickTop="1" thickBot="1">
      <c r="A94" s="73"/>
      <c r="B94" s="380"/>
      <c r="C94" s="180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81"/>
    </row>
    <row r="95" spans="1:20" ht="15.6" thickTop="1" thickBot="1">
      <c r="A95" s="73"/>
      <c r="B95" s="380"/>
      <c r="C95" s="182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81"/>
    </row>
    <row r="96" spans="1:20" ht="15.6" thickTop="1" thickBot="1">
      <c r="A96" s="73"/>
      <c r="B96" s="380"/>
      <c r="C96" s="182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81"/>
    </row>
    <row r="97" spans="1:20" ht="15.6" thickTop="1" thickBot="1">
      <c r="A97" s="73"/>
      <c r="B97" s="380"/>
      <c r="C97" s="182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81"/>
    </row>
    <row r="98" spans="1:20" ht="15.6" thickTop="1" thickBot="1">
      <c r="A98" s="73"/>
      <c r="B98" s="380"/>
      <c r="C98" s="183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70"/>
      <c r="P98" s="171"/>
      <c r="Q98" s="181"/>
    </row>
    <row r="99" spans="1:20" ht="15.6" thickTop="1" thickBot="1">
      <c r="A99" s="73"/>
      <c r="B99" s="380"/>
      <c r="C99" s="16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68"/>
      <c r="T99" s="184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--</v>
      </c>
      <c r="B100" s="380">
        <f ca="1">OFFSET('0'!$B$111,($A$1-1)*10,12)</f>
        <v>13</v>
      </c>
      <c r="C100" s="178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79"/>
    </row>
    <row r="101" spans="1:20" ht="15.6" thickTop="1" thickBot="1">
      <c r="A101" s="73"/>
      <c r="B101" s="380"/>
      <c r="C101" s="180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81"/>
    </row>
    <row r="102" spans="1:20" ht="15.6" thickTop="1" thickBot="1">
      <c r="A102" s="73"/>
      <c r="B102" s="380"/>
      <c r="C102" s="180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81"/>
    </row>
    <row r="103" spans="1:20" ht="15.6" thickTop="1" thickBot="1">
      <c r="A103" s="73"/>
      <c r="B103" s="380"/>
      <c r="C103" s="182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81"/>
    </row>
    <row r="104" spans="1:20" ht="15.6" thickTop="1" thickBot="1">
      <c r="A104" s="73"/>
      <c r="B104" s="380"/>
      <c r="C104" s="182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81"/>
    </row>
    <row r="105" spans="1:20" ht="15.6" thickTop="1" thickBot="1">
      <c r="A105" s="73"/>
      <c r="B105" s="380"/>
      <c r="C105" s="182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81"/>
    </row>
    <row r="106" spans="1:20" ht="15.6" thickTop="1" thickBot="1">
      <c r="A106" s="73"/>
      <c r="B106" s="380"/>
      <c r="C106" s="190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70"/>
      <c r="P106" s="171"/>
      <c r="Q106" s="181"/>
    </row>
    <row r="107" spans="1:20" ht="15.6" thickTop="1" thickBot="1">
      <c r="A107" s="73"/>
      <c r="B107" s="380"/>
      <c r="C107" s="16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68"/>
      <c r="T107" s="184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78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79"/>
    </row>
    <row r="109" spans="1:20" ht="15.6" thickTop="1" thickBot="1">
      <c r="A109" s="73"/>
      <c r="B109" s="380"/>
      <c r="C109" s="180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81"/>
    </row>
    <row r="110" spans="1:20" ht="15.6" thickTop="1" thickBot="1">
      <c r="A110" s="73"/>
      <c r="B110" s="380"/>
      <c r="C110" s="180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81"/>
    </row>
    <row r="111" spans="1:20" ht="15.6" thickTop="1" thickBot="1">
      <c r="A111" s="73"/>
      <c r="B111" s="380"/>
      <c r="C111" s="182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81"/>
    </row>
    <row r="112" spans="1:20" ht="15.6" thickTop="1" thickBot="1">
      <c r="A112" s="73"/>
      <c r="B112" s="380"/>
      <c r="C112" s="182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81"/>
    </row>
    <row r="113" spans="1:22" ht="15.6" thickTop="1" thickBot="1">
      <c r="A113" s="73"/>
      <c r="B113" s="380"/>
      <c r="C113" s="182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81"/>
    </row>
    <row r="114" spans="1:22" ht="15.6" thickTop="1" thickBot="1">
      <c r="A114" s="73"/>
      <c r="B114" s="380"/>
      <c r="C114" s="183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70"/>
      <c r="P114" s="171"/>
      <c r="Q114" s="181"/>
    </row>
    <row r="115" spans="1:22" ht="15.6" thickTop="1" thickBot="1">
      <c r="A115" s="73"/>
      <c r="B115" s="380"/>
      <c r="C115" s="16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68"/>
      <c r="S115" s="175"/>
      <c r="T115" s="184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SS</v>
      </c>
      <c r="B116" s="380">
        <f ca="1">OFFSET('0'!$B$111,($A$1-1)*10,14)</f>
        <v>15</v>
      </c>
      <c r="C116" s="178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79"/>
    </row>
    <row r="117" spans="1:22" ht="15.6" thickTop="1" thickBot="1">
      <c r="A117" s="73"/>
      <c r="B117" s="380"/>
      <c r="C117" s="180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81"/>
    </row>
    <row r="118" spans="1:22" ht="15.6" thickTop="1" thickBot="1">
      <c r="A118" s="73"/>
      <c r="B118" s="380"/>
      <c r="C118" s="180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81"/>
      <c r="S118" s="175"/>
    </row>
    <row r="119" spans="1:22" ht="15.6" thickTop="1" thickBot="1">
      <c r="A119" s="73"/>
      <c r="B119" s="380"/>
      <c r="C119" s="182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81"/>
      <c r="S119" s="175"/>
    </row>
    <row r="120" spans="1:22" ht="15.6" thickTop="1" thickBot="1">
      <c r="A120" s="73"/>
      <c r="B120" s="380"/>
      <c r="C120" s="182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81"/>
      <c r="S120" s="175"/>
    </row>
    <row r="121" spans="1:22" ht="15.6" thickTop="1" thickBot="1">
      <c r="A121" s="73"/>
      <c r="B121" s="380"/>
      <c r="C121" s="182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81"/>
      <c r="S121" s="175"/>
    </row>
    <row r="122" spans="1:22" ht="15.6" thickTop="1" thickBot="1">
      <c r="A122" s="73"/>
      <c r="B122" s="380"/>
      <c r="C122" s="183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70"/>
      <c r="P122" s="171"/>
      <c r="Q122" s="181"/>
      <c r="S122" s="175"/>
    </row>
    <row r="123" spans="1:22" ht="15.6" thickTop="1" thickBot="1">
      <c r="A123" s="73"/>
      <c r="B123" s="380"/>
      <c r="C123" s="173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74"/>
      <c r="T123" s="184">
        <f>$V$3+L11+L19+L27+L35+L43+L51+L59+L67+L75+L83+L91+L99+L107+L115+L123</f>
        <v>11082547.809999999</v>
      </c>
      <c r="U123" s="175"/>
    </row>
    <row r="124" spans="1:22" ht="15.6" thickTop="1" thickBot="1">
      <c r="A124" s="73" t="str">
        <f ca="1">OFFSET('0'!$B$112,($A$1-1)*10,$B124-1)</f>
        <v>SK</v>
      </c>
      <c r="B124" s="380">
        <f ca="1">OFFSET('0'!$B$111,($A$1-1)*10,15)</f>
        <v>16</v>
      </c>
      <c r="C124" s="178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79"/>
      <c r="V124" s="175"/>
    </row>
    <row r="125" spans="1:22" ht="15.6" thickTop="1" thickBot="1">
      <c r="A125" s="73"/>
      <c r="B125" s="380"/>
      <c r="C125" s="180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81"/>
    </row>
    <row r="126" spans="1:22" ht="15.6" thickTop="1" thickBot="1">
      <c r="A126" s="73"/>
      <c r="B126" s="380"/>
      <c r="C126" s="180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81"/>
    </row>
    <row r="127" spans="1:22" ht="15.6" thickTop="1" thickBot="1">
      <c r="A127" s="73"/>
      <c r="B127" s="380"/>
      <c r="C127" s="182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81"/>
    </row>
    <row r="128" spans="1:22" ht="15.6" thickTop="1" thickBot="1">
      <c r="A128" s="73"/>
      <c r="B128" s="380"/>
      <c r="C128" s="182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81"/>
    </row>
    <row r="129" spans="1:20" ht="15.6" thickTop="1" thickBot="1">
      <c r="A129" s="73"/>
      <c r="B129" s="380"/>
      <c r="C129" s="182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81"/>
    </row>
    <row r="130" spans="1:20" ht="15.6" thickTop="1" thickBot="1">
      <c r="A130" s="73"/>
      <c r="B130" s="380"/>
      <c r="C130" s="183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70"/>
      <c r="P130" s="171"/>
      <c r="Q130" s="181"/>
      <c r="S130" s="176"/>
    </row>
    <row r="131" spans="1:20" ht="15.6" thickTop="1" thickBot="1">
      <c r="A131" s="73"/>
      <c r="B131" s="380"/>
      <c r="C131" s="16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68"/>
      <c r="S131" s="175"/>
      <c r="T131" s="184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78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79"/>
    </row>
    <row r="133" spans="1:20" ht="15.6" thickTop="1" thickBot="1">
      <c r="A133" s="73"/>
      <c r="B133" s="380"/>
      <c r="C133" s="180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86"/>
    </row>
    <row r="134" spans="1:20" ht="15.6" thickTop="1" thickBot="1">
      <c r="A134" s="73"/>
      <c r="B134" s="380"/>
      <c r="C134" s="180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81"/>
    </row>
    <row r="135" spans="1:20" ht="15.6" thickTop="1" thickBot="1">
      <c r="A135" s="73"/>
      <c r="B135" s="380"/>
      <c r="C135" s="182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81"/>
    </row>
    <row r="136" spans="1:20" ht="15.6" thickTop="1" thickBot="1">
      <c r="A136" s="73"/>
      <c r="B136" s="380"/>
      <c r="C136" s="182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81"/>
    </row>
    <row r="137" spans="1:20" ht="15.6" thickTop="1" thickBot="1">
      <c r="A137" s="73"/>
      <c r="B137" s="380"/>
      <c r="C137" s="182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87"/>
    </row>
    <row r="138" spans="1:20" ht="15.6" thickTop="1" thickBot="1">
      <c r="A138" s="73"/>
      <c r="B138" s="380"/>
      <c r="C138" s="183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188"/>
      <c r="P138" s="189"/>
      <c r="Q138" s="187"/>
    </row>
    <row r="139" spans="1:20" ht="15.6" thickTop="1" thickBot="1">
      <c r="A139" s="73"/>
      <c r="B139" s="380"/>
      <c r="C139" s="16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68"/>
      <c r="T139" s="184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78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79"/>
    </row>
    <row r="141" spans="1:20" ht="15.6" thickTop="1" thickBot="1">
      <c r="A141" s="73"/>
      <c r="B141" s="380"/>
      <c r="C141" s="180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86"/>
    </row>
    <row r="142" spans="1:20" ht="15.6" thickTop="1" thickBot="1">
      <c r="A142" s="73"/>
      <c r="B142" s="380"/>
      <c r="C142" s="180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86"/>
    </row>
    <row r="143" spans="1:20" ht="15.6" thickTop="1" thickBot="1">
      <c r="A143" s="73"/>
      <c r="B143" s="380"/>
      <c r="C143" s="182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81"/>
    </row>
    <row r="144" spans="1:20" s="162" customFormat="1" ht="15.6" thickTop="1" thickBot="1">
      <c r="A144" s="74"/>
      <c r="B144" s="380"/>
      <c r="C144" s="182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81"/>
    </row>
    <row r="145" spans="1:20" s="162" customFormat="1" ht="15.6" thickTop="1" thickBot="1">
      <c r="A145" s="74"/>
      <c r="B145" s="380"/>
      <c r="C145" s="182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81"/>
    </row>
    <row r="146" spans="1:20" ht="15.6" thickTop="1" thickBot="1">
      <c r="A146" s="73"/>
      <c r="B146" s="380"/>
      <c r="C146" s="183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70"/>
      <c r="P146" s="171"/>
      <c r="Q146" s="181"/>
    </row>
    <row r="147" spans="1:20" ht="15.6" thickTop="1" thickBot="1">
      <c r="A147" s="73"/>
      <c r="B147" s="380"/>
      <c r="C147" s="16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68"/>
      <c r="T147" s="184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78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79"/>
    </row>
    <row r="149" spans="1:20" s="162" customFormat="1" ht="15.6" thickTop="1" thickBot="1">
      <c r="A149" s="74"/>
      <c r="B149" s="380"/>
      <c r="C149" s="180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86"/>
    </row>
    <row r="150" spans="1:20" ht="15.6" thickTop="1" thickBot="1">
      <c r="A150" s="73"/>
      <c r="B150" s="380"/>
      <c r="C150" s="180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86"/>
    </row>
    <row r="151" spans="1:20" ht="15.6" thickTop="1" thickBot="1">
      <c r="A151" s="73"/>
      <c r="B151" s="380"/>
      <c r="C151" s="182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81"/>
    </row>
    <row r="152" spans="1:20" ht="15.6" thickTop="1" thickBot="1">
      <c r="A152" s="73"/>
      <c r="B152" s="380"/>
      <c r="C152" s="182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81"/>
    </row>
    <row r="153" spans="1:20" ht="15.6" thickTop="1" thickBot="1">
      <c r="A153" s="73"/>
      <c r="B153" s="380"/>
      <c r="C153" s="182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81"/>
    </row>
    <row r="154" spans="1:20" ht="15.6" thickTop="1" thickBot="1">
      <c r="A154" s="73"/>
      <c r="B154" s="380"/>
      <c r="C154" s="183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70"/>
      <c r="P154" s="171"/>
      <c r="Q154" s="181"/>
    </row>
    <row r="155" spans="1:20" ht="15.6" thickTop="1" thickBot="1">
      <c r="A155" s="73"/>
      <c r="B155" s="380"/>
      <c r="C155" s="16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68"/>
      <c r="T155" s="184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--</v>
      </c>
      <c r="B156" s="380">
        <f ca="1">OFFSET('0'!$B$111,($A$1-1)*10,19)</f>
        <v>20</v>
      </c>
      <c r="C156" s="178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79"/>
    </row>
    <row r="157" spans="1:20" ht="15.6" thickTop="1" thickBot="1">
      <c r="A157" s="73"/>
      <c r="B157" s="380"/>
      <c r="C157" s="180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86"/>
    </row>
    <row r="158" spans="1:20" s="162" customFormat="1" ht="15.6" thickTop="1" thickBot="1">
      <c r="A158" s="74"/>
      <c r="B158" s="380"/>
      <c r="C158" s="180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86"/>
    </row>
    <row r="159" spans="1:20" ht="15.6" thickTop="1" thickBot="1">
      <c r="A159" s="73"/>
      <c r="B159" s="380"/>
      <c r="C159" s="182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81"/>
    </row>
    <row r="160" spans="1:20" ht="15.6" thickTop="1" thickBot="1">
      <c r="A160" s="73"/>
      <c r="B160" s="380"/>
      <c r="C160" s="182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81"/>
    </row>
    <row r="161" spans="1:20" ht="15.6" thickTop="1" thickBot="1">
      <c r="A161" s="73"/>
      <c r="B161" s="380"/>
      <c r="C161" s="182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81"/>
    </row>
    <row r="162" spans="1:20" ht="15.6" thickTop="1" thickBot="1">
      <c r="A162" s="73"/>
      <c r="B162" s="380"/>
      <c r="C162" s="183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70"/>
      <c r="P162" s="171"/>
      <c r="Q162" s="181"/>
    </row>
    <row r="163" spans="1:20" ht="15.6" thickTop="1" thickBot="1">
      <c r="A163" s="73"/>
      <c r="B163" s="380"/>
      <c r="C163" s="16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68"/>
      <c r="T163" s="184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78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79"/>
    </row>
    <row r="165" spans="1:20" ht="15.6" thickTop="1" thickBot="1">
      <c r="A165" s="73"/>
      <c r="B165" s="380"/>
      <c r="C165" s="180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86"/>
    </row>
    <row r="166" spans="1:20" s="162" customFormat="1" ht="15.6" thickTop="1" thickBot="1">
      <c r="A166" s="74"/>
      <c r="B166" s="380"/>
      <c r="C166" s="180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86"/>
    </row>
    <row r="167" spans="1:20" ht="15.6" thickTop="1" thickBot="1">
      <c r="A167" s="73"/>
      <c r="B167" s="380"/>
      <c r="C167" s="182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81"/>
    </row>
    <row r="168" spans="1:20" ht="15.6" thickTop="1" thickBot="1">
      <c r="A168" s="73"/>
      <c r="B168" s="380"/>
      <c r="C168" s="182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81"/>
    </row>
    <row r="169" spans="1:20" ht="15.6" thickTop="1" thickBot="1">
      <c r="A169" s="73"/>
      <c r="B169" s="380"/>
      <c r="C169" s="182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81"/>
    </row>
    <row r="170" spans="1:20" ht="15.6" thickTop="1" thickBot="1">
      <c r="A170" s="73"/>
      <c r="B170" s="380"/>
      <c r="C170" s="183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70"/>
      <c r="P170" s="171"/>
      <c r="Q170" s="181"/>
    </row>
    <row r="171" spans="1:20" ht="15.6" thickTop="1" thickBot="1">
      <c r="A171" s="73"/>
      <c r="B171" s="380"/>
      <c r="C171" s="16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68"/>
      <c r="T171" s="184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SS</v>
      </c>
      <c r="B172" s="380">
        <f ca="1">OFFSET('0'!$B$111,($A$1-1)*10,21)</f>
        <v>22</v>
      </c>
      <c r="C172" s="178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79"/>
    </row>
    <row r="173" spans="1:20" ht="15.6" thickTop="1" thickBot="1">
      <c r="A173" s="73"/>
      <c r="B173" s="380"/>
      <c r="C173" s="180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81"/>
    </row>
    <row r="174" spans="1:20" s="162" customFormat="1" ht="15.6" thickTop="1" thickBot="1">
      <c r="A174" s="74"/>
      <c r="B174" s="380"/>
      <c r="C174" s="180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81"/>
    </row>
    <row r="175" spans="1:20" ht="15.6" thickTop="1" thickBot="1">
      <c r="A175" s="73"/>
      <c r="B175" s="380"/>
      <c r="C175" s="182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81"/>
    </row>
    <row r="176" spans="1:20" ht="15.6" thickTop="1" thickBot="1">
      <c r="A176" s="73"/>
      <c r="B176" s="380"/>
      <c r="C176" s="182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81"/>
    </row>
    <row r="177" spans="1:20" ht="15.6" thickTop="1" thickBot="1">
      <c r="A177" s="73"/>
      <c r="B177" s="380"/>
      <c r="C177" s="182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81"/>
    </row>
    <row r="178" spans="1:20" ht="15.6" thickTop="1" thickBot="1">
      <c r="A178" s="73"/>
      <c r="B178" s="380"/>
      <c r="C178" s="183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70"/>
      <c r="P178" s="171"/>
      <c r="Q178" s="181"/>
    </row>
    <row r="179" spans="1:20" ht="15.6" thickTop="1" thickBot="1">
      <c r="A179" s="73"/>
      <c r="B179" s="380"/>
      <c r="C179" s="16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68"/>
      <c r="T179" s="184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SK</v>
      </c>
      <c r="B180" s="380">
        <f ca="1">OFFSET('0'!$B$111,($A$1-1)*10,22)</f>
        <v>23</v>
      </c>
      <c r="C180" s="178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79"/>
    </row>
    <row r="181" spans="1:20" s="162" customFormat="1" ht="15.6" thickTop="1" thickBot="1">
      <c r="A181" s="74"/>
      <c r="B181" s="380"/>
      <c r="C181" s="180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86"/>
    </row>
    <row r="182" spans="1:20" ht="15.6" thickTop="1" thickBot="1">
      <c r="A182" s="73"/>
      <c r="B182" s="380"/>
      <c r="C182" s="180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81"/>
    </row>
    <row r="183" spans="1:20" ht="15.6" thickTop="1" thickBot="1">
      <c r="A183" s="73"/>
      <c r="B183" s="380"/>
      <c r="C183" s="182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81"/>
    </row>
    <row r="184" spans="1:20" ht="15.6" thickTop="1" thickBot="1">
      <c r="A184" s="73"/>
      <c r="B184" s="380"/>
      <c r="C184" s="182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81"/>
    </row>
    <row r="185" spans="1:20" ht="15.6" thickTop="1" thickBot="1">
      <c r="A185" s="73"/>
      <c r="B185" s="380"/>
      <c r="C185" s="182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81"/>
    </row>
    <row r="186" spans="1:20" ht="15.6" thickTop="1" thickBot="1">
      <c r="A186" s="73"/>
      <c r="B186" s="380"/>
      <c r="C186" s="183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70"/>
      <c r="P186" s="171"/>
      <c r="Q186" s="181"/>
    </row>
    <row r="187" spans="1:20" ht="15.6" thickTop="1" thickBot="1">
      <c r="A187" s="73"/>
      <c r="B187" s="380"/>
      <c r="C187" s="16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68"/>
      <c r="T187" s="184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78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79"/>
    </row>
    <row r="189" spans="1:20" ht="15.6" thickTop="1" thickBot="1">
      <c r="A189" s="73"/>
      <c r="B189" s="380"/>
      <c r="C189" s="180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81"/>
    </row>
    <row r="190" spans="1:20" s="162" customFormat="1" ht="15.6" thickTop="1" thickBot="1">
      <c r="A190" s="74"/>
      <c r="B190" s="380"/>
      <c r="C190" s="180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81"/>
    </row>
    <row r="191" spans="1:20" ht="15.6" thickTop="1" thickBot="1">
      <c r="A191" s="73"/>
      <c r="B191" s="380"/>
      <c r="C191" s="182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81"/>
    </row>
    <row r="192" spans="1:20" ht="15.6" thickTop="1" thickBot="1">
      <c r="A192" s="73"/>
      <c r="B192" s="380"/>
      <c r="C192" s="182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81"/>
    </row>
    <row r="193" spans="1:20" ht="15.6" thickTop="1" thickBot="1">
      <c r="A193" s="73"/>
      <c r="B193" s="380"/>
      <c r="C193" s="182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81"/>
    </row>
    <row r="194" spans="1:20" ht="15.6" thickTop="1" thickBot="1">
      <c r="A194" s="73"/>
      <c r="B194" s="380"/>
      <c r="C194" s="183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70"/>
      <c r="P194" s="171"/>
      <c r="Q194" s="181"/>
    </row>
    <row r="195" spans="1:20" ht="15.6" thickTop="1" thickBot="1">
      <c r="A195" s="73"/>
      <c r="B195" s="380"/>
      <c r="C195" s="16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68"/>
      <c r="T195" s="184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78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79"/>
    </row>
    <row r="197" spans="1:20" ht="15.6" thickTop="1" thickBot="1">
      <c r="A197" s="73"/>
      <c r="B197" s="380"/>
      <c r="C197" s="180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81"/>
    </row>
    <row r="198" spans="1:20" ht="15.6" thickTop="1" thickBot="1">
      <c r="A198" s="73"/>
      <c r="B198" s="380"/>
      <c r="C198" s="180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81"/>
    </row>
    <row r="199" spans="1:20" ht="15.6" thickTop="1" thickBot="1">
      <c r="A199" s="73"/>
      <c r="B199" s="380"/>
      <c r="C199" s="182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81"/>
    </row>
    <row r="200" spans="1:20" ht="15.6" thickTop="1" thickBot="1">
      <c r="A200" s="73"/>
      <c r="B200" s="380"/>
      <c r="C200" s="182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81"/>
    </row>
    <row r="201" spans="1:20" ht="15.6" thickTop="1" thickBot="1">
      <c r="A201" s="73"/>
      <c r="B201" s="380"/>
      <c r="C201" s="182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81"/>
    </row>
    <row r="202" spans="1:20" ht="15.6" thickTop="1" thickBot="1">
      <c r="A202" s="73"/>
      <c r="B202" s="380"/>
      <c r="C202" s="177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70"/>
      <c r="P202" s="171"/>
      <c r="Q202" s="181"/>
    </row>
    <row r="203" spans="1:20" ht="15.6" thickTop="1" thickBot="1">
      <c r="A203" s="73"/>
      <c r="B203" s="380"/>
      <c r="C203" s="16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68"/>
      <c r="T203" s="184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--</v>
      </c>
      <c r="B204" s="380">
        <f ca="1">OFFSET('0'!$B$111,($A$1-1)*10,25)</f>
        <v>26</v>
      </c>
      <c r="C204" s="178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79"/>
    </row>
    <row r="205" spans="1:20" s="162" customFormat="1" ht="15.6" thickTop="1" thickBot="1">
      <c r="A205" s="74"/>
      <c r="B205" s="380"/>
      <c r="C205" s="180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86"/>
    </row>
    <row r="206" spans="1:20" ht="15.6" thickTop="1" thickBot="1">
      <c r="A206" s="73"/>
      <c r="B206" s="380"/>
      <c r="C206" s="180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81"/>
    </row>
    <row r="207" spans="1:20" ht="15.6" thickTop="1" thickBot="1">
      <c r="A207" s="73"/>
      <c r="B207" s="380"/>
      <c r="C207" s="182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81"/>
    </row>
    <row r="208" spans="1:20" ht="15.6" thickTop="1" thickBot="1">
      <c r="A208" s="73"/>
      <c r="B208" s="380"/>
      <c r="C208" s="182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81"/>
    </row>
    <row r="209" spans="1:20" ht="15.6" thickTop="1" thickBot="1">
      <c r="A209" s="73"/>
      <c r="B209" s="380"/>
      <c r="C209" s="182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81"/>
    </row>
    <row r="210" spans="1:20" ht="15.6" thickTop="1" thickBot="1">
      <c r="A210" s="73"/>
      <c r="B210" s="380"/>
      <c r="C210" s="177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70"/>
      <c r="P210" s="171"/>
      <c r="Q210" s="181"/>
    </row>
    <row r="211" spans="1:20" ht="15.6" thickTop="1" thickBot="1">
      <c r="A211" s="73"/>
      <c r="B211" s="380"/>
      <c r="C211" s="16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68"/>
      <c r="T211" s="184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--</v>
      </c>
      <c r="B212" s="380">
        <f ca="1">OFFSET('0'!$B$111,($A$1-1)*10,26)</f>
        <v>27</v>
      </c>
      <c r="C212" s="178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79"/>
    </row>
    <row r="213" spans="1:20" ht="15.6" thickTop="1" thickBot="1">
      <c r="A213" s="73"/>
      <c r="B213" s="380"/>
      <c r="C213" s="180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78"/>
        <v>0</v>
      </c>
      <c r="O213" s="269"/>
      <c r="P213" s="290"/>
      <c r="Q213" s="181"/>
    </row>
    <row r="214" spans="1:20" s="162" customFormat="1" ht="15.6" thickTop="1" thickBot="1">
      <c r="A214" s="74"/>
      <c r="B214" s="380"/>
      <c r="C214" s="180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81"/>
    </row>
    <row r="215" spans="1:20" s="162" customFormat="1" ht="15.6" thickTop="1" thickBot="1">
      <c r="A215" s="74"/>
      <c r="B215" s="380"/>
      <c r="C215" s="182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81"/>
    </row>
    <row r="216" spans="1:20" ht="15.6" thickTop="1" thickBot="1">
      <c r="A216" s="73"/>
      <c r="B216" s="380"/>
      <c r="C216" s="182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81"/>
    </row>
    <row r="217" spans="1:20" ht="15.6" thickTop="1" thickBot="1">
      <c r="A217" s="73"/>
      <c r="B217" s="380"/>
      <c r="C217" s="182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81"/>
    </row>
    <row r="218" spans="1:20" ht="15.6" thickTop="1" thickBot="1">
      <c r="A218" s="73"/>
      <c r="B218" s="380"/>
      <c r="C218" s="177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70"/>
      <c r="P218" s="171"/>
      <c r="Q218" s="181"/>
    </row>
    <row r="219" spans="1:20" ht="15.6" thickTop="1" thickBot="1">
      <c r="A219" s="73"/>
      <c r="B219" s="380"/>
      <c r="C219" s="167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68"/>
      <c r="T219" s="184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--</v>
      </c>
      <c r="B220" s="380">
        <f ca="1">OFFSET('0'!$B$111,($A$1-1)*10,27)</f>
        <v>28</v>
      </c>
      <c r="C220" s="178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79"/>
    </row>
    <row r="221" spans="1:20" s="162" customFormat="1" ht="15.6" thickTop="1" thickBot="1">
      <c r="A221" s="74"/>
      <c r="B221" s="380"/>
      <c r="C221" s="180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86"/>
    </row>
    <row r="222" spans="1:20" ht="15.6" thickTop="1" thickBot="1">
      <c r="A222" s="73"/>
      <c r="B222" s="380"/>
      <c r="C222" s="180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81"/>
    </row>
    <row r="223" spans="1:20" s="162" customFormat="1" ht="15.6" thickTop="1" thickBot="1">
      <c r="A223" s="74"/>
      <c r="B223" s="380"/>
      <c r="C223" s="182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81"/>
    </row>
    <row r="224" spans="1:20" ht="15.6" thickTop="1" thickBot="1">
      <c r="A224" s="73"/>
      <c r="B224" s="380"/>
      <c r="C224" s="182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81"/>
    </row>
    <row r="225" spans="1:20" ht="15.6" thickTop="1" thickBot="1">
      <c r="A225" s="73"/>
      <c r="B225" s="380"/>
      <c r="C225" s="182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81"/>
    </row>
    <row r="226" spans="1:20" ht="15.6" thickTop="1" thickBot="1">
      <c r="A226" s="73"/>
      <c r="B226" s="380"/>
      <c r="C226" s="177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70"/>
      <c r="P226" s="171"/>
      <c r="Q226" s="181"/>
    </row>
    <row r="227" spans="1:20" ht="15.6" thickTop="1" thickBot="1">
      <c r="A227" s="73"/>
      <c r="B227" s="380"/>
      <c r="C227" s="167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68"/>
      <c r="T227" s="184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SS</v>
      </c>
      <c r="B228" s="380">
        <f ca="1">OFFSET('0'!$B$111,($A$1-1)*10,28)</f>
        <v>29</v>
      </c>
      <c r="C228" s="178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79"/>
    </row>
    <row r="229" spans="1:20" ht="15.6" thickTop="1" thickBot="1">
      <c r="A229" s="73"/>
      <c r="B229" s="380"/>
      <c r="C229" s="180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86"/>
    </row>
    <row r="230" spans="1:20" ht="15.6" thickTop="1" thickBot="1">
      <c r="A230" s="73"/>
      <c r="B230" s="380"/>
      <c r="C230" s="180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81"/>
    </row>
    <row r="231" spans="1:20" s="162" customFormat="1" ht="15.6" thickTop="1" thickBot="1">
      <c r="A231" s="74"/>
      <c r="B231" s="380"/>
      <c r="C231" s="182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81"/>
    </row>
    <row r="232" spans="1:20" s="162" customFormat="1" ht="15.6" thickTop="1" thickBot="1">
      <c r="A232" s="74"/>
      <c r="B232" s="380"/>
      <c r="C232" s="182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81"/>
    </row>
    <row r="233" spans="1:20" ht="15.6" thickTop="1" thickBot="1">
      <c r="A233" s="73"/>
      <c r="B233" s="380"/>
      <c r="C233" s="182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81"/>
    </row>
    <row r="234" spans="1:20" ht="15.6" thickTop="1" thickBot="1">
      <c r="A234" s="73"/>
      <c r="B234" s="380"/>
      <c r="C234" s="177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70"/>
      <c r="P234" s="171"/>
      <c r="Q234" s="181"/>
    </row>
    <row r="235" spans="1:20" ht="15.6" thickTop="1" thickBot="1">
      <c r="A235" s="73"/>
      <c r="B235" s="380"/>
      <c r="C235" s="167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68"/>
      <c r="T235" s="184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SK</v>
      </c>
      <c r="B236" s="380">
        <f ca="1">OFFSET('0'!$B$111,($A$1-1)*10,29)</f>
        <v>30</v>
      </c>
      <c r="C236" s="178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79"/>
    </row>
    <row r="237" spans="1:20" ht="15.6" thickTop="1" thickBot="1">
      <c r="A237" s="73"/>
      <c r="B237" s="380"/>
      <c r="C237" s="180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86"/>
    </row>
    <row r="238" spans="1:20" s="162" customFormat="1" ht="15.6" thickTop="1" thickBot="1">
      <c r="A238" s="74"/>
      <c r="B238" s="380"/>
      <c r="C238" s="180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86"/>
    </row>
    <row r="239" spans="1:20" s="162" customFormat="1" ht="15.6" thickTop="1" thickBot="1">
      <c r="A239" s="74"/>
      <c r="B239" s="380"/>
      <c r="C239" s="182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86"/>
    </row>
    <row r="240" spans="1:20" ht="15.6" thickTop="1" thickBot="1">
      <c r="A240" s="73"/>
      <c r="B240" s="380"/>
      <c r="C240" s="182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81"/>
    </row>
    <row r="241" spans="1:20" ht="15.6" thickTop="1" thickBot="1">
      <c r="A241" s="73"/>
      <c r="B241" s="380"/>
      <c r="C241" s="182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81"/>
    </row>
    <row r="242" spans="1:20" ht="15.6" thickTop="1" thickBot="1">
      <c r="A242" s="73"/>
      <c r="B242" s="380"/>
      <c r="C242" s="177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70"/>
      <c r="P242" s="171"/>
      <c r="Q242" s="181"/>
    </row>
    <row r="243" spans="1:20" ht="15.6" thickTop="1" thickBot="1">
      <c r="A243" s="73"/>
      <c r="B243" s="380"/>
      <c r="C243" s="167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68"/>
      <c r="T243" s="184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e">
        <f ca="1">OFFSET('0'!$B$112,($A$1-1)*10,$B244-1)</f>
        <v>#REF!</v>
      </c>
      <c r="B244" s="380">
        <f ca="1">OFFSET('0'!$B$111,($A$1-1)*10,30)</f>
        <v>-29</v>
      </c>
      <c r="C244" s="178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79"/>
    </row>
    <row r="245" spans="1:20" s="162" customFormat="1" ht="15.6" thickTop="1" thickBot="1">
      <c r="A245" s="74"/>
      <c r="B245" s="380"/>
      <c r="C245" s="180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90"/>
        <v>0</v>
      </c>
      <c r="O245" s="269"/>
      <c r="P245" s="296"/>
      <c r="Q245" s="186"/>
    </row>
    <row r="246" spans="1:20" s="162" customFormat="1" ht="15.6" thickTop="1" thickBot="1">
      <c r="A246" s="74"/>
      <c r="B246" s="380"/>
      <c r="C246" s="180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91">SUM(D246-E246)</f>
        <v>0</v>
      </c>
      <c r="N246" s="269">
        <f t="shared" si="90"/>
        <v>0</v>
      </c>
      <c r="O246" s="269"/>
      <c r="P246" s="294"/>
      <c r="Q246" s="186"/>
    </row>
    <row r="247" spans="1:20" s="162" customFormat="1" ht="15.6" thickTop="1" thickBot="1">
      <c r="A247" s="74"/>
      <c r="B247" s="380"/>
      <c r="C247" s="182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91"/>
        <v>0</v>
      </c>
      <c r="N247" s="269">
        <f t="shared" si="90"/>
        <v>0</v>
      </c>
      <c r="O247" s="269"/>
      <c r="P247" s="294"/>
      <c r="Q247" s="186"/>
    </row>
    <row r="248" spans="1:20" ht="15.6" thickTop="1" thickBot="1">
      <c r="A248" s="73"/>
      <c r="B248" s="380"/>
      <c r="C248" s="182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1"/>
        <v>0</v>
      </c>
      <c r="N248" s="269">
        <f t="shared" si="90"/>
        <v>0</v>
      </c>
      <c r="O248" s="269"/>
      <c r="P248" s="290"/>
      <c r="Q248" s="181"/>
    </row>
    <row r="249" spans="1:20" ht="15.6" thickTop="1" thickBot="1">
      <c r="A249" s="73"/>
      <c r="B249" s="380"/>
      <c r="C249" s="182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1"/>
        <v>0</v>
      </c>
      <c r="N249" s="269">
        <f t="shared" si="90"/>
        <v>0</v>
      </c>
      <c r="O249" s="269"/>
      <c r="P249" s="290"/>
      <c r="Q249" s="181"/>
    </row>
    <row r="250" spans="1:20" ht="15.6" thickTop="1" thickBot="1">
      <c r="A250" s="73"/>
      <c r="B250" s="380"/>
      <c r="C250" s="177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70"/>
      <c r="P250" s="171"/>
      <c r="Q250" s="181"/>
    </row>
    <row r="251" spans="1:20" ht="15.6" thickTop="1" thickBot="1">
      <c r="A251" s="73"/>
      <c r="B251" s="380"/>
      <c r="C251" s="167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68"/>
      <c r="T251" s="184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69" t="s">
        <v>31</v>
      </c>
      <c r="D253" s="117">
        <f t="shared" ref="D253:P253" si="93">SUM(D250,D242,D234,D226,D218,D210,D202,D194,D186,D178,D170,D162,D154,D146,D138,D130,D122,D114,D106,D98,D90,D82,D74,D66,D58,D50,D42,D34,D26,D18,D10)</f>
        <v>0</v>
      </c>
      <c r="E253" s="298">
        <f t="shared" si="93"/>
        <v>0</v>
      </c>
      <c r="F253" s="299">
        <f t="shared" si="93"/>
        <v>0</v>
      </c>
      <c r="G253" s="299">
        <f t="shared" si="93"/>
        <v>0</v>
      </c>
      <c r="H253" s="299">
        <f t="shared" si="93"/>
        <v>0</v>
      </c>
      <c r="I253" s="299">
        <f t="shared" si="93"/>
        <v>0</v>
      </c>
      <c r="J253" s="299">
        <f t="shared" si="93"/>
        <v>0</v>
      </c>
      <c r="K253" s="299">
        <f t="shared" si="93"/>
        <v>0</v>
      </c>
      <c r="L253" s="300">
        <f t="shared" si="93"/>
        <v>0</v>
      </c>
      <c r="M253" s="298">
        <f t="shared" si="93"/>
        <v>0</v>
      </c>
      <c r="N253" s="117">
        <f t="shared" si="93"/>
        <v>0</v>
      </c>
      <c r="O253" s="117">
        <f t="shared" si="93"/>
        <v>0</v>
      </c>
      <c r="P253" s="117">
        <f t="shared" si="93"/>
        <v>0</v>
      </c>
    </row>
    <row r="254" spans="1:20">
      <c r="C254" s="169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96" priority="32">
      <formula>$A12&lt;&gt;"--"</formula>
    </cfRule>
  </conditionalFormatting>
  <conditionalFormatting sqref="B20:B27">
    <cfRule type="expression" dxfId="95" priority="31">
      <formula>$A20&lt;&gt;"--"</formula>
    </cfRule>
  </conditionalFormatting>
  <conditionalFormatting sqref="B28:B35">
    <cfRule type="expression" dxfId="94" priority="30">
      <formula>$A28&lt;&gt;"--"</formula>
    </cfRule>
  </conditionalFormatting>
  <conditionalFormatting sqref="B36:B43">
    <cfRule type="expression" dxfId="93" priority="29">
      <formula>$A36&lt;&gt;"--"</formula>
    </cfRule>
  </conditionalFormatting>
  <conditionalFormatting sqref="B44:B51">
    <cfRule type="expression" dxfId="92" priority="28">
      <formula>$A44&lt;&gt;"--"</formula>
    </cfRule>
  </conditionalFormatting>
  <conditionalFormatting sqref="B52:B59">
    <cfRule type="expression" dxfId="91" priority="27">
      <formula>$A52&lt;&gt;"--"</formula>
    </cfRule>
  </conditionalFormatting>
  <conditionalFormatting sqref="B60:B67">
    <cfRule type="expression" dxfId="90" priority="26">
      <formula>$A60&lt;&gt;"--"</formula>
    </cfRule>
  </conditionalFormatting>
  <conditionalFormatting sqref="B68:B75">
    <cfRule type="expression" dxfId="89" priority="25">
      <formula>$A68&lt;&gt;"--"</formula>
    </cfRule>
  </conditionalFormatting>
  <conditionalFormatting sqref="B76:B83">
    <cfRule type="expression" dxfId="88" priority="24">
      <formula>$A76&lt;&gt;"--"</formula>
    </cfRule>
  </conditionalFormatting>
  <conditionalFormatting sqref="B84:B91">
    <cfRule type="expression" dxfId="87" priority="23">
      <formula>$A84&lt;&gt;"--"</formula>
    </cfRule>
  </conditionalFormatting>
  <conditionalFormatting sqref="B92:B99">
    <cfRule type="expression" dxfId="86" priority="22">
      <formula>$A92&lt;&gt;"--"</formula>
    </cfRule>
  </conditionalFormatting>
  <conditionalFormatting sqref="B100:B107">
    <cfRule type="expression" dxfId="85" priority="21">
      <formula>$A100&lt;&gt;"--"</formula>
    </cfRule>
  </conditionalFormatting>
  <conditionalFormatting sqref="B108:B115">
    <cfRule type="expression" dxfId="84" priority="20">
      <formula>$A108&lt;&gt;"--"</formula>
    </cfRule>
  </conditionalFormatting>
  <conditionalFormatting sqref="B116:B123">
    <cfRule type="expression" dxfId="83" priority="19">
      <formula>$A116&lt;&gt;"--"</formula>
    </cfRule>
  </conditionalFormatting>
  <conditionalFormatting sqref="B124:B131">
    <cfRule type="expression" dxfId="82" priority="18">
      <formula>$A124&lt;&gt;"--"</formula>
    </cfRule>
  </conditionalFormatting>
  <conditionalFormatting sqref="B132:B139">
    <cfRule type="expression" dxfId="81" priority="17">
      <formula>$A132&lt;&gt;"--"</formula>
    </cfRule>
  </conditionalFormatting>
  <conditionalFormatting sqref="B140:B147">
    <cfRule type="expression" dxfId="80" priority="16">
      <formula>$A140&lt;&gt;"--"</formula>
    </cfRule>
  </conditionalFormatting>
  <conditionalFormatting sqref="B148:B155">
    <cfRule type="expression" dxfId="79" priority="15">
      <formula>$A148&lt;&gt;"--"</formula>
    </cfRule>
  </conditionalFormatting>
  <conditionalFormatting sqref="B156:B163">
    <cfRule type="expression" dxfId="78" priority="14">
      <formula>$A156&lt;&gt;"--"</formula>
    </cfRule>
  </conditionalFormatting>
  <conditionalFormatting sqref="B164:B171">
    <cfRule type="expression" dxfId="77" priority="13">
      <formula>$A164&lt;&gt;"--"</formula>
    </cfRule>
  </conditionalFormatting>
  <conditionalFormatting sqref="B172:B179">
    <cfRule type="expression" dxfId="76" priority="12">
      <formula>$A172&lt;&gt;"--"</formula>
    </cfRule>
  </conditionalFormatting>
  <conditionalFormatting sqref="B180:B187">
    <cfRule type="expression" dxfId="75" priority="11">
      <formula>$A180&lt;&gt;"--"</formula>
    </cfRule>
  </conditionalFormatting>
  <conditionalFormatting sqref="B188:B195">
    <cfRule type="expression" dxfId="74" priority="10">
      <formula>$A188&lt;&gt;"--"</formula>
    </cfRule>
  </conditionalFormatting>
  <conditionalFormatting sqref="B196:B203">
    <cfRule type="expression" dxfId="73" priority="9">
      <formula>$A196&lt;&gt;"--"</formula>
    </cfRule>
  </conditionalFormatting>
  <conditionalFormatting sqref="B204:B211">
    <cfRule type="expression" dxfId="72" priority="8">
      <formula>$A204&lt;&gt;"--"</formula>
    </cfRule>
  </conditionalFormatting>
  <conditionalFormatting sqref="B212:B219">
    <cfRule type="expression" dxfId="71" priority="7">
      <formula>$A212&lt;&gt;"--"</formula>
    </cfRule>
  </conditionalFormatting>
  <conditionalFormatting sqref="B220:B227">
    <cfRule type="expression" dxfId="70" priority="6">
      <formula>$A220&lt;&gt;"--"</formula>
    </cfRule>
  </conditionalFormatting>
  <conditionalFormatting sqref="B228:B251">
    <cfRule type="expression" dxfId="69" priority="5">
      <formula>$A228&lt;&gt;"--"</formula>
    </cfRule>
  </conditionalFormatting>
  <conditionalFormatting sqref="B236:B243">
    <cfRule type="expression" dxfId="68" priority="4">
      <formula>$A236&lt;&gt;"--"</formula>
    </cfRule>
  </conditionalFormatting>
  <conditionalFormatting sqref="B244:B251">
    <cfRule type="expression" dxfId="67" priority="3">
      <formula>$A244&lt;&gt;"--"</formula>
    </cfRule>
  </conditionalFormatting>
  <conditionalFormatting sqref="B4:B11">
    <cfRule type="expression" dxfId="66" priority="2">
      <formula>$A4&lt;&gt;"--"</formula>
    </cfRule>
  </conditionalFormatting>
  <conditionalFormatting sqref="B228:B251">
    <cfRule type="cellIs" dxfId="65" priority="1" operator="lessThan">
      <formula>0</formula>
    </cfRule>
  </conditionalFormatting>
  <dataValidations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20:C25 C12:C17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V254"/>
  <sheetViews>
    <sheetView topLeftCell="L1" workbookViewId="0">
      <selection activeCell="U5" sqref="U5"/>
    </sheetView>
  </sheetViews>
  <sheetFormatPr defaultColWidth="15.109375" defaultRowHeight="14.4"/>
  <cols>
    <col min="1" max="2" width="15.109375" style="161"/>
    <col min="3" max="3" width="22.109375" style="162" customWidth="1"/>
    <col min="4" max="11" width="15.109375" style="161"/>
    <col min="12" max="12" width="12.88671875" style="66" customWidth="1"/>
    <col min="13" max="14" width="10.109375" style="165" customWidth="1"/>
    <col min="15" max="16" width="10.109375" style="162" customWidth="1"/>
    <col min="17" max="17" width="22" style="162" customWidth="1"/>
    <col min="18" max="19" width="15.109375" style="161"/>
    <col min="20" max="20" width="26" style="162" customWidth="1"/>
    <col min="21" max="16384" width="15.109375" style="161"/>
  </cols>
  <sheetData>
    <row r="1" spans="1:22">
      <c r="A1" s="161">
        <v>12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66" t="s">
        <v>10</v>
      </c>
      <c r="G3" s="166" t="s">
        <v>11</v>
      </c>
      <c r="H3" s="166" t="s">
        <v>12</v>
      </c>
      <c r="I3" s="166" t="s">
        <v>13</v>
      </c>
      <c r="J3" s="166" t="s">
        <v>14</v>
      </c>
      <c r="K3" s="166" t="s">
        <v>44</v>
      </c>
      <c r="L3" s="387"/>
      <c r="M3" s="385"/>
      <c r="N3" s="388"/>
      <c r="O3" s="388"/>
      <c r="P3" s="389"/>
      <c r="Q3" s="390"/>
      <c r="T3" s="384"/>
      <c r="U3" s="161" t="s">
        <v>168</v>
      </c>
      <c r="V3" s="82">
        <f>SUM('Bendras metų'!V6:V16)</f>
        <v>11082547.809999999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178"/>
      <c r="D4" s="301"/>
      <c r="E4" s="302"/>
      <c r="F4" s="303"/>
      <c r="G4" s="303"/>
      <c r="H4" s="303"/>
      <c r="I4" s="303"/>
      <c r="J4" s="303"/>
      <c r="K4" s="303"/>
      <c r="L4" s="304"/>
      <c r="M4" s="302">
        <f>SUM(D4-E4)</f>
        <v>0</v>
      </c>
      <c r="N4" s="305">
        <f t="shared" ref="N4:N9" si="0">SUM(E4,M4)</f>
        <v>0</v>
      </c>
      <c r="O4" s="305"/>
      <c r="P4" s="306"/>
      <c r="Q4" s="179"/>
      <c r="T4" s="384"/>
    </row>
    <row r="5" spans="1:22">
      <c r="A5" s="73"/>
      <c r="B5" s="392"/>
      <c r="C5" s="180"/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81"/>
    </row>
    <row r="6" spans="1:22">
      <c r="A6" s="73"/>
      <c r="B6" s="392"/>
      <c r="C6" s="180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ref="M6:M9" si="1">SUM(D6-E6)</f>
        <v>0</v>
      </c>
      <c r="N6" s="269">
        <f t="shared" si="0"/>
        <v>0</v>
      </c>
      <c r="O6" s="269"/>
      <c r="P6" s="290"/>
      <c r="Q6" s="181"/>
      <c r="V6" s="86"/>
    </row>
    <row r="7" spans="1:22">
      <c r="A7" s="73"/>
      <c r="B7" s="392"/>
      <c r="C7" s="182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1"/>
        <v>0</v>
      </c>
      <c r="N7" s="269">
        <f t="shared" si="0"/>
        <v>0</v>
      </c>
      <c r="O7" s="269"/>
      <c r="P7" s="290"/>
      <c r="Q7" s="181"/>
      <c r="V7" s="86"/>
    </row>
    <row r="8" spans="1:22">
      <c r="A8" s="73"/>
      <c r="B8" s="392"/>
      <c r="C8" s="182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81"/>
      <c r="V8" s="86"/>
    </row>
    <row r="9" spans="1:22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si="1"/>
        <v>0</v>
      </c>
      <c r="N9" s="269">
        <f t="shared" si="0"/>
        <v>0</v>
      </c>
      <c r="O9" s="269"/>
      <c r="P9" s="290"/>
      <c r="Q9" s="181"/>
      <c r="V9" s="86"/>
    </row>
    <row r="10" spans="1:22" ht="15" thickBot="1">
      <c r="A10" s="73"/>
      <c r="B10" s="392"/>
      <c r="C10" s="183" t="s">
        <v>69</v>
      </c>
      <c r="D10" s="266">
        <f>SUM(D4:D9)</f>
        <v>0</v>
      </c>
      <c r="E10" s="267">
        <f>SUM(E4:E9)</f>
        <v>0</v>
      </c>
      <c r="F10" s="268">
        <f>SUM(F4:F9)</f>
        <v>0</v>
      </c>
      <c r="G10" s="268">
        <f t="shared" ref="G10:K10" si="2">SUM(G4:G9)</f>
        <v>0</v>
      </c>
      <c r="H10" s="268">
        <f t="shared" si="2"/>
        <v>0</v>
      </c>
      <c r="I10" s="268">
        <f t="shared" si="2"/>
        <v>0</v>
      </c>
      <c r="J10" s="268">
        <f t="shared" si="2"/>
        <v>0</v>
      </c>
      <c r="K10" s="268">
        <f t="shared" si="2"/>
        <v>0</v>
      </c>
      <c r="L10" s="273"/>
      <c r="M10" s="267">
        <f>SUM(M4:M9)</f>
        <v>0</v>
      </c>
      <c r="N10" s="269">
        <f>SUM(N4:N9)</f>
        <v>0</v>
      </c>
      <c r="O10" s="170"/>
      <c r="P10" s="171"/>
      <c r="Q10" s="181"/>
      <c r="V10" s="86"/>
    </row>
    <row r="11" spans="1:22" ht="15" thickBot="1">
      <c r="A11" s="73"/>
      <c r="B11" s="393"/>
      <c r="C11" s="167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68"/>
      <c r="T11" s="184">
        <f>$V$3+L11</f>
        <v>11082547.809999999</v>
      </c>
      <c r="V11" s="86"/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178"/>
      <c r="D12" s="284"/>
      <c r="E12" s="285"/>
      <c r="F12" s="286"/>
      <c r="G12" s="286"/>
      <c r="H12" s="286"/>
      <c r="I12" s="286"/>
      <c r="J12" s="286"/>
      <c r="K12" s="286"/>
      <c r="L12" s="295"/>
      <c r="M12" s="302">
        <f>SUM(D12-E12)</f>
        <v>0</v>
      </c>
      <c r="N12" s="305">
        <f t="shared" ref="N12:N17" si="3">SUM(E12,M12)</f>
        <v>0</v>
      </c>
      <c r="O12" s="305"/>
      <c r="P12" s="292"/>
      <c r="Q12" s="186"/>
      <c r="V12" s="86"/>
    </row>
    <row r="13" spans="1:22" ht="17.25" customHeight="1">
      <c r="A13" s="73"/>
      <c r="B13" s="392"/>
      <c r="C13" s="180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3"/>
        <v>0</v>
      </c>
      <c r="O13" s="269"/>
      <c r="P13" s="290"/>
      <c r="Q13" s="181"/>
      <c r="V13" s="86"/>
    </row>
    <row r="14" spans="1:22">
      <c r="A14" s="73"/>
      <c r="B14" s="392"/>
      <c r="C14" s="180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4">SUM(D14-E14)</f>
        <v>0</v>
      </c>
      <c r="N14" s="269">
        <f t="shared" si="3"/>
        <v>0</v>
      </c>
      <c r="O14" s="269"/>
      <c r="P14" s="290"/>
      <c r="Q14" s="181"/>
      <c r="V14" s="86"/>
    </row>
    <row r="15" spans="1:22">
      <c r="A15" s="73"/>
      <c r="B15" s="392"/>
      <c r="C15" s="182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4"/>
        <v>0</v>
      </c>
      <c r="N15" s="269">
        <f t="shared" si="3"/>
        <v>0</v>
      </c>
      <c r="O15" s="269"/>
      <c r="P15" s="290"/>
      <c r="Q15" s="181"/>
      <c r="V15" s="86"/>
    </row>
    <row r="16" spans="1:22">
      <c r="A16" s="73"/>
      <c r="B16" s="392"/>
      <c r="C16" s="182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 t="shared" si="4"/>
        <v>0</v>
      </c>
      <c r="N16" s="279">
        <f t="shared" si="3"/>
        <v>0</v>
      </c>
      <c r="O16" s="279"/>
      <c r="P16" s="292"/>
      <c r="Q16" s="187"/>
      <c r="V16" s="86"/>
    </row>
    <row r="17" spans="1:22" ht="15" thickBot="1">
      <c r="A17" s="73"/>
      <c r="B17" s="392"/>
      <c r="C17" s="182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4"/>
        <v>0</v>
      </c>
      <c r="N17" s="279">
        <f t="shared" si="3"/>
        <v>0</v>
      </c>
      <c r="O17" s="279"/>
      <c r="P17" s="292"/>
      <c r="Q17" s="187"/>
      <c r="U17" s="83"/>
      <c r="V17" s="84"/>
    </row>
    <row r="18" spans="1:22" ht="15" thickBot="1">
      <c r="A18" s="73"/>
      <c r="B18" s="392"/>
      <c r="C18" s="183" t="s">
        <v>69</v>
      </c>
      <c r="D18" s="266">
        <f>SUM(D12:D17)</f>
        <v>0</v>
      </c>
      <c r="E18" s="267">
        <f>SUM(E12:E17)</f>
        <v>0</v>
      </c>
      <c r="F18" s="268">
        <f>SUM(F12:F17)</f>
        <v>0</v>
      </c>
      <c r="G18" s="268">
        <f t="shared" ref="G18:K18" si="5">SUM(G12:G17)</f>
        <v>0</v>
      </c>
      <c r="H18" s="268">
        <f t="shared" si="5"/>
        <v>0</v>
      </c>
      <c r="I18" s="268">
        <f t="shared" si="5"/>
        <v>0</v>
      </c>
      <c r="J18" s="268">
        <f t="shared" si="5"/>
        <v>0</v>
      </c>
      <c r="K18" s="268">
        <f t="shared" si="5"/>
        <v>0</v>
      </c>
      <c r="L18" s="273"/>
      <c r="M18" s="267">
        <f>SUM(M12:M17)</f>
        <v>0</v>
      </c>
      <c r="N18" s="280">
        <f>SUM(N12:N17)</f>
        <v>0</v>
      </c>
      <c r="O18" s="188"/>
      <c r="P18" s="189"/>
      <c r="Q18" s="187"/>
      <c r="U18" s="85"/>
      <c r="V18" s="85"/>
    </row>
    <row r="19" spans="1:22" ht="15" thickBot="1">
      <c r="A19" s="73"/>
      <c r="B19" s="393"/>
      <c r="C19" s="167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68"/>
      <c r="T19" s="184">
        <f>$V$3+L11+L19</f>
        <v>11082547.809999999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78"/>
      <c r="D20" s="301"/>
      <c r="E20" s="302"/>
      <c r="F20" s="303"/>
      <c r="G20" s="303"/>
      <c r="H20" s="303"/>
      <c r="I20" s="303"/>
      <c r="J20" s="303"/>
      <c r="K20" s="303"/>
      <c r="L20" s="304"/>
      <c r="M20" s="302">
        <f>SUM(D20-E20)</f>
        <v>0</v>
      </c>
      <c r="N20" s="305">
        <f t="shared" ref="N20:N25" si="6">SUM(E20,M20)</f>
        <v>0</v>
      </c>
      <c r="O20" s="305"/>
      <c r="P20" s="306"/>
      <c r="Q20" s="179"/>
    </row>
    <row r="21" spans="1:22" ht="15.6" thickTop="1" thickBot="1">
      <c r="A21" s="73"/>
      <c r="B21" s="380"/>
      <c r="C21" s="180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6"/>
        <v>0</v>
      </c>
      <c r="O21" s="269"/>
      <c r="P21" s="290"/>
      <c r="Q21" s="181"/>
    </row>
    <row r="22" spans="1:22" ht="15.6" thickTop="1" thickBot="1">
      <c r="A22" s="73"/>
      <c r="B22" s="380"/>
      <c r="C22" s="180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7">SUM(D22-E22)</f>
        <v>0</v>
      </c>
      <c r="N22" s="269">
        <f t="shared" si="6"/>
        <v>0</v>
      </c>
      <c r="O22" s="269"/>
      <c r="P22" s="290"/>
      <c r="Q22" s="181"/>
    </row>
    <row r="23" spans="1:22" ht="15.6" thickTop="1" thickBot="1">
      <c r="A23" s="73"/>
      <c r="B23" s="380"/>
      <c r="C23" s="182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7"/>
        <v>0</v>
      </c>
      <c r="N23" s="269">
        <f t="shared" si="6"/>
        <v>0</v>
      </c>
      <c r="O23" s="269"/>
      <c r="P23" s="290"/>
      <c r="Q23" s="181"/>
    </row>
    <row r="24" spans="1:22" ht="15.6" thickTop="1" thickBot="1">
      <c r="A24" s="73"/>
      <c r="B24" s="380"/>
      <c r="C24" s="182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7"/>
        <v>0</v>
      </c>
      <c r="N24" s="269">
        <f t="shared" si="6"/>
        <v>0</v>
      </c>
      <c r="O24" s="269"/>
      <c r="P24" s="293"/>
      <c r="Q24" s="187"/>
    </row>
    <row r="25" spans="1:22" ht="15.6" thickTop="1" thickBot="1">
      <c r="A25" s="73"/>
      <c r="B25" s="380"/>
      <c r="C25" s="182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7"/>
        <v>0</v>
      </c>
      <c r="N25" s="269">
        <f t="shared" si="6"/>
        <v>0</v>
      </c>
      <c r="O25" s="269"/>
      <c r="P25" s="293"/>
      <c r="Q25" s="187"/>
    </row>
    <row r="26" spans="1:22" ht="15.6" thickTop="1" thickBot="1">
      <c r="A26" s="73"/>
      <c r="B26" s="380"/>
      <c r="C26" s="183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:K26" si="8">SUM(G20:G25)</f>
        <v>0</v>
      </c>
      <c r="H26" s="268">
        <f t="shared" si="8"/>
        <v>0</v>
      </c>
      <c r="I26" s="268">
        <f t="shared" si="8"/>
        <v>0</v>
      </c>
      <c r="J26" s="268">
        <f t="shared" si="8"/>
        <v>0</v>
      </c>
      <c r="K26" s="268">
        <f t="shared" si="8"/>
        <v>0</v>
      </c>
      <c r="L26" s="273"/>
      <c r="M26" s="267">
        <f>SUM(M20:M25)</f>
        <v>0</v>
      </c>
      <c r="N26" s="280">
        <f>SUM(N20:N25)</f>
        <v>0</v>
      </c>
      <c r="O26" s="188"/>
      <c r="P26" s="189"/>
      <c r="Q26" s="187"/>
    </row>
    <row r="27" spans="1:22" ht="15.6" thickTop="1" thickBot="1">
      <c r="A27" s="73"/>
      <c r="B27" s="380"/>
      <c r="C27" s="173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74"/>
      <c r="T27" s="184">
        <f>$V$3++L11+L19+L27</f>
        <v>11082547.809999999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78"/>
      <c r="D28" s="301"/>
      <c r="E28" s="302"/>
      <c r="F28" s="303"/>
      <c r="G28" s="303"/>
      <c r="H28" s="303"/>
      <c r="I28" s="303"/>
      <c r="J28" s="303"/>
      <c r="K28" s="303"/>
      <c r="L28" s="304"/>
      <c r="M28" s="302">
        <f>SUM(D28-E28)</f>
        <v>0</v>
      </c>
      <c r="N28" s="305">
        <f t="shared" ref="N28:N33" si="9">SUM(E28,M28)</f>
        <v>0</v>
      </c>
      <c r="O28" s="305"/>
      <c r="P28" s="306"/>
      <c r="Q28" s="179"/>
    </row>
    <row r="29" spans="1:22" ht="17.25" customHeight="1" thickTop="1" thickBot="1">
      <c r="A29" s="73"/>
      <c r="B29" s="380"/>
      <c r="C29" s="180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9"/>
        <v>0</v>
      </c>
      <c r="O29" s="269"/>
      <c r="P29" s="290"/>
      <c r="Q29" s="181"/>
    </row>
    <row r="30" spans="1:22" ht="17.25" customHeight="1" thickTop="1" thickBot="1">
      <c r="A30" s="73"/>
      <c r="B30" s="380"/>
      <c r="C30" s="180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10">SUM(D30-E30)</f>
        <v>0</v>
      </c>
      <c r="N30" s="269">
        <f t="shared" si="9"/>
        <v>0</v>
      </c>
      <c r="O30" s="269"/>
      <c r="P30" s="290"/>
      <c r="Q30" s="181"/>
    </row>
    <row r="31" spans="1:22" ht="17.25" customHeight="1" thickTop="1" thickBot="1">
      <c r="A31" s="73"/>
      <c r="B31" s="380"/>
      <c r="C31" s="182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10"/>
        <v>0</v>
      </c>
      <c r="N31" s="269">
        <f t="shared" si="9"/>
        <v>0</v>
      </c>
      <c r="O31" s="269"/>
      <c r="P31" s="290"/>
      <c r="Q31" s="181"/>
    </row>
    <row r="32" spans="1:22" ht="15.6" thickTop="1" thickBot="1">
      <c r="A32" s="73"/>
      <c r="B32" s="380"/>
      <c r="C32" s="182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10"/>
        <v>0</v>
      </c>
      <c r="N32" s="269">
        <f t="shared" si="9"/>
        <v>0</v>
      </c>
      <c r="O32" s="269"/>
      <c r="P32" s="290"/>
      <c r="Q32" s="181"/>
    </row>
    <row r="33" spans="1:20" ht="15.6" thickTop="1" thickBot="1">
      <c r="A33" s="73"/>
      <c r="B33" s="380"/>
      <c r="C33" s="182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10"/>
        <v>0</v>
      </c>
      <c r="N33" s="269">
        <f t="shared" si="9"/>
        <v>0</v>
      </c>
      <c r="O33" s="269"/>
      <c r="P33" s="290"/>
      <c r="Q33" s="181"/>
    </row>
    <row r="34" spans="1:20" ht="15.6" thickTop="1" thickBot="1">
      <c r="A34" s="73"/>
      <c r="B34" s="380"/>
      <c r="C34" s="183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:K34" si="11">SUM(G28:G33)</f>
        <v>0</v>
      </c>
      <c r="H34" s="268">
        <f t="shared" si="11"/>
        <v>0</v>
      </c>
      <c r="I34" s="268">
        <f t="shared" si="11"/>
        <v>0</v>
      </c>
      <c r="J34" s="268">
        <f t="shared" si="11"/>
        <v>0</v>
      </c>
      <c r="K34" s="268">
        <f t="shared" si="11"/>
        <v>0</v>
      </c>
      <c r="L34" s="273"/>
      <c r="M34" s="267">
        <f>SUM(M28:M33)</f>
        <v>0</v>
      </c>
      <c r="N34" s="269">
        <f>SUM(N28:N33)</f>
        <v>0</v>
      </c>
      <c r="O34" s="170"/>
      <c r="P34" s="171"/>
      <c r="Q34" s="181"/>
    </row>
    <row r="35" spans="1:20" ht="15.6" thickTop="1" thickBot="1">
      <c r="A35" s="73"/>
      <c r="B35" s="380"/>
      <c r="C35" s="167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68"/>
      <c r="T35" s="184">
        <f>$V$3+L11+L19+L27+L35</f>
        <v>11082547.809999999</v>
      </c>
    </row>
    <row r="36" spans="1:20" ht="15.6" thickTop="1" thickBot="1">
      <c r="A36" s="73" t="str">
        <f ca="1">OFFSET('0'!$B$112,($A$1-1)*10,$B36-1)</f>
        <v>--</v>
      </c>
      <c r="B36" s="380">
        <f ca="1">OFFSET('0'!$B$111,($A$1-1)*10,4)</f>
        <v>5</v>
      </c>
      <c r="C36" s="178"/>
      <c r="D36" s="301"/>
      <c r="E36" s="302"/>
      <c r="F36" s="303"/>
      <c r="G36" s="303"/>
      <c r="H36" s="303"/>
      <c r="I36" s="303"/>
      <c r="J36" s="303"/>
      <c r="K36" s="303"/>
      <c r="L36" s="304"/>
      <c r="M36" s="302">
        <f>SUM(D36-E36)</f>
        <v>0</v>
      </c>
      <c r="N36" s="305">
        <f>SUM(E36,M36)</f>
        <v>0</v>
      </c>
      <c r="O36" s="305"/>
      <c r="P36" s="306"/>
      <c r="Q36" s="179"/>
    </row>
    <row r="37" spans="1:20" ht="15.6" thickTop="1" thickBot="1">
      <c r="A37" s="73"/>
      <c r="B37" s="380"/>
      <c r="C37" s="180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81"/>
    </row>
    <row r="38" spans="1:20" ht="15.6" thickTop="1" thickBot="1">
      <c r="A38" s="73"/>
      <c r="B38" s="380"/>
      <c r="C38" s="180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12">SUM(D38-E38)</f>
        <v>0</v>
      </c>
      <c r="N38" s="269">
        <f>SUM(E38,M38)</f>
        <v>0</v>
      </c>
      <c r="O38" s="269"/>
      <c r="P38" s="290"/>
      <c r="Q38" s="181"/>
    </row>
    <row r="39" spans="1:20" ht="15.6" thickTop="1" thickBot="1">
      <c r="A39" s="73"/>
      <c r="B39" s="380"/>
      <c r="C39" s="182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12"/>
        <v>0</v>
      </c>
      <c r="N39" s="269">
        <f t="shared" ref="N39:N41" si="13">SUM(E39,M39)</f>
        <v>0</v>
      </c>
      <c r="O39" s="269"/>
      <c r="P39" s="290"/>
      <c r="Q39" s="181"/>
    </row>
    <row r="40" spans="1:20" ht="15.6" thickTop="1" thickBot="1">
      <c r="A40" s="73"/>
      <c r="B40" s="380"/>
      <c r="C40" s="182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12"/>
        <v>0</v>
      </c>
      <c r="N40" s="269">
        <f t="shared" si="13"/>
        <v>0</v>
      </c>
      <c r="O40" s="269"/>
      <c r="P40" s="290"/>
      <c r="Q40" s="181"/>
    </row>
    <row r="41" spans="1:20" ht="15.6" thickTop="1" thickBot="1">
      <c r="A41" s="73"/>
      <c r="B41" s="380"/>
      <c r="C41" s="182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12"/>
        <v>0</v>
      </c>
      <c r="N41" s="269">
        <f t="shared" si="13"/>
        <v>0</v>
      </c>
      <c r="O41" s="269"/>
      <c r="P41" s="290"/>
      <c r="Q41" s="181"/>
    </row>
    <row r="42" spans="1:20" ht="15.6" thickTop="1" thickBot="1">
      <c r="A42" s="73"/>
      <c r="B42" s="380"/>
      <c r="C42" s="183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:K42" si="14">SUM(G36:G41)</f>
        <v>0</v>
      </c>
      <c r="H42" s="268">
        <f t="shared" si="14"/>
        <v>0</v>
      </c>
      <c r="I42" s="268">
        <f t="shared" si="14"/>
        <v>0</v>
      </c>
      <c r="J42" s="268">
        <f t="shared" si="14"/>
        <v>0</v>
      </c>
      <c r="K42" s="268">
        <f t="shared" si="14"/>
        <v>0</v>
      </c>
      <c r="L42" s="273"/>
      <c r="M42" s="267">
        <f>SUM(M36:M41)</f>
        <v>0</v>
      </c>
      <c r="N42" s="279">
        <f>SUM(N36:N41)</f>
        <v>0</v>
      </c>
      <c r="O42" s="172"/>
      <c r="P42" s="185"/>
      <c r="Q42" s="187"/>
    </row>
    <row r="43" spans="1:20" ht="15.6" thickTop="1" thickBot="1">
      <c r="A43" s="73"/>
      <c r="B43" s="380"/>
      <c r="C43" s="167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68"/>
      <c r="T43" s="184">
        <f>$V$3+L11+L19+L27+L35+L43</f>
        <v>11082547.809999999</v>
      </c>
    </row>
    <row r="44" spans="1:20" ht="15.6" thickTop="1" thickBot="1">
      <c r="A44" s="73" t="str">
        <f ca="1">OFFSET('0'!$B$112,($A$1-1)*10,$B44-1)</f>
        <v>SS</v>
      </c>
      <c r="B44" s="380">
        <f ca="1">OFFSET('0'!$B$111,($A$1-1)*10,5)</f>
        <v>6</v>
      </c>
      <c r="C44" s="178"/>
      <c r="D44" s="301"/>
      <c r="E44" s="302"/>
      <c r="F44" s="303"/>
      <c r="G44" s="303"/>
      <c r="H44" s="303"/>
      <c r="I44" s="303"/>
      <c r="J44" s="303"/>
      <c r="K44" s="303"/>
      <c r="L44" s="304"/>
      <c r="M44" s="302">
        <f>SUM(D44-E44)</f>
        <v>0</v>
      </c>
      <c r="N44" s="305">
        <f t="shared" ref="N44:N49" si="15">SUM(E44,M44)</f>
        <v>0</v>
      </c>
      <c r="O44" s="305"/>
      <c r="P44" s="306"/>
      <c r="Q44" s="179"/>
    </row>
    <row r="45" spans="1:20" ht="15.6" thickTop="1" thickBot="1">
      <c r="A45" s="73"/>
      <c r="B45" s="380"/>
      <c r="C45" s="180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15"/>
        <v>0</v>
      </c>
      <c r="O45" s="269"/>
      <c r="P45" s="290"/>
      <c r="Q45" s="181"/>
    </row>
    <row r="46" spans="1:20" ht="15.6" thickTop="1" thickBot="1">
      <c r="A46" s="73"/>
      <c r="B46" s="380"/>
      <c r="C46" s="180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16">SUM(D46-E46)</f>
        <v>0</v>
      </c>
      <c r="N46" s="269">
        <f t="shared" si="15"/>
        <v>0</v>
      </c>
      <c r="O46" s="269"/>
      <c r="P46" s="290"/>
      <c r="Q46" s="181"/>
    </row>
    <row r="47" spans="1:20" ht="15.6" thickTop="1" thickBot="1">
      <c r="A47" s="73"/>
      <c r="B47" s="380"/>
      <c r="C47" s="182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16"/>
        <v>0</v>
      </c>
      <c r="N47" s="269">
        <f t="shared" si="15"/>
        <v>0</v>
      </c>
      <c r="O47" s="269"/>
      <c r="P47" s="290"/>
      <c r="Q47" s="181"/>
    </row>
    <row r="48" spans="1:20" ht="15.6" thickTop="1" thickBot="1">
      <c r="A48" s="73"/>
      <c r="B48" s="380"/>
      <c r="C48" s="182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16"/>
        <v>0</v>
      </c>
      <c r="N48" s="269">
        <f t="shared" si="15"/>
        <v>0</v>
      </c>
      <c r="O48" s="279"/>
      <c r="P48" s="292"/>
      <c r="Q48" s="187"/>
    </row>
    <row r="49" spans="1:20" ht="15.6" thickTop="1" thickBot="1">
      <c r="A49" s="73"/>
      <c r="B49" s="380"/>
      <c r="C49" s="182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16"/>
        <v>0</v>
      </c>
      <c r="N49" s="279">
        <f t="shared" si="15"/>
        <v>0</v>
      </c>
      <c r="O49" s="279"/>
      <c r="P49" s="292"/>
      <c r="Q49" s="187"/>
    </row>
    <row r="50" spans="1:20" ht="15.6" thickTop="1" thickBot="1">
      <c r="A50" s="73"/>
      <c r="B50" s="380"/>
      <c r="C50" s="183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:K50" si="17">SUM(G44:G49)</f>
        <v>0</v>
      </c>
      <c r="H50" s="268">
        <f t="shared" si="17"/>
        <v>0</v>
      </c>
      <c r="I50" s="268">
        <f t="shared" si="17"/>
        <v>0</v>
      </c>
      <c r="J50" s="268">
        <f t="shared" si="17"/>
        <v>0</v>
      </c>
      <c r="K50" s="268">
        <f t="shared" si="17"/>
        <v>0</v>
      </c>
      <c r="L50" s="273"/>
      <c r="M50" s="267">
        <f>SUM(M44:M49)</f>
        <v>0</v>
      </c>
      <c r="N50" s="280">
        <f>SUM(N44:N49)</f>
        <v>0</v>
      </c>
      <c r="O50" s="188"/>
      <c r="P50" s="189"/>
      <c r="Q50" s="187"/>
    </row>
    <row r="51" spans="1:20" ht="15.6" thickTop="1" thickBot="1">
      <c r="A51" s="73"/>
      <c r="B51" s="380"/>
      <c r="C51" s="173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81">
        <f>SUM(M44:M49)</f>
        <v>0</v>
      </c>
      <c r="N51" s="281">
        <f>SUM(N44:N49)</f>
        <v>0</v>
      </c>
      <c r="O51" s="272">
        <f>SUM(O50)</f>
        <v>0</v>
      </c>
      <c r="P51" s="275">
        <f>SUM(P50)</f>
        <v>0</v>
      </c>
      <c r="Q51" s="174"/>
      <c r="T51" s="184">
        <f>$V$3+L11+L19+L27+L35+L43+L51</f>
        <v>11082547.809999999</v>
      </c>
    </row>
    <row r="52" spans="1:20" ht="15.6" thickTop="1" thickBot="1">
      <c r="A52" s="73" t="str">
        <f ca="1">OFFSET('0'!$B$112,($A$1-1)*10,$B52-1)</f>
        <v>SK</v>
      </c>
      <c r="B52" s="380">
        <f ca="1">OFFSET('0'!$B$111,($A$1-1)*10,6)</f>
        <v>7</v>
      </c>
      <c r="C52" s="178"/>
      <c r="D52" s="301"/>
      <c r="E52" s="302"/>
      <c r="F52" s="303"/>
      <c r="G52" s="303"/>
      <c r="H52" s="303"/>
      <c r="I52" s="303"/>
      <c r="J52" s="303"/>
      <c r="K52" s="303"/>
      <c r="L52" s="304"/>
      <c r="M52" s="302">
        <f>SUM(D52-E52)</f>
        <v>0</v>
      </c>
      <c r="N52" s="305">
        <f t="shared" ref="N52:N57" si="18">SUM(E52,M52)</f>
        <v>0</v>
      </c>
      <c r="O52" s="305"/>
      <c r="P52" s="306"/>
      <c r="Q52" s="179"/>
    </row>
    <row r="53" spans="1:20" ht="15.6" thickTop="1" thickBot="1">
      <c r="A53" s="73"/>
      <c r="B53" s="380"/>
      <c r="C53" s="180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18"/>
        <v>0</v>
      </c>
      <c r="O53" s="269"/>
      <c r="P53" s="290"/>
      <c r="Q53" s="181"/>
    </row>
    <row r="54" spans="1:20" ht="15.6" thickTop="1" thickBot="1">
      <c r="A54" s="73"/>
      <c r="B54" s="380"/>
      <c r="C54" s="180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19">SUM(D54-E54)</f>
        <v>0</v>
      </c>
      <c r="N54" s="269">
        <f t="shared" si="18"/>
        <v>0</v>
      </c>
      <c r="O54" s="269"/>
      <c r="P54" s="290"/>
      <c r="Q54" s="181"/>
    </row>
    <row r="55" spans="1:20" ht="15.6" thickTop="1" thickBot="1">
      <c r="A55" s="73"/>
      <c r="B55" s="380"/>
      <c r="C55" s="182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19"/>
        <v>0</v>
      </c>
      <c r="N55" s="269">
        <f t="shared" si="18"/>
        <v>0</v>
      </c>
      <c r="O55" s="269"/>
      <c r="P55" s="290"/>
      <c r="Q55" s="181"/>
    </row>
    <row r="56" spans="1:20" ht="15.6" thickTop="1" thickBot="1">
      <c r="A56" s="73"/>
      <c r="B56" s="380"/>
      <c r="C56" s="182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19"/>
        <v>0</v>
      </c>
      <c r="N56" s="269">
        <f t="shared" si="18"/>
        <v>0</v>
      </c>
      <c r="O56" s="279"/>
      <c r="P56" s="292"/>
      <c r="Q56" s="187"/>
    </row>
    <row r="57" spans="1:20" ht="15.6" thickTop="1" thickBot="1">
      <c r="A57" s="73"/>
      <c r="B57" s="380"/>
      <c r="C57" s="182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19"/>
        <v>0</v>
      </c>
      <c r="N57" s="279">
        <f t="shared" si="18"/>
        <v>0</v>
      </c>
      <c r="O57" s="279"/>
      <c r="P57" s="292"/>
      <c r="Q57" s="187"/>
    </row>
    <row r="58" spans="1:20" ht="15.6" thickTop="1" thickBot="1">
      <c r="A58" s="73"/>
      <c r="B58" s="380"/>
      <c r="C58" s="183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:K58" si="20">SUM(G52:G57)</f>
        <v>0</v>
      </c>
      <c r="H58" s="268">
        <f t="shared" si="20"/>
        <v>0</v>
      </c>
      <c r="I58" s="268">
        <f t="shared" si="20"/>
        <v>0</v>
      </c>
      <c r="J58" s="268">
        <f t="shared" si="20"/>
        <v>0</v>
      </c>
      <c r="K58" s="268">
        <f t="shared" si="20"/>
        <v>0</v>
      </c>
      <c r="L58" s="273"/>
      <c r="M58" s="267">
        <f>SUM(M52:M57)</f>
        <v>0</v>
      </c>
      <c r="N58" s="280">
        <f>SUM(N52:N57)</f>
        <v>0</v>
      </c>
      <c r="O58" s="188"/>
      <c r="P58" s="189"/>
      <c r="Q58" s="187"/>
    </row>
    <row r="59" spans="1:20" ht="15.6" thickTop="1" thickBot="1">
      <c r="A59" s="73"/>
      <c r="B59" s="380"/>
      <c r="C59" s="167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68"/>
      <c r="T59" s="184">
        <f>$V$3+L11+L19+L27+L35+L43+L51+L59</f>
        <v>11082547.809999999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78"/>
      <c r="D60" s="301"/>
      <c r="E60" s="302"/>
      <c r="F60" s="303"/>
      <c r="G60" s="303"/>
      <c r="H60" s="303"/>
      <c r="I60" s="303"/>
      <c r="J60" s="303"/>
      <c r="K60" s="303"/>
      <c r="L60" s="304"/>
      <c r="M60" s="302">
        <f>SUM(D60-E60)</f>
        <v>0</v>
      </c>
      <c r="N60" s="305">
        <f t="shared" ref="N60:N65" si="21">SUM(E60,M60)</f>
        <v>0</v>
      </c>
      <c r="O60" s="305"/>
      <c r="P60" s="306"/>
      <c r="Q60" s="179"/>
    </row>
    <row r="61" spans="1:20" ht="15.6" thickTop="1" thickBot="1">
      <c r="A61" s="73"/>
      <c r="B61" s="380"/>
      <c r="C61" s="180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21"/>
        <v>0</v>
      </c>
      <c r="O61" s="269"/>
      <c r="P61" s="290"/>
      <c r="Q61" s="181"/>
    </row>
    <row r="62" spans="1:20" ht="15.6" thickTop="1" thickBot="1">
      <c r="A62" s="73"/>
      <c r="B62" s="380"/>
      <c r="C62" s="180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22">SUM(D62-E62)</f>
        <v>0</v>
      </c>
      <c r="N62" s="269">
        <f t="shared" si="21"/>
        <v>0</v>
      </c>
      <c r="O62" s="269"/>
      <c r="P62" s="290"/>
      <c r="Q62" s="181"/>
    </row>
    <row r="63" spans="1:20" ht="15.6" thickTop="1" thickBot="1">
      <c r="A63" s="73"/>
      <c r="B63" s="380"/>
      <c r="C63" s="182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22"/>
        <v>0</v>
      </c>
      <c r="N63" s="269">
        <f t="shared" si="21"/>
        <v>0</v>
      </c>
      <c r="O63" s="269"/>
      <c r="P63" s="290"/>
      <c r="Q63" s="181"/>
    </row>
    <row r="64" spans="1:20" ht="15.6" thickTop="1" thickBot="1">
      <c r="A64" s="73"/>
      <c r="B64" s="380"/>
      <c r="C64" s="182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22"/>
        <v>0</v>
      </c>
      <c r="N64" s="269">
        <f t="shared" si="21"/>
        <v>0</v>
      </c>
      <c r="O64" s="279"/>
      <c r="P64" s="292"/>
      <c r="Q64" s="187"/>
    </row>
    <row r="65" spans="1:20" ht="15.6" thickTop="1" thickBot="1">
      <c r="A65" s="73"/>
      <c r="B65" s="380"/>
      <c r="C65" s="182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22"/>
        <v>0</v>
      </c>
      <c r="N65" s="279">
        <f t="shared" si="21"/>
        <v>0</v>
      </c>
      <c r="O65" s="279"/>
      <c r="P65" s="292"/>
      <c r="Q65" s="187"/>
    </row>
    <row r="66" spans="1:20" ht="15.6" thickTop="1" thickBot="1">
      <c r="A66" s="73"/>
      <c r="B66" s="380"/>
      <c r="C66" s="183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:K66" si="23">SUM(G60:G65)</f>
        <v>0</v>
      </c>
      <c r="H66" s="268">
        <f t="shared" si="23"/>
        <v>0</v>
      </c>
      <c r="I66" s="268">
        <f t="shared" si="23"/>
        <v>0</v>
      </c>
      <c r="J66" s="268">
        <f t="shared" si="23"/>
        <v>0</v>
      </c>
      <c r="K66" s="268">
        <f t="shared" si="23"/>
        <v>0</v>
      </c>
      <c r="L66" s="273"/>
      <c r="M66" s="267">
        <f>SUM(M60:M65)</f>
        <v>0</v>
      </c>
      <c r="N66" s="280">
        <f>SUM(N60:N65)</f>
        <v>0</v>
      </c>
      <c r="O66" s="188"/>
      <c r="P66" s="189"/>
      <c r="Q66" s="187"/>
    </row>
    <row r="67" spans="1:20" ht="15.6" thickTop="1" thickBot="1">
      <c r="A67" s="73"/>
      <c r="B67" s="380"/>
      <c r="C67" s="167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68"/>
      <c r="T67" s="184">
        <f>$V$3+L11+L19+L27+L35+L43+L51+L59+L67</f>
        <v>11082547.809999999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78"/>
      <c r="D68" s="301"/>
      <c r="E68" s="302"/>
      <c r="F68" s="303"/>
      <c r="G68" s="303"/>
      <c r="H68" s="303"/>
      <c r="I68" s="303"/>
      <c r="J68" s="303"/>
      <c r="K68" s="303"/>
      <c r="L68" s="304"/>
      <c r="M68" s="302">
        <f>SUM(D68-E68)</f>
        <v>0</v>
      </c>
      <c r="N68" s="305">
        <f>SUM(E68,M68)</f>
        <v>0</v>
      </c>
      <c r="O68" s="305"/>
      <c r="P68" s="306"/>
      <c r="Q68" s="179"/>
    </row>
    <row r="69" spans="1:20" ht="15.6" thickTop="1" thickBot="1">
      <c r="A69" s="73"/>
      <c r="B69" s="380"/>
      <c r="C69" s="180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81"/>
    </row>
    <row r="70" spans="1:20" ht="15.6" thickTop="1" thickBot="1">
      <c r="A70" s="73"/>
      <c r="B70" s="380"/>
      <c r="C70" s="180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24">SUM(D70-E70)</f>
        <v>0</v>
      </c>
      <c r="N70" s="269">
        <f>SUM(E70,M70)</f>
        <v>0</v>
      </c>
      <c r="O70" s="269"/>
      <c r="P70" s="290"/>
      <c r="Q70" s="181"/>
    </row>
    <row r="71" spans="1:20" ht="15.6" thickTop="1" thickBot="1">
      <c r="A71" s="73"/>
      <c r="B71" s="380"/>
      <c r="C71" s="182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24"/>
        <v>0</v>
      </c>
      <c r="N71" s="269">
        <f>SUM(E71,M71)</f>
        <v>0</v>
      </c>
      <c r="O71" s="269"/>
      <c r="P71" s="290"/>
      <c r="Q71" s="181"/>
    </row>
    <row r="72" spans="1:20" ht="15.6" thickTop="1" thickBot="1">
      <c r="A72" s="73"/>
      <c r="B72" s="380"/>
      <c r="C72" s="182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24"/>
        <v>0</v>
      </c>
      <c r="N72" s="269">
        <f t="shared" ref="N72:N73" si="25">SUM(E72,M72)</f>
        <v>0</v>
      </c>
      <c r="O72" s="269"/>
      <c r="P72" s="290"/>
      <c r="Q72" s="181"/>
    </row>
    <row r="73" spans="1:20" ht="15.6" thickTop="1" thickBot="1">
      <c r="A73" s="73"/>
      <c r="B73" s="380"/>
      <c r="C73" s="182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24"/>
        <v>0</v>
      </c>
      <c r="N73" s="269">
        <f t="shared" si="25"/>
        <v>0</v>
      </c>
      <c r="O73" s="269"/>
      <c r="P73" s="290"/>
      <c r="Q73" s="181"/>
    </row>
    <row r="74" spans="1:20" ht="15.6" thickTop="1" thickBot="1">
      <c r="A74" s="73"/>
      <c r="B74" s="380"/>
      <c r="C74" s="183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:K74" si="26">SUM(G68:G73)</f>
        <v>0</v>
      </c>
      <c r="H74" s="268">
        <f t="shared" si="26"/>
        <v>0</v>
      </c>
      <c r="I74" s="268">
        <f t="shared" si="26"/>
        <v>0</v>
      </c>
      <c r="J74" s="268">
        <f t="shared" si="26"/>
        <v>0</v>
      </c>
      <c r="K74" s="268">
        <f t="shared" si="26"/>
        <v>0</v>
      </c>
      <c r="L74" s="273"/>
      <c r="M74" s="267">
        <f>SUM(M68:M73)</f>
        <v>0</v>
      </c>
      <c r="N74" s="269">
        <f>SUM(N68:N73)</f>
        <v>0</v>
      </c>
      <c r="O74" s="170"/>
      <c r="P74" s="171"/>
      <c r="Q74" s="181"/>
    </row>
    <row r="75" spans="1:20" ht="15.6" thickTop="1" thickBot="1">
      <c r="A75" s="73"/>
      <c r="B75" s="380"/>
      <c r="C75" s="167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68"/>
      <c r="T75" s="184">
        <f>$V$3+L11+L19+L27+L35+L43+L51+L59+L67+L75</f>
        <v>11082547.809999999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78"/>
      <c r="D76" s="301"/>
      <c r="E76" s="302"/>
      <c r="F76" s="303"/>
      <c r="G76" s="303"/>
      <c r="H76" s="303"/>
      <c r="I76" s="303"/>
      <c r="J76" s="303"/>
      <c r="K76" s="303"/>
      <c r="L76" s="304"/>
      <c r="M76" s="302">
        <f>SUM(D76-E76)</f>
        <v>0</v>
      </c>
      <c r="N76" s="305">
        <f t="shared" ref="N76:N81" si="27">SUM(E76,M76)</f>
        <v>0</v>
      </c>
      <c r="O76" s="305"/>
      <c r="P76" s="306"/>
      <c r="Q76" s="179"/>
    </row>
    <row r="77" spans="1:20" ht="15.6" thickTop="1" thickBot="1">
      <c r="A77" s="73"/>
      <c r="B77" s="380"/>
      <c r="C77" s="180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27"/>
        <v>0</v>
      </c>
      <c r="O77" s="269"/>
      <c r="P77" s="290"/>
      <c r="Q77" s="181"/>
    </row>
    <row r="78" spans="1:20" ht="15.6" thickTop="1" thickBot="1">
      <c r="A78" s="73"/>
      <c r="B78" s="380"/>
      <c r="C78" s="180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28">SUM(D78-E78)</f>
        <v>0</v>
      </c>
      <c r="N78" s="269">
        <f t="shared" si="27"/>
        <v>0</v>
      </c>
      <c r="O78" s="269"/>
      <c r="P78" s="290"/>
      <c r="Q78" s="181"/>
    </row>
    <row r="79" spans="1:20" ht="15.6" thickTop="1" thickBot="1">
      <c r="A79" s="73"/>
      <c r="B79" s="380"/>
      <c r="C79" s="182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28"/>
        <v>0</v>
      </c>
      <c r="N79" s="269">
        <f t="shared" si="27"/>
        <v>0</v>
      </c>
      <c r="O79" s="269"/>
      <c r="P79" s="290"/>
      <c r="Q79" s="181"/>
    </row>
    <row r="80" spans="1:20" ht="15.6" thickTop="1" thickBot="1">
      <c r="A80" s="73"/>
      <c r="B80" s="380"/>
      <c r="C80" s="182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28"/>
        <v>0</v>
      </c>
      <c r="N80" s="269">
        <f t="shared" si="27"/>
        <v>0</v>
      </c>
      <c r="O80" s="279"/>
      <c r="P80" s="294"/>
      <c r="Q80" s="181"/>
    </row>
    <row r="81" spans="1:20" ht="15.6" thickTop="1" thickBot="1">
      <c r="A81" s="73"/>
      <c r="B81" s="380"/>
      <c r="C81" s="182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28"/>
        <v>0</v>
      </c>
      <c r="N81" s="279">
        <f t="shared" si="27"/>
        <v>0</v>
      </c>
      <c r="O81" s="279"/>
      <c r="P81" s="294"/>
      <c r="Q81" s="181"/>
    </row>
    <row r="82" spans="1:20" ht="15.6" thickTop="1" thickBot="1">
      <c r="A82" s="73"/>
      <c r="B82" s="380"/>
      <c r="C82" s="183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:K82" si="29">SUM(G76:G81)</f>
        <v>0</v>
      </c>
      <c r="H82" s="268">
        <f t="shared" si="29"/>
        <v>0</v>
      </c>
      <c r="I82" s="268">
        <f t="shared" si="29"/>
        <v>0</v>
      </c>
      <c r="J82" s="268">
        <f t="shared" si="29"/>
        <v>0</v>
      </c>
      <c r="K82" s="268">
        <f t="shared" si="29"/>
        <v>0</v>
      </c>
      <c r="L82" s="273"/>
      <c r="M82" s="267">
        <f>SUM(M76:M81)</f>
        <v>0</v>
      </c>
      <c r="N82" s="269">
        <f>SUM(N76:N81)</f>
        <v>0</v>
      </c>
      <c r="O82" s="170"/>
      <c r="P82" s="171"/>
      <c r="Q82" s="181"/>
    </row>
    <row r="83" spans="1:20" ht="15.6" thickTop="1" thickBot="1">
      <c r="A83" s="73"/>
      <c r="B83" s="380"/>
      <c r="C83" s="167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68"/>
      <c r="T83" s="184">
        <f>$V$3+L11+L19+L27+L35+L43+L51+L59+L67+L75+L83</f>
        <v>11082547.809999999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78"/>
      <c r="D84" s="301"/>
      <c r="E84" s="302"/>
      <c r="F84" s="303"/>
      <c r="G84" s="303"/>
      <c r="H84" s="303"/>
      <c r="I84" s="303"/>
      <c r="J84" s="303"/>
      <c r="K84" s="303"/>
      <c r="L84" s="304"/>
      <c r="M84" s="302">
        <f>SUM(D84-E84)</f>
        <v>0</v>
      </c>
      <c r="N84" s="305">
        <f t="shared" ref="N84:N89" si="30">SUM(E84,M84)</f>
        <v>0</v>
      </c>
      <c r="O84" s="305"/>
      <c r="P84" s="306"/>
      <c r="Q84" s="179"/>
    </row>
    <row r="85" spans="1:20" ht="15.6" thickTop="1" thickBot="1">
      <c r="A85" s="73"/>
      <c r="B85" s="380"/>
      <c r="C85" s="180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30"/>
        <v>0</v>
      </c>
      <c r="O85" s="269"/>
      <c r="P85" s="290"/>
      <c r="Q85" s="181"/>
    </row>
    <row r="86" spans="1:20" ht="15.6" thickTop="1" thickBot="1">
      <c r="A86" s="73"/>
      <c r="B86" s="380"/>
      <c r="C86" s="180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31">SUM(D86-E86)</f>
        <v>0</v>
      </c>
      <c r="N86" s="269">
        <f t="shared" si="30"/>
        <v>0</v>
      </c>
      <c r="O86" s="269"/>
      <c r="P86" s="290"/>
      <c r="Q86" s="181"/>
    </row>
    <row r="87" spans="1:20" ht="15.6" thickTop="1" thickBot="1">
      <c r="A87" s="73"/>
      <c r="B87" s="380"/>
      <c r="C87" s="182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31"/>
        <v>0</v>
      </c>
      <c r="N87" s="269">
        <f t="shared" si="30"/>
        <v>0</v>
      </c>
      <c r="O87" s="269"/>
      <c r="P87" s="290"/>
      <c r="Q87" s="181"/>
    </row>
    <row r="88" spans="1:20" ht="15.6" thickTop="1" thickBot="1">
      <c r="A88" s="73"/>
      <c r="B88" s="380"/>
      <c r="C88" s="182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31"/>
        <v>0</v>
      </c>
      <c r="N88" s="269">
        <f t="shared" si="30"/>
        <v>0</v>
      </c>
      <c r="O88" s="269"/>
      <c r="P88" s="290"/>
      <c r="Q88" s="181"/>
    </row>
    <row r="89" spans="1:20" ht="15.6" thickTop="1" thickBot="1">
      <c r="A89" s="73"/>
      <c r="B89" s="380"/>
      <c r="C89" s="182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31"/>
        <v>0</v>
      </c>
      <c r="N89" s="279">
        <f t="shared" si="30"/>
        <v>0</v>
      </c>
      <c r="O89" s="279"/>
      <c r="P89" s="294"/>
      <c r="Q89" s="181"/>
    </row>
    <row r="90" spans="1:20" ht="15.6" thickTop="1" thickBot="1">
      <c r="A90" s="73"/>
      <c r="B90" s="380"/>
      <c r="C90" s="183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:K90" si="32">SUM(G84:G89)</f>
        <v>0</v>
      </c>
      <c r="H90" s="268">
        <f t="shared" si="32"/>
        <v>0</v>
      </c>
      <c r="I90" s="268">
        <f t="shared" si="32"/>
        <v>0</v>
      </c>
      <c r="J90" s="268">
        <f t="shared" si="32"/>
        <v>0</v>
      </c>
      <c r="K90" s="268">
        <f t="shared" si="32"/>
        <v>0</v>
      </c>
      <c r="L90" s="273"/>
      <c r="M90" s="267">
        <f>SUM(M84:M89)</f>
        <v>0</v>
      </c>
      <c r="N90" s="269">
        <f>SUM(N84:N89)</f>
        <v>0</v>
      </c>
      <c r="O90" s="170"/>
      <c r="P90" s="171"/>
      <c r="Q90" s="181"/>
    </row>
    <row r="91" spans="1:20" ht="15.6" thickTop="1" thickBot="1">
      <c r="A91" s="73"/>
      <c r="B91" s="380"/>
      <c r="C91" s="167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68"/>
      <c r="T91" s="184">
        <f>$V$3+L11+L19+L27+L35+L43+L51+L59+L67+L75+L83+L91</f>
        <v>11082547.809999999</v>
      </c>
    </row>
    <row r="92" spans="1:20" ht="15.6" thickTop="1" thickBot="1">
      <c r="A92" s="73" t="str">
        <f ca="1">OFFSET('0'!$B$112,($A$1-1)*10,$B92-1)</f>
        <v>--</v>
      </c>
      <c r="B92" s="380">
        <f ca="1">OFFSET('0'!$B$111,($A$1-1)*10,11)</f>
        <v>12</v>
      </c>
      <c r="C92" s="178"/>
      <c r="D92" s="301"/>
      <c r="E92" s="302"/>
      <c r="F92" s="303"/>
      <c r="G92" s="303"/>
      <c r="H92" s="303"/>
      <c r="I92" s="303"/>
      <c r="J92" s="303"/>
      <c r="K92" s="303"/>
      <c r="L92" s="304"/>
      <c r="M92" s="302">
        <f>SUM(D92-E92)</f>
        <v>0</v>
      </c>
      <c r="N92" s="305">
        <f t="shared" ref="N92:N97" si="33">SUM(E92,M92)</f>
        <v>0</v>
      </c>
      <c r="O92" s="305"/>
      <c r="P92" s="306"/>
      <c r="Q92" s="179"/>
    </row>
    <row r="93" spans="1:20" ht="15.6" thickTop="1" thickBot="1">
      <c r="A93" s="73"/>
      <c r="B93" s="380"/>
      <c r="C93" s="180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33"/>
        <v>0</v>
      </c>
      <c r="O93" s="269"/>
      <c r="P93" s="290"/>
      <c r="Q93" s="181"/>
    </row>
    <row r="94" spans="1:20" ht="15.6" thickTop="1" thickBot="1">
      <c r="A94" s="73"/>
      <c r="B94" s="380"/>
      <c r="C94" s="180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34">SUM(D94-E94)</f>
        <v>0</v>
      </c>
      <c r="N94" s="269">
        <f t="shared" si="33"/>
        <v>0</v>
      </c>
      <c r="O94" s="269"/>
      <c r="P94" s="290"/>
      <c r="Q94" s="181"/>
    </row>
    <row r="95" spans="1:20" ht="15.6" thickTop="1" thickBot="1">
      <c r="A95" s="73"/>
      <c r="B95" s="380"/>
      <c r="C95" s="182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34"/>
        <v>0</v>
      </c>
      <c r="N95" s="269">
        <f t="shared" si="33"/>
        <v>0</v>
      </c>
      <c r="O95" s="269"/>
      <c r="P95" s="290"/>
      <c r="Q95" s="181"/>
    </row>
    <row r="96" spans="1:20" ht="15.6" thickTop="1" thickBot="1">
      <c r="A96" s="73"/>
      <c r="B96" s="380"/>
      <c r="C96" s="182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34"/>
        <v>0</v>
      </c>
      <c r="N96" s="269">
        <f t="shared" si="33"/>
        <v>0</v>
      </c>
      <c r="O96" s="269"/>
      <c r="P96" s="290"/>
      <c r="Q96" s="181"/>
    </row>
    <row r="97" spans="1:20" ht="15.6" thickTop="1" thickBot="1">
      <c r="A97" s="73"/>
      <c r="B97" s="380"/>
      <c r="C97" s="182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34"/>
        <v>0</v>
      </c>
      <c r="N97" s="279">
        <f t="shared" si="33"/>
        <v>0</v>
      </c>
      <c r="O97" s="279"/>
      <c r="P97" s="294"/>
      <c r="Q97" s="181"/>
    </row>
    <row r="98" spans="1:20" ht="15.6" thickTop="1" thickBot="1">
      <c r="A98" s="73"/>
      <c r="B98" s="380"/>
      <c r="C98" s="183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:K98" si="35">SUM(G92:G97)</f>
        <v>0</v>
      </c>
      <c r="H98" s="268">
        <f t="shared" si="35"/>
        <v>0</v>
      </c>
      <c r="I98" s="268">
        <f t="shared" si="35"/>
        <v>0</v>
      </c>
      <c r="J98" s="268">
        <f t="shared" si="35"/>
        <v>0</v>
      </c>
      <c r="K98" s="268">
        <f t="shared" si="35"/>
        <v>0</v>
      </c>
      <c r="L98" s="273"/>
      <c r="M98" s="267">
        <f>SUM(M92:M97)</f>
        <v>0</v>
      </c>
      <c r="N98" s="269">
        <f>SUM(N92:N97)</f>
        <v>0</v>
      </c>
      <c r="O98" s="170"/>
      <c r="P98" s="171"/>
      <c r="Q98" s="181"/>
    </row>
    <row r="99" spans="1:20" ht="15.6" thickTop="1" thickBot="1">
      <c r="A99" s="73"/>
      <c r="B99" s="380"/>
      <c r="C99" s="167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68"/>
      <c r="T99" s="184">
        <f>$V$3+L11+L19+L27+L35+L43+L51+L59+L67+L75+L83+L91+L99</f>
        <v>11082547.809999999</v>
      </c>
    </row>
    <row r="100" spans="1:20" ht="15.6" thickTop="1" thickBot="1">
      <c r="A100" s="73" t="str">
        <f ca="1">OFFSET('0'!$B$112,($A$1-1)*10,$B100-1)</f>
        <v>SS</v>
      </c>
      <c r="B100" s="380">
        <f ca="1">OFFSET('0'!$B$111,($A$1-1)*10,12)</f>
        <v>13</v>
      </c>
      <c r="C100" s="178"/>
      <c r="D100" s="301"/>
      <c r="E100" s="302"/>
      <c r="F100" s="303"/>
      <c r="G100" s="303"/>
      <c r="H100" s="303"/>
      <c r="I100" s="303"/>
      <c r="J100" s="303"/>
      <c r="K100" s="303"/>
      <c r="L100" s="304"/>
      <c r="M100" s="302">
        <f>SUM(D100-E100)</f>
        <v>0</v>
      </c>
      <c r="N100" s="305">
        <f t="shared" ref="N100:N105" si="36">SUM(E100,M100)</f>
        <v>0</v>
      </c>
      <c r="O100" s="305"/>
      <c r="P100" s="306"/>
      <c r="Q100" s="179"/>
    </row>
    <row r="101" spans="1:20" ht="15.6" thickTop="1" thickBot="1">
      <c r="A101" s="73"/>
      <c r="B101" s="380"/>
      <c r="C101" s="180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36"/>
        <v>0</v>
      </c>
      <c r="O101" s="269"/>
      <c r="P101" s="290"/>
      <c r="Q101" s="181"/>
    </row>
    <row r="102" spans="1:20" ht="15.6" thickTop="1" thickBot="1">
      <c r="A102" s="73"/>
      <c r="B102" s="380"/>
      <c r="C102" s="180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37">SUM(D102-E102)</f>
        <v>0</v>
      </c>
      <c r="N102" s="269">
        <f t="shared" si="36"/>
        <v>0</v>
      </c>
      <c r="O102" s="269"/>
      <c r="P102" s="290"/>
      <c r="Q102" s="181"/>
    </row>
    <row r="103" spans="1:20" ht="15.6" thickTop="1" thickBot="1">
      <c r="A103" s="73"/>
      <c r="B103" s="380"/>
      <c r="C103" s="182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37"/>
        <v>0</v>
      </c>
      <c r="N103" s="269">
        <f t="shared" si="36"/>
        <v>0</v>
      </c>
      <c r="O103" s="269"/>
      <c r="P103" s="290"/>
      <c r="Q103" s="181"/>
    </row>
    <row r="104" spans="1:20" ht="15.6" thickTop="1" thickBot="1">
      <c r="A104" s="73"/>
      <c r="B104" s="380"/>
      <c r="C104" s="182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37"/>
        <v>0</v>
      </c>
      <c r="N104" s="269">
        <f t="shared" si="36"/>
        <v>0</v>
      </c>
      <c r="O104" s="269"/>
      <c r="P104" s="290"/>
      <c r="Q104" s="181"/>
    </row>
    <row r="105" spans="1:20" ht="15.6" thickTop="1" thickBot="1">
      <c r="A105" s="73"/>
      <c r="B105" s="380"/>
      <c r="C105" s="182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37"/>
        <v>0</v>
      </c>
      <c r="N105" s="279">
        <f t="shared" si="36"/>
        <v>0</v>
      </c>
      <c r="O105" s="279"/>
      <c r="P105" s="294"/>
      <c r="Q105" s="181"/>
    </row>
    <row r="106" spans="1:20" ht="15.6" thickTop="1" thickBot="1">
      <c r="A106" s="73"/>
      <c r="B106" s="380"/>
      <c r="C106" s="190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:K106" si="38">SUM(G100:G105)</f>
        <v>0</v>
      </c>
      <c r="H106" s="268">
        <f t="shared" si="38"/>
        <v>0</v>
      </c>
      <c r="I106" s="268">
        <f t="shared" si="38"/>
        <v>0</v>
      </c>
      <c r="J106" s="268">
        <f t="shared" si="38"/>
        <v>0</v>
      </c>
      <c r="K106" s="268">
        <f t="shared" si="38"/>
        <v>0</v>
      </c>
      <c r="L106" s="273"/>
      <c r="M106" s="267">
        <f>SUM(M100:M105)</f>
        <v>0</v>
      </c>
      <c r="N106" s="269">
        <f>SUM(N100:N105)</f>
        <v>0</v>
      </c>
      <c r="O106" s="170"/>
      <c r="P106" s="171"/>
      <c r="Q106" s="181"/>
    </row>
    <row r="107" spans="1:20" ht="15.6" thickTop="1" thickBot="1">
      <c r="A107" s="73"/>
      <c r="B107" s="380"/>
      <c r="C107" s="167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68"/>
      <c r="T107" s="184">
        <f>$V$3+L11+L19+L27+L35+L43+L51+L59+L67+L75+L83+L91+L99+L107</f>
        <v>11082547.809999999</v>
      </c>
    </row>
    <row r="108" spans="1:20" ht="15.6" thickTop="1" thickBot="1">
      <c r="A108" s="73" t="str">
        <f ca="1">OFFSET('0'!$B$112,($A$1-1)*10,$B108-1)</f>
        <v>SK</v>
      </c>
      <c r="B108" s="380">
        <f ca="1">OFFSET('0'!$B$111,($A$1-1)*10,13)</f>
        <v>14</v>
      </c>
      <c r="C108" s="178"/>
      <c r="D108" s="301"/>
      <c r="E108" s="302"/>
      <c r="F108" s="303"/>
      <c r="G108" s="303"/>
      <c r="H108" s="303"/>
      <c r="I108" s="303"/>
      <c r="J108" s="303"/>
      <c r="K108" s="303"/>
      <c r="L108" s="304"/>
      <c r="M108" s="302">
        <f>SUM(D108-E108)</f>
        <v>0</v>
      </c>
      <c r="N108" s="305">
        <f t="shared" ref="N108:N113" si="39">SUM(E108,M108)</f>
        <v>0</v>
      </c>
      <c r="O108" s="305"/>
      <c r="P108" s="306"/>
      <c r="Q108" s="179"/>
    </row>
    <row r="109" spans="1:20" ht="15.6" thickTop="1" thickBot="1">
      <c r="A109" s="73"/>
      <c r="B109" s="380"/>
      <c r="C109" s="180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39"/>
        <v>0</v>
      </c>
      <c r="O109" s="269"/>
      <c r="P109" s="290"/>
      <c r="Q109" s="181"/>
    </row>
    <row r="110" spans="1:20" ht="15.6" thickTop="1" thickBot="1">
      <c r="A110" s="73"/>
      <c r="B110" s="380"/>
      <c r="C110" s="180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40">SUM(D110-E110)</f>
        <v>0</v>
      </c>
      <c r="N110" s="269">
        <f t="shared" si="39"/>
        <v>0</v>
      </c>
      <c r="O110" s="269"/>
      <c r="P110" s="290"/>
      <c r="Q110" s="181"/>
    </row>
    <row r="111" spans="1:20" ht="15.6" thickTop="1" thickBot="1">
      <c r="A111" s="73"/>
      <c r="B111" s="380"/>
      <c r="C111" s="182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40"/>
        <v>0</v>
      </c>
      <c r="N111" s="269">
        <f t="shared" si="39"/>
        <v>0</v>
      </c>
      <c r="O111" s="269"/>
      <c r="P111" s="290"/>
      <c r="Q111" s="181"/>
    </row>
    <row r="112" spans="1:20" ht="15.6" thickTop="1" thickBot="1">
      <c r="A112" s="73"/>
      <c r="B112" s="380"/>
      <c r="C112" s="182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40"/>
        <v>0</v>
      </c>
      <c r="N112" s="279">
        <f t="shared" si="39"/>
        <v>0</v>
      </c>
      <c r="O112" s="279"/>
      <c r="P112" s="294"/>
      <c r="Q112" s="181"/>
    </row>
    <row r="113" spans="1:22" ht="15.6" thickTop="1" thickBot="1">
      <c r="A113" s="73"/>
      <c r="B113" s="380"/>
      <c r="C113" s="182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40"/>
        <v>0</v>
      </c>
      <c r="N113" s="269">
        <f t="shared" si="39"/>
        <v>0</v>
      </c>
      <c r="O113" s="269"/>
      <c r="P113" s="290"/>
      <c r="Q113" s="181"/>
    </row>
    <row r="114" spans="1:22" ht="15.6" thickTop="1" thickBot="1">
      <c r="A114" s="73"/>
      <c r="B114" s="380"/>
      <c r="C114" s="183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:K114" si="41">SUM(G108:G113)</f>
        <v>0</v>
      </c>
      <c r="H114" s="268">
        <f t="shared" si="41"/>
        <v>0</v>
      </c>
      <c r="I114" s="268">
        <f t="shared" si="41"/>
        <v>0</v>
      </c>
      <c r="J114" s="268">
        <f t="shared" si="41"/>
        <v>0</v>
      </c>
      <c r="K114" s="268">
        <f t="shared" si="41"/>
        <v>0</v>
      </c>
      <c r="L114" s="273"/>
      <c r="M114" s="267">
        <f>SUM(M108:M113)</f>
        <v>0</v>
      </c>
      <c r="N114" s="269">
        <f>SUM(N108:N113)</f>
        <v>0</v>
      </c>
      <c r="O114" s="170"/>
      <c r="P114" s="171"/>
      <c r="Q114" s="181"/>
    </row>
    <row r="115" spans="1:22" ht="15.6" thickTop="1" thickBot="1">
      <c r="A115" s="73"/>
      <c r="B115" s="380"/>
      <c r="C115" s="167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68"/>
      <c r="S115" s="175"/>
      <c r="T115" s="184">
        <f>$V$3+L11+L19+L27+L35+L43+L51+L59+L67+L75+L83+L91+L99+L107+L115</f>
        <v>11082547.809999999</v>
      </c>
    </row>
    <row r="116" spans="1:22" ht="15.6" thickTop="1" thickBot="1">
      <c r="A116" s="73" t="str">
        <f ca="1">OFFSET('0'!$B$112,($A$1-1)*10,$B116-1)</f>
        <v>--</v>
      </c>
      <c r="B116" s="380">
        <f ca="1">OFFSET('0'!$B$111,($A$1-1)*10,14)</f>
        <v>15</v>
      </c>
      <c r="C116" s="178"/>
      <c r="D116" s="301"/>
      <c r="E116" s="302"/>
      <c r="F116" s="303"/>
      <c r="G116" s="303"/>
      <c r="H116" s="303"/>
      <c r="I116" s="303"/>
      <c r="J116" s="303"/>
      <c r="K116" s="303"/>
      <c r="L116" s="304"/>
      <c r="M116" s="302">
        <f>SUM(D116-E116)</f>
        <v>0</v>
      </c>
      <c r="N116" s="305">
        <f t="shared" ref="N116:N121" si="42">SUM(E116,M116)</f>
        <v>0</v>
      </c>
      <c r="O116" s="305"/>
      <c r="P116" s="306"/>
      <c r="Q116" s="179"/>
    </row>
    <row r="117" spans="1:22" ht="15.6" thickTop="1" thickBot="1">
      <c r="A117" s="73"/>
      <c r="B117" s="380"/>
      <c r="C117" s="180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42"/>
        <v>0</v>
      </c>
      <c r="O117" s="269"/>
      <c r="P117" s="290"/>
      <c r="Q117" s="181"/>
    </row>
    <row r="118" spans="1:22" ht="15.6" thickTop="1" thickBot="1">
      <c r="A118" s="73"/>
      <c r="B118" s="380"/>
      <c r="C118" s="180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43">SUM(D118-E118)</f>
        <v>0</v>
      </c>
      <c r="N118" s="269">
        <f t="shared" si="42"/>
        <v>0</v>
      </c>
      <c r="O118" s="269"/>
      <c r="P118" s="290"/>
      <c r="Q118" s="181"/>
      <c r="S118" s="175"/>
    </row>
    <row r="119" spans="1:22" ht="15.6" thickTop="1" thickBot="1">
      <c r="A119" s="73"/>
      <c r="B119" s="380"/>
      <c r="C119" s="182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43"/>
        <v>0</v>
      </c>
      <c r="N119" s="269">
        <f t="shared" si="42"/>
        <v>0</v>
      </c>
      <c r="O119" s="269"/>
      <c r="P119" s="290"/>
      <c r="Q119" s="181"/>
      <c r="S119" s="175"/>
    </row>
    <row r="120" spans="1:22" ht="15.6" thickTop="1" thickBot="1">
      <c r="A120" s="73"/>
      <c r="B120" s="380"/>
      <c r="C120" s="182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43"/>
        <v>0</v>
      </c>
      <c r="N120" s="269">
        <f t="shared" si="42"/>
        <v>0</v>
      </c>
      <c r="O120" s="269"/>
      <c r="P120" s="290"/>
      <c r="Q120" s="181"/>
      <c r="S120" s="175"/>
    </row>
    <row r="121" spans="1:22" ht="15.6" thickTop="1" thickBot="1">
      <c r="A121" s="73"/>
      <c r="B121" s="380"/>
      <c r="C121" s="182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43"/>
        <v>0</v>
      </c>
      <c r="N121" s="269">
        <f t="shared" si="42"/>
        <v>0</v>
      </c>
      <c r="O121" s="269"/>
      <c r="P121" s="290"/>
      <c r="Q121" s="181"/>
      <c r="S121" s="175"/>
    </row>
    <row r="122" spans="1:22" ht="15.6" thickTop="1" thickBot="1">
      <c r="A122" s="73"/>
      <c r="B122" s="380"/>
      <c r="C122" s="183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:K122" si="44">SUM(G116:G121)</f>
        <v>0</v>
      </c>
      <c r="H122" s="268">
        <f t="shared" si="44"/>
        <v>0</v>
      </c>
      <c r="I122" s="268">
        <f t="shared" si="44"/>
        <v>0</v>
      </c>
      <c r="J122" s="268">
        <f t="shared" si="44"/>
        <v>0</v>
      </c>
      <c r="K122" s="268">
        <f t="shared" si="44"/>
        <v>0</v>
      </c>
      <c r="L122" s="273"/>
      <c r="M122" s="267">
        <f>SUM(M116:M121)</f>
        <v>0</v>
      </c>
      <c r="N122" s="269">
        <f>SUM(N116:N121)</f>
        <v>0</v>
      </c>
      <c r="O122" s="170"/>
      <c r="P122" s="171"/>
      <c r="Q122" s="181"/>
      <c r="S122" s="175"/>
    </row>
    <row r="123" spans="1:22" ht="15.6" thickTop="1" thickBot="1">
      <c r="A123" s="73"/>
      <c r="B123" s="380"/>
      <c r="C123" s="173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74"/>
      <c r="T123" s="184">
        <f>$V$3+L11+L19+L27+L35+L43+L51+L59+L67+L75+L83+L91+L99+L107+L115+L123</f>
        <v>11082547.809999999</v>
      </c>
      <c r="U123" s="175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78"/>
      <c r="D124" s="301"/>
      <c r="E124" s="302"/>
      <c r="F124" s="303"/>
      <c r="G124" s="303"/>
      <c r="H124" s="303"/>
      <c r="I124" s="303"/>
      <c r="J124" s="303"/>
      <c r="K124" s="303"/>
      <c r="L124" s="304"/>
      <c r="M124" s="302">
        <f>SUM(D124-E124)</f>
        <v>0</v>
      </c>
      <c r="N124" s="305">
        <f t="shared" ref="N124:N129" si="45">SUM(E124,M124)</f>
        <v>0</v>
      </c>
      <c r="O124" s="305"/>
      <c r="P124" s="306"/>
      <c r="Q124" s="179"/>
      <c r="V124" s="175"/>
    </row>
    <row r="125" spans="1:22" ht="15.6" thickTop="1" thickBot="1">
      <c r="A125" s="73"/>
      <c r="B125" s="380"/>
      <c r="C125" s="180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45"/>
        <v>0</v>
      </c>
      <c r="O125" s="269"/>
      <c r="P125" s="290"/>
      <c r="Q125" s="181"/>
    </row>
    <row r="126" spans="1:22" ht="15.6" thickTop="1" thickBot="1">
      <c r="A126" s="73"/>
      <c r="B126" s="380"/>
      <c r="C126" s="180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46">SUM(D126-E126)</f>
        <v>0</v>
      </c>
      <c r="N126" s="269">
        <f t="shared" si="45"/>
        <v>0</v>
      </c>
      <c r="O126" s="269"/>
      <c r="P126" s="290"/>
      <c r="Q126" s="181"/>
    </row>
    <row r="127" spans="1:22" ht="15.6" thickTop="1" thickBot="1">
      <c r="A127" s="73"/>
      <c r="B127" s="380"/>
      <c r="C127" s="182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46"/>
        <v>0</v>
      </c>
      <c r="N127" s="269">
        <f t="shared" si="45"/>
        <v>0</v>
      </c>
      <c r="O127" s="269"/>
      <c r="P127" s="290"/>
      <c r="Q127" s="181"/>
    </row>
    <row r="128" spans="1:22" ht="15.6" thickTop="1" thickBot="1">
      <c r="A128" s="73"/>
      <c r="B128" s="380"/>
      <c r="C128" s="182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46"/>
        <v>0</v>
      </c>
      <c r="N128" s="279">
        <f t="shared" si="45"/>
        <v>0</v>
      </c>
      <c r="O128" s="279"/>
      <c r="P128" s="294"/>
      <c r="Q128" s="181"/>
    </row>
    <row r="129" spans="1:20" ht="15.6" thickTop="1" thickBot="1">
      <c r="A129" s="73"/>
      <c r="B129" s="380"/>
      <c r="C129" s="182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46"/>
        <v>0</v>
      </c>
      <c r="N129" s="269">
        <f t="shared" si="45"/>
        <v>0</v>
      </c>
      <c r="O129" s="269"/>
      <c r="P129" s="290"/>
      <c r="Q129" s="181"/>
    </row>
    <row r="130" spans="1:20" ht="15.6" thickTop="1" thickBot="1">
      <c r="A130" s="73"/>
      <c r="B130" s="380"/>
      <c r="C130" s="183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:K130" si="47">SUM(G124:G129)</f>
        <v>0</v>
      </c>
      <c r="H130" s="268">
        <f t="shared" si="47"/>
        <v>0</v>
      </c>
      <c r="I130" s="268">
        <f t="shared" si="47"/>
        <v>0</v>
      </c>
      <c r="J130" s="268">
        <f t="shared" si="47"/>
        <v>0</v>
      </c>
      <c r="K130" s="268">
        <f t="shared" si="47"/>
        <v>0</v>
      </c>
      <c r="L130" s="273"/>
      <c r="M130" s="267">
        <f>SUM(M124:M129)</f>
        <v>0</v>
      </c>
      <c r="N130" s="269">
        <f>SUM(N124:N129)</f>
        <v>0</v>
      </c>
      <c r="O130" s="170"/>
      <c r="P130" s="171"/>
      <c r="Q130" s="181"/>
      <c r="S130" s="176"/>
    </row>
    <row r="131" spans="1:20" ht="15.6" thickTop="1" thickBot="1">
      <c r="A131" s="73"/>
      <c r="B131" s="380"/>
      <c r="C131" s="167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68"/>
      <c r="S131" s="175"/>
      <c r="T131" s="184">
        <f>$V$3+L11+L19+L27+L35+L43+L51+L59+L67+L75+L83+L91+L99+L107+L115+L123+L131</f>
        <v>11082547.809999999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78"/>
      <c r="D132" s="301"/>
      <c r="E132" s="302"/>
      <c r="F132" s="303"/>
      <c r="G132" s="303"/>
      <c r="H132" s="303"/>
      <c r="I132" s="303"/>
      <c r="J132" s="303"/>
      <c r="K132" s="303"/>
      <c r="L132" s="304"/>
      <c r="M132" s="302">
        <f>SUM(D132-E132)</f>
        <v>0</v>
      </c>
      <c r="N132" s="305">
        <f t="shared" ref="N132:N137" si="48">SUM(E132,M132)</f>
        <v>0</v>
      </c>
      <c r="O132" s="305"/>
      <c r="P132" s="306"/>
      <c r="Q132" s="179"/>
    </row>
    <row r="133" spans="1:20" ht="15.6" thickTop="1" thickBot="1">
      <c r="A133" s="73"/>
      <c r="B133" s="380"/>
      <c r="C133" s="180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48"/>
        <v>0</v>
      </c>
      <c r="O133" s="269"/>
      <c r="P133" s="294"/>
      <c r="Q133" s="186"/>
    </row>
    <row r="134" spans="1:20" ht="15.6" thickTop="1" thickBot="1">
      <c r="A134" s="73"/>
      <c r="B134" s="380"/>
      <c r="C134" s="180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49">SUM(D134-E134)</f>
        <v>0</v>
      </c>
      <c r="N134" s="269">
        <f t="shared" si="48"/>
        <v>0</v>
      </c>
      <c r="O134" s="269"/>
      <c r="P134" s="290"/>
      <c r="Q134" s="181"/>
    </row>
    <row r="135" spans="1:20" ht="15.6" thickTop="1" thickBot="1">
      <c r="A135" s="73"/>
      <c r="B135" s="380"/>
      <c r="C135" s="182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49"/>
        <v>0</v>
      </c>
      <c r="N135" s="269">
        <f t="shared" si="48"/>
        <v>0</v>
      </c>
      <c r="O135" s="269"/>
      <c r="P135" s="290"/>
      <c r="Q135" s="181"/>
    </row>
    <row r="136" spans="1:20" ht="15.6" thickTop="1" thickBot="1">
      <c r="A136" s="73"/>
      <c r="B136" s="380"/>
      <c r="C136" s="182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49"/>
        <v>0</v>
      </c>
      <c r="N136" s="269">
        <f t="shared" si="48"/>
        <v>0</v>
      </c>
      <c r="O136" s="269"/>
      <c r="P136" s="290"/>
      <c r="Q136" s="181"/>
    </row>
    <row r="137" spans="1:20" ht="15.6" thickTop="1" thickBot="1">
      <c r="A137" s="73"/>
      <c r="B137" s="380"/>
      <c r="C137" s="182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49"/>
        <v>0</v>
      </c>
      <c r="N137" s="280">
        <f t="shared" si="48"/>
        <v>0</v>
      </c>
      <c r="O137" s="280"/>
      <c r="P137" s="293"/>
      <c r="Q137" s="187"/>
    </row>
    <row r="138" spans="1:20" ht="15.6" thickTop="1" thickBot="1">
      <c r="A138" s="73"/>
      <c r="B138" s="380"/>
      <c r="C138" s="183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:K138" si="50">SUM(G132:G137)</f>
        <v>0</v>
      </c>
      <c r="H138" s="268">
        <f t="shared" si="50"/>
        <v>0</v>
      </c>
      <c r="I138" s="268">
        <f t="shared" si="50"/>
        <v>0</v>
      </c>
      <c r="J138" s="268">
        <f t="shared" si="50"/>
        <v>0</v>
      </c>
      <c r="K138" s="268">
        <f t="shared" si="50"/>
        <v>0</v>
      </c>
      <c r="L138" s="273"/>
      <c r="M138" s="267">
        <f>SUM(M132:M137)</f>
        <v>0</v>
      </c>
      <c r="N138" s="280">
        <f>SUM(N132:N137)</f>
        <v>0</v>
      </c>
      <c r="O138" s="188"/>
      <c r="P138" s="189"/>
      <c r="Q138" s="187"/>
    </row>
    <row r="139" spans="1:20" ht="15.6" thickTop="1" thickBot="1">
      <c r="A139" s="73"/>
      <c r="B139" s="380"/>
      <c r="C139" s="167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68"/>
      <c r="T139" s="184">
        <f>$V$3+L11+L19+L27+L35+L43+L51+L59+L67+L75+L83+L91+L99+L107+L115+L123+L131+L139</f>
        <v>11082547.809999999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78"/>
      <c r="D140" s="301"/>
      <c r="E140" s="302"/>
      <c r="F140" s="303"/>
      <c r="G140" s="303"/>
      <c r="H140" s="303"/>
      <c r="I140" s="303"/>
      <c r="J140" s="303"/>
      <c r="K140" s="303"/>
      <c r="L140" s="304"/>
      <c r="M140" s="302">
        <f>SUM(D140-E140)</f>
        <v>0</v>
      </c>
      <c r="N140" s="305">
        <f t="shared" ref="N140:N145" si="51">SUM(E140,M140)</f>
        <v>0</v>
      </c>
      <c r="O140" s="305"/>
      <c r="P140" s="306"/>
      <c r="Q140" s="179"/>
    </row>
    <row r="141" spans="1:20" ht="15.6" thickTop="1" thickBot="1">
      <c r="A141" s="73"/>
      <c r="B141" s="380"/>
      <c r="C141" s="180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51"/>
        <v>0</v>
      </c>
      <c r="O141" s="269"/>
      <c r="P141" s="294"/>
      <c r="Q141" s="186"/>
    </row>
    <row r="142" spans="1:20" ht="15.6" thickTop="1" thickBot="1">
      <c r="A142" s="73"/>
      <c r="B142" s="380"/>
      <c r="C142" s="180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52">SUM(D142-E142)</f>
        <v>0</v>
      </c>
      <c r="N142" s="269">
        <f t="shared" si="51"/>
        <v>0</v>
      </c>
      <c r="O142" s="269"/>
      <c r="P142" s="294"/>
      <c r="Q142" s="186"/>
    </row>
    <row r="143" spans="1:20" ht="15.6" thickTop="1" thickBot="1">
      <c r="A143" s="73"/>
      <c r="B143" s="380"/>
      <c r="C143" s="182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52"/>
        <v>0</v>
      </c>
      <c r="N143" s="269">
        <f t="shared" si="51"/>
        <v>0</v>
      </c>
      <c r="O143" s="269"/>
      <c r="P143" s="290"/>
      <c r="Q143" s="181"/>
    </row>
    <row r="144" spans="1:20" s="162" customFormat="1" ht="15.6" thickTop="1" thickBot="1">
      <c r="A144" s="74"/>
      <c r="B144" s="380"/>
      <c r="C144" s="182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52"/>
        <v>0</v>
      </c>
      <c r="N144" s="269">
        <f t="shared" si="51"/>
        <v>0</v>
      </c>
      <c r="O144" s="269"/>
      <c r="P144" s="290"/>
      <c r="Q144" s="181"/>
    </row>
    <row r="145" spans="1:20" s="162" customFormat="1" ht="15.6" thickTop="1" thickBot="1">
      <c r="A145" s="74"/>
      <c r="B145" s="380"/>
      <c r="C145" s="182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52"/>
        <v>0</v>
      </c>
      <c r="N145" s="269">
        <f t="shared" si="51"/>
        <v>0</v>
      </c>
      <c r="O145" s="269"/>
      <c r="P145" s="290"/>
      <c r="Q145" s="181"/>
    </row>
    <row r="146" spans="1:20" ht="15.6" thickTop="1" thickBot="1">
      <c r="A146" s="73"/>
      <c r="B146" s="380"/>
      <c r="C146" s="183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:K146" si="53">SUM(G140:G145)</f>
        <v>0</v>
      </c>
      <c r="H146" s="268">
        <f t="shared" si="53"/>
        <v>0</v>
      </c>
      <c r="I146" s="268">
        <f t="shared" si="53"/>
        <v>0</v>
      </c>
      <c r="J146" s="268">
        <f t="shared" si="53"/>
        <v>0</v>
      </c>
      <c r="K146" s="268">
        <f t="shared" si="53"/>
        <v>0</v>
      </c>
      <c r="L146" s="273"/>
      <c r="M146" s="267">
        <f>SUM(M140:M145)</f>
        <v>0</v>
      </c>
      <c r="N146" s="269">
        <f>SUM(N140:N145)</f>
        <v>0</v>
      </c>
      <c r="O146" s="170"/>
      <c r="P146" s="171"/>
      <c r="Q146" s="181"/>
    </row>
    <row r="147" spans="1:20" ht="15.6" thickTop="1" thickBot="1">
      <c r="A147" s="73"/>
      <c r="B147" s="380"/>
      <c r="C147" s="167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68"/>
      <c r="T147" s="184">
        <f>$V$3+L11+L19+L27+L35+L43+L51+L59+L67+L75+L83+L91+L99+L107+L115+L123+L131+L139+L147</f>
        <v>11082547.809999999</v>
      </c>
    </row>
    <row r="148" spans="1:20" ht="15.6" thickTop="1" thickBot="1">
      <c r="A148" s="73" t="str">
        <f ca="1">OFFSET('0'!$B$112,($A$1-1)*10,$B148-1)</f>
        <v>--</v>
      </c>
      <c r="B148" s="380">
        <f ca="1">OFFSET('0'!$B$111,($A$1-1)*10,18)</f>
        <v>19</v>
      </c>
      <c r="C148" s="178"/>
      <c r="D148" s="301"/>
      <c r="E148" s="302"/>
      <c r="F148" s="303"/>
      <c r="G148" s="303"/>
      <c r="H148" s="303"/>
      <c r="I148" s="303"/>
      <c r="J148" s="303"/>
      <c r="K148" s="303"/>
      <c r="L148" s="304"/>
      <c r="M148" s="302">
        <f>SUM(D148-E148)</f>
        <v>0</v>
      </c>
      <c r="N148" s="305">
        <f t="shared" ref="N148:N153" si="54">SUM(E148,M148)</f>
        <v>0</v>
      </c>
      <c r="O148" s="305"/>
      <c r="P148" s="296"/>
      <c r="Q148" s="179"/>
    </row>
    <row r="149" spans="1:20" s="162" customFormat="1" ht="15.6" thickTop="1" thickBot="1">
      <c r="A149" s="74"/>
      <c r="B149" s="380"/>
      <c r="C149" s="180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54"/>
        <v>0</v>
      </c>
      <c r="O149" s="269"/>
      <c r="P149" s="296"/>
      <c r="Q149" s="186"/>
    </row>
    <row r="150" spans="1:20" ht="15.6" thickTop="1" thickBot="1">
      <c r="A150" s="73"/>
      <c r="B150" s="380"/>
      <c r="C150" s="180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55">SUM(D150-E150)</f>
        <v>0</v>
      </c>
      <c r="N150" s="269">
        <f t="shared" si="54"/>
        <v>0</v>
      </c>
      <c r="O150" s="269"/>
      <c r="P150" s="294"/>
      <c r="Q150" s="186"/>
    </row>
    <row r="151" spans="1:20" ht="15.6" thickTop="1" thickBot="1">
      <c r="A151" s="73"/>
      <c r="B151" s="380"/>
      <c r="C151" s="182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55"/>
        <v>0</v>
      </c>
      <c r="N151" s="269">
        <f t="shared" si="54"/>
        <v>0</v>
      </c>
      <c r="O151" s="269"/>
      <c r="P151" s="290"/>
      <c r="Q151" s="181"/>
    </row>
    <row r="152" spans="1:20" ht="15.6" thickTop="1" thickBot="1">
      <c r="A152" s="73"/>
      <c r="B152" s="380"/>
      <c r="C152" s="182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55"/>
        <v>0</v>
      </c>
      <c r="N152" s="269">
        <f t="shared" si="54"/>
        <v>0</v>
      </c>
      <c r="O152" s="269"/>
      <c r="P152" s="290"/>
      <c r="Q152" s="181"/>
    </row>
    <row r="153" spans="1:20" ht="15.6" thickTop="1" thickBot="1">
      <c r="A153" s="73"/>
      <c r="B153" s="380"/>
      <c r="C153" s="182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55"/>
        <v>0</v>
      </c>
      <c r="N153" s="269">
        <f t="shared" si="54"/>
        <v>0</v>
      </c>
      <c r="O153" s="269"/>
      <c r="P153" s="290"/>
      <c r="Q153" s="181"/>
    </row>
    <row r="154" spans="1:20" ht="15.6" thickTop="1" thickBot="1">
      <c r="A154" s="73"/>
      <c r="B154" s="380"/>
      <c r="C154" s="183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:K154" si="56">SUM(G148:G153)</f>
        <v>0</v>
      </c>
      <c r="H154" s="268">
        <f t="shared" si="56"/>
        <v>0</v>
      </c>
      <c r="I154" s="268">
        <f t="shared" si="56"/>
        <v>0</v>
      </c>
      <c r="J154" s="268">
        <f t="shared" si="56"/>
        <v>0</v>
      </c>
      <c r="K154" s="268">
        <f t="shared" si="56"/>
        <v>0</v>
      </c>
      <c r="L154" s="273"/>
      <c r="M154" s="267">
        <f>SUM(M148:M153)</f>
        <v>0</v>
      </c>
      <c r="N154" s="269">
        <f>SUM(N148:N153)</f>
        <v>0</v>
      </c>
      <c r="O154" s="170"/>
      <c r="P154" s="171"/>
      <c r="Q154" s="181"/>
    </row>
    <row r="155" spans="1:20" ht="15.6" thickTop="1" thickBot="1">
      <c r="A155" s="73"/>
      <c r="B155" s="380"/>
      <c r="C155" s="167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68"/>
      <c r="T155" s="184">
        <f>$V$3+L11+L19+L27+L35+L43+L51+L59+L67+L75+L83+L91+L99+L107+L115+L123+L131+L139+L147+L155</f>
        <v>11082547.809999999</v>
      </c>
    </row>
    <row r="156" spans="1:20" ht="15.6" thickTop="1" thickBot="1">
      <c r="A156" s="73" t="str">
        <f ca="1">OFFSET('0'!$B$112,($A$1-1)*10,$B156-1)</f>
        <v>SS</v>
      </c>
      <c r="B156" s="380">
        <f ca="1">OFFSET('0'!$B$111,($A$1-1)*10,19)</f>
        <v>20</v>
      </c>
      <c r="C156" s="178"/>
      <c r="D156" s="301"/>
      <c r="E156" s="302"/>
      <c r="F156" s="303"/>
      <c r="G156" s="303"/>
      <c r="H156" s="303"/>
      <c r="I156" s="303"/>
      <c r="J156" s="303"/>
      <c r="K156" s="303"/>
      <c r="L156" s="304"/>
      <c r="M156" s="302">
        <f>SUM(D156-E156)</f>
        <v>0</v>
      </c>
      <c r="N156" s="305">
        <f t="shared" ref="N156:N161" si="57">SUM(E156,M156)</f>
        <v>0</v>
      </c>
      <c r="O156" s="305"/>
      <c r="P156" s="296"/>
      <c r="Q156" s="179"/>
    </row>
    <row r="157" spans="1:20" ht="15.6" thickTop="1" thickBot="1">
      <c r="A157" s="73"/>
      <c r="B157" s="380"/>
      <c r="C157" s="180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57"/>
        <v>0</v>
      </c>
      <c r="O157" s="269"/>
      <c r="P157" s="296"/>
      <c r="Q157" s="186"/>
    </row>
    <row r="158" spans="1:20" s="162" customFormat="1" ht="15.6" thickTop="1" thickBot="1">
      <c r="A158" s="74"/>
      <c r="B158" s="380"/>
      <c r="C158" s="180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58">SUM(D158-E158)</f>
        <v>0</v>
      </c>
      <c r="N158" s="269">
        <f t="shared" si="57"/>
        <v>0</v>
      </c>
      <c r="O158" s="269"/>
      <c r="P158" s="296"/>
      <c r="Q158" s="186"/>
    </row>
    <row r="159" spans="1:20" ht="15.6" thickTop="1" thickBot="1">
      <c r="A159" s="73"/>
      <c r="B159" s="380"/>
      <c r="C159" s="182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58"/>
        <v>0</v>
      </c>
      <c r="N159" s="269">
        <f t="shared" si="57"/>
        <v>0</v>
      </c>
      <c r="O159" s="269"/>
      <c r="P159" s="296"/>
      <c r="Q159" s="181"/>
    </row>
    <row r="160" spans="1:20" ht="15.6" thickTop="1" thickBot="1">
      <c r="A160" s="73"/>
      <c r="B160" s="380"/>
      <c r="C160" s="182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58"/>
        <v>0</v>
      </c>
      <c r="N160" s="269">
        <f t="shared" si="57"/>
        <v>0</v>
      </c>
      <c r="O160" s="269"/>
      <c r="P160" s="290"/>
      <c r="Q160" s="181"/>
    </row>
    <row r="161" spans="1:20" ht="15.6" thickTop="1" thickBot="1">
      <c r="A161" s="73"/>
      <c r="B161" s="380"/>
      <c r="C161" s="182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58"/>
        <v>0</v>
      </c>
      <c r="N161" s="269">
        <f t="shared" si="57"/>
        <v>0</v>
      </c>
      <c r="O161" s="269"/>
      <c r="P161" s="290"/>
      <c r="Q161" s="181"/>
    </row>
    <row r="162" spans="1:20" ht="15.6" thickTop="1" thickBot="1">
      <c r="A162" s="73"/>
      <c r="B162" s="380"/>
      <c r="C162" s="183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:K162" si="59">SUM(G156:G161)</f>
        <v>0</v>
      </c>
      <c r="H162" s="268">
        <f t="shared" si="59"/>
        <v>0</v>
      </c>
      <c r="I162" s="268">
        <f t="shared" si="59"/>
        <v>0</v>
      </c>
      <c r="J162" s="268">
        <f t="shared" si="59"/>
        <v>0</v>
      </c>
      <c r="K162" s="268">
        <f t="shared" si="59"/>
        <v>0</v>
      </c>
      <c r="L162" s="273"/>
      <c r="M162" s="267">
        <f>SUM(M156:M161)</f>
        <v>0</v>
      </c>
      <c r="N162" s="269">
        <f>SUM(N156:N161)</f>
        <v>0</v>
      </c>
      <c r="O162" s="170"/>
      <c r="P162" s="171"/>
      <c r="Q162" s="181"/>
    </row>
    <row r="163" spans="1:20" ht="15.6" thickTop="1" thickBot="1">
      <c r="A163" s="73"/>
      <c r="B163" s="380"/>
      <c r="C163" s="167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68"/>
      <c r="T163" s="184">
        <f>$V$3+L11+L19+L27+L35+L43+L51+L59+L67+L75+L83+L91+L99+L107+L115+L123+L131+L139+L147+L155+L163</f>
        <v>11082547.809999999</v>
      </c>
    </row>
    <row r="164" spans="1:20" ht="15.6" thickTop="1" thickBot="1">
      <c r="A164" s="73" t="str">
        <f ca="1">OFFSET('0'!$B$112,($A$1-1)*10,$B164-1)</f>
        <v>SK</v>
      </c>
      <c r="B164" s="380">
        <f ca="1">OFFSET('0'!$B$111,($A$1-1)*10,20)</f>
        <v>21</v>
      </c>
      <c r="C164" s="178"/>
      <c r="D164" s="301"/>
      <c r="E164" s="302"/>
      <c r="F164" s="303"/>
      <c r="G164" s="303"/>
      <c r="H164" s="303"/>
      <c r="I164" s="303"/>
      <c r="J164" s="303"/>
      <c r="K164" s="303"/>
      <c r="L164" s="304"/>
      <c r="M164" s="302">
        <f>SUM(D164-E164)</f>
        <v>0</v>
      </c>
      <c r="N164" s="305">
        <f t="shared" ref="N164:N169" si="60">SUM(E164,M164)</f>
        <v>0</v>
      </c>
      <c r="O164" s="305"/>
      <c r="P164" s="296"/>
      <c r="Q164" s="179"/>
    </row>
    <row r="165" spans="1:20" ht="15.6" thickTop="1" thickBot="1">
      <c r="A165" s="73"/>
      <c r="B165" s="380"/>
      <c r="C165" s="180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60"/>
        <v>0</v>
      </c>
      <c r="O165" s="269"/>
      <c r="P165" s="296"/>
      <c r="Q165" s="186"/>
    </row>
    <row r="166" spans="1:20" s="162" customFormat="1" ht="15.6" thickTop="1" thickBot="1">
      <c r="A166" s="74"/>
      <c r="B166" s="380"/>
      <c r="C166" s="180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61">SUM(D166-E166)</f>
        <v>0</v>
      </c>
      <c r="N166" s="269">
        <f t="shared" si="60"/>
        <v>0</v>
      </c>
      <c r="O166" s="269"/>
      <c r="P166" s="294"/>
      <c r="Q166" s="186"/>
    </row>
    <row r="167" spans="1:20" ht="15.6" thickTop="1" thickBot="1">
      <c r="A167" s="73"/>
      <c r="B167" s="380"/>
      <c r="C167" s="182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61"/>
        <v>0</v>
      </c>
      <c r="N167" s="269">
        <f t="shared" si="60"/>
        <v>0</v>
      </c>
      <c r="O167" s="269"/>
      <c r="P167" s="290"/>
      <c r="Q167" s="181"/>
    </row>
    <row r="168" spans="1:20" ht="15.6" thickTop="1" thickBot="1">
      <c r="A168" s="73"/>
      <c r="B168" s="380"/>
      <c r="C168" s="182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61"/>
        <v>0</v>
      </c>
      <c r="N168" s="269">
        <f t="shared" si="60"/>
        <v>0</v>
      </c>
      <c r="O168" s="269"/>
      <c r="P168" s="290"/>
      <c r="Q168" s="181"/>
    </row>
    <row r="169" spans="1:20" ht="15.6" thickTop="1" thickBot="1">
      <c r="A169" s="73"/>
      <c r="B169" s="380"/>
      <c r="C169" s="182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61"/>
        <v>0</v>
      </c>
      <c r="N169" s="269">
        <f t="shared" si="60"/>
        <v>0</v>
      </c>
      <c r="O169" s="269"/>
      <c r="P169" s="290"/>
      <c r="Q169" s="181"/>
    </row>
    <row r="170" spans="1:20" ht="15.6" thickTop="1" thickBot="1">
      <c r="A170" s="73"/>
      <c r="B170" s="380"/>
      <c r="C170" s="183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:K170" si="62">SUM(G164:G169)</f>
        <v>0</v>
      </c>
      <c r="H170" s="268">
        <f t="shared" si="62"/>
        <v>0</v>
      </c>
      <c r="I170" s="268">
        <f t="shared" si="62"/>
        <v>0</v>
      </c>
      <c r="J170" s="268">
        <f t="shared" si="62"/>
        <v>0</v>
      </c>
      <c r="K170" s="268">
        <f t="shared" si="62"/>
        <v>0</v>
      </c>
      <c r="L170" s="273"/>
      <c r="M170" s="267">
        <f>SUM(M164:M169)</f>
        <v>0</v>
      </c>
      <c r="N170" s="269">
        <f>SUM(N164:N169)</f>
        <v>0</v>
      </c>
      <c r="O170" s="170"/>
      <c r="P170" s="171"/>
      <c r="Q170" s="181"/>
    </row>
    <row r="171" spans="1:20" ht="15.6" thickTop="1" thickBot="1">
      <c r="A171" s="73"/>
      <c r="B171" s="380"/>
      <c r="C171" s="167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68"/>
      <c r="T171" s="184">
        <f>$V$3+L11+L19+L27+L35+L43+L51+L59+L67+L75+L83+L91+L99+L107+L115+L123+L131+L139+L147+L155+L163+L171</f>
        <v>11082547.809999999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78"/>
      <c r="D172" s="301"/>
      <c r="E172" s="302"/>
      <c r="F172" s="303"/>
      <c r="G172" s="303"/>
      <c r="H172" s="303"/>
      <c r="I172" s="303"/>
      <c r="J172" s="303"/>
      <c r="K172" s="303"/>
      <c r="L172" s="304"/>
      <c r="M172" s="302">
        <f>SUM(D172-E172)</f>
        <v>0</v>
      </c>
      <c r="N172" s="305">
        <f t="shared" ref="N172:N177" si="63">SUM(E172,M172)</f>
        <v>0</v>
      </c>
      <c r="O172" s="305"/>
      <c r="P172" s="306"/>
      <c r="Q172" s="179"/>
    </row>
    <row r="173" spans="1:20" ht="15.6" thickTop="1" thickBot="1">
      <c r="A173" s="73"/>
      <c r="B173" s="380"/>
      <c r="C173" s="180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63"/>
        <v>0</v>
      </c>
      <c r="O173" s="269"/>
      <c r="P173" s="290"/>
      <c r="Q173" s="181"/>
    </row>
    <row r="174" spans="1:20" s="162" customFormat="1" ht="15.6" thickTop="1" thickBot="1">
      <c r="A174" s="74"/>
      <c r="B174" s="380"/>
      <c r="C174" s="180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64">SUM(D174-E174)</f>
        <v>0</v>
      </c>
      <c r="N174" s="269">
        <f t="shared" si="63"/>
        <v>0</v>
      </c>
      <c r="O174" s="269"/>
      <c r="P174" s="290"/>
      <c r="Q174" s="181"/>
    </row>
    <row r="175" spans="1:20" ht="15.6" thickTop="1" thickBot="1">
      <c r="A175" s="73"/>
      <c r="B175" s="380"/>
      <c r="C175" s="182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64"/>
        <v>0</v>
      </c>
      <c r="N175" s="269">
        <f t="shared" si="63"/>
        <v>0</v>
      </c>
      <c r="O175" s="269"/>
      <c r="P175" s="290"/>
      <c r="Q175" s="181"/>
    </row>
    <row r="176" spans="1:20" ht="15.6" thickTop="1" thickBot="1">
      <c r="A176" s="73"/>
      <c r="B176" s="380"/>
      <c r="C176" s="182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64"/>
        <v>0</v>
      </c>
      <c r="N176" s="269">
        <f t="shared" si="63"/>
        <v>0</v>
      </c>
      <c r="O176" s="269"/>
      <c r="P176" s="290"/>
      <c r="Q176" s="181"/>
    </row>
    <row r="177" spans="1:20" ht="15.6" thickTop="1" thickBot="1">
      <c r="A177" s="73"/>
      <c r="B177" s="380"/>
      <c r="C177" s="182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64"/>
        <v>0</v>
      </c>
      <c r="N177" s="269">
        <f t="shared" si="63"/>
        <v>0</v>
      </c>
      <c r="O177" s="269"/>
      <c r="P177" s="290"/>
      <c r="Q177" s="181"/>
    </row>
    <row r="178" spans="1:20" ht="15.6" thickTop="1" thickBot="1">
      <c r="A178" s="73"/>
      <c r="B178" s="380"/>
      <c r="C178" s="183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:K178" si="65">SUM(G172:G177)</f>
        <v>0</v>
      </c>
      <c r="H178" s="268">
        <f t="shared" si="65"/>
        <v>0</v>
      </c>
      <c r="I178" s="268">
        <f t="shared" si="65"/>
        <v>0</v>
      </c>
      <c r="J178" s="268">
        <f t="shared" si="65"/>
        <v>0</v>
      </c>
      <c r="K178" s="268">
        <f t="shared" si="65"/>
        <v>0</v>
      </c>
      <c r="L178" s="273"/>
      <c r="M178" s="267">
        <f>SUM(M172:M177)</f>
        <v>0</v>
      </c>
      <c r="N178" s="269">
        <f>SUM(N172:N177)</f>
        <v>0</v>
      </c>
      <c r="O178" s="170"/>
      <c r="P178" s="171"/>
      <c r="Q178" s="181"/>
    </row>
    <row r="179" spans="1:20" ht="15.6" thickTop="1" thickBot="1">
      <c r="A179" s="73"/>
      <c r="B179" s="380"/>
      <c r="C179" s="167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68"/>
      <c r="T179" s="184">
        <f>$V$3+L11+L19+L27+L35+L43+L51+L59+L67+L75+L83+L91+L99+L107+L115+L123+L131+L139+L147+L155+L163+L171+L179</f>
        <v>11082547.809999999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78"/>
      <c r="D180" s="301"/>
      <c r="E180" s="302"/>
      <c r="F180" s="303"/>
      <c r="G180" s="303"/>
      <c r="H180" s="303"/>
      <c r="I180" s="303"/>
      <c r="J180" s="303"/>
      <c r="K180" s="303"/>
      <c r="L180" s="311"/>
      <c r="M180" s="302">
        <f>SUM(D180-E180)</f>
        <v>0</v>
      </c>
      <c r="N180" s="305">
        <f t="shared" ref="N180:N185" si="66">SUM(E180,M180)</f>
        <v>0</v>
      </c>
      <c r="O180" s="305"/>
      <c r="P180" s="296"/>
      <c r="Q180" s="179"/>
    </row>
    <row r="181" spans="1:20" s="162" customFormat="1" ht="15.6" thickTop="1" thickBot="1">
      <c r="A181" s="74"/>
      <c r="B181" s="380"/>
      <c r="C181" s="180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66"/>
        <v>0</v>
      </c>
      <c r="O181" s="269"/>
      <c r="P181" s="296"/>
      <c r="Q181" s="186"/>
    </row>
    <row r="182" spans="1:20" ht="15.6" thickTop="1" thickBot="1">
      <c r="A182" s="73"/>
      <c r="B182" s="380"/>
      <c r="C182" s="180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67">SUM(D182-E182)</f>
        <v>0</v>
      </c>
      <c r="N182" s="269">
        <f t="shared" si="66"/>
        <v>0</v>
      </c>
      <c r="O182" s="269"/>
      <c r="P182" s="296"/>
      <c r="Q182" s="181"/>
    </row>
    <row r="183" spans="1:20" ht="15.6" thickTop="1" thickBot="1">
      <c r="A183" s="73"/>
      <c r="B183" s="380"/>
      <c r="C183" s="182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67"/>
        <v>0</v>
      </c>
      <c r="N183" s="269">
        <f t="shared" si="66"/>
        <v>0</v>
      </c>
      <c r="O183" s="269"/>
      <c r="P183" s="290"/>
      <c r="Q183" s="181"/>
    </row>
    <row r="184" spans="1:20" ht="15.6" thickTop="1" thickBot="1">
      <c r="A184" s="73"/>
      <c r="B184" s="380"/>
      <c r="C184" s="182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67"/>
        <v>0</v>
      </c>
      <c r="N184" s="269">
        <f t="shared" si="66"/>
        <v>0</v>
      </c>
      <c r="O184" s="269"/>
      <c r="P184" s="290"/>
      <c r="Q184" s="181"/>
    </row>
    <row r="185" spans="1:20" ht="15.6" thickTop="1" thickBot="1">
      <c r="A185" s="73"/>
      <c r="B185" s="380"/>
      <c r="C185" s="182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67"/>
        <v>0</v>
      </c>
      <c r="N185" s="269">
        <f t="shared" si="66"/>
        <v>0</v>
      </c>
      <c r="O185" s="269"/>
      <c r="P185" s="290"/>
      <c r="Q185" s="181"/>
    </row>
    <row r="186" spans="1:20" ht="15.6" thickTop="1" thickBot="1">
      <c r="A186" s="73"/>
      <c r="B186" s="380"/>
      <c r="C186" s="183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:K186" si="68">SUM(G180:G185)</f>
        <v>0</v>
      </c>
      <c r="H186" s="268">
        <f t="shared" si="68"/>
        <v>0</v>
      </c>
      <c r="I186" s="268">
        <f t="shared" si="68"/>
        <v>0</v>
      </c>
      <c r="J186" s="268">
        <f t="shared" si="68"/>
        <v>0</v>
      </c>
      <c r="K186" s="268">
        <f t="shared" si="68"/>
        <v>0</v>
      </c>
      <c r="L186" s="273"/>
      <c r="M186" s="267">
        <f>SUM(M180:M185)</f>
        <v>0</v>
      </c>
      <c r="N186" s="269">
        <f>SUM(N180:N185)</f>
        <v>0</v>
      </c>
      <c r="O186" s="170"/>
      <c r="P186" s="171"/>
      <c r="Q186" s="181"/>
    </row>
    <row r="187" spans="1:20" ht="15.6" thickTop="1" thickBot="1">
      <c r="A187" s="73"/>
      <c r="B187" s="380"/>
      <c r="C187" s="167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68"/>
      <c r="T187" s="184">
        <f>$V$3+L11+L19+L27+L35+L43+L51+L59+L67+L75+L83+L91+L99+L107+L115+L123+L131+L139+L147+L155+L163+L171+L179+L187</f>
        <v>11082547.809999999</v>
      </c>
    </row>
    <row r="188" spans="1:20" ht="15.6" thickTop="1" thickBot="1">
      <c r="A188" s="73" t="str">
        <f ca="1">OFFSET('0'!$B$112,($A$1-1)*10,$B188-1)</f>
        <v>SV</v>
      </c>
      <c r="B188" s="380">
        <f ca="1">OFFSET('0'!$B$111,($A$1-1)*10,23)</f>
        <v>24</v>
      </c>
      <c r="C188" s="178"/>
      <c r="D188" s="301"/>
      <c r="E188" s="302"/>
      <c r="F188" s="303"/>
      <c r="G188" s="303"/>
      <c r="H188" s="303"/>
      <c r="I188" s="303"/>
      <c r="J188" s="303"/>
      <c r="K188" s="303"/>
      <c r="L188" s="304"/>
      <c r="M188" s="302">
        <f>SUM(D188-E188)</f>
        <v>0</v>
      </c>
      <c r="N188" s="305">
        <f t="shared" ref="N188:N193" si="69">SUM(E188,M188)</f>
        <v>0</v>
      </c>
      <c r="O188" s="305"/>
      <c r="P188" s="306"/>
      <c r="Q188" s="179"/>
    </row>
    <row r="189" spans="1:20" ht="15.6" thickTop="1" thickBot="1">
      <c r="A189" s="73"/>
      <c r="B189" s="380"/>
      <c r="C189" s="180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69"/>
        <v>0</v>
      </c>
      <c r="O189" s="269"/>
      <c r="P189" s="290"/>
      <c r="Q189" s="181"/>
    </row>
    <row r="190" spans="1:20" s="162" customFormat="1" ht="15.6" thickTop="1" thickBot="1">
      <c r="A190" s="74"/>
      <c r="B190" s="380"/>
      <c r="C190" s="180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70">SUM(D190-E190)</f>
        <v>0</v>
      </c>
      <c r="N190" s="269">
        <f t="shared" si="69"/>
        <v>0</v>
      </c>
      <c r="O190" s="269"/>
      <c r="P190" s="290"/>
      <c r="Q190" s="181"/>
    </row>
    <row r="191" spans="1:20" ht="15.6" thickTop="1" thickBot="1">
      <c r="A191" s="73"/>
      <c r="B191" s="380"/>
      <c r="C191" s="182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70"/>
        <v>0</v>
      </c>
      <c r="N191" s="269">
        <f t="shared" si="69"/>
        <v>0</v>
      </c>
      <c r="O191" s="269"/>
      <c r="P191" s="290"/>
      <c r="Q191" s="181"/>
    </row>
    <row r="192" spans="1:20" ht="15.6" thickTop="1" thickBot="1">
      <c r="A192" s="73"/>
      <c r="B192" s="380"/>
      <c r="C192" s="182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70"/>
        <v>0</v>
      </c>
      <c r="N192" s="269">
        <f t="shared" si="69"/>
        <v>0</v>
      </c>
      <c r="O192" s="269"/>
      <c r="P192" s="290"/>
      <c r="Q192" s="181"/>
    </row>
    <row r="193" spans="1:20" ht="15.6" thickTop="1" thickBot="1">
      <c r="A193" s="73"/>
      <c r="B193" s="380"/>
      <c r="C193" s="182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70"/>
        <v>0</v>
      </c>
      <c r="N193" s="269">
        <f t="shared" si="69"/>
        <v>0</v>
      </c>
      <c r="O193" s="269"/>
      <c r="P193" s="290"/>
      <c r="Q193" s="181"/>
    </row>
    <row r="194" spans="1:20" ht="15.6" thickTop="1" thickBot="1">
      <c r="A194" s="73"/>
      <c r="B194" s="380"/>
      <c r="C194" s="183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:K194" si="71">SUM(G188:G193)</f>
        <v>0</v>
      </c>
      <c r="H194" s="268">
        <f t="shared" si="71"/>
        <v>0</v>
      </c>
      <c r="I194" s="268">
        <f t="shared" si="71"/>
        <v>0</v>
      </c>
      <c r="J194" s="268">
        <f t="shared" si="71"/>
        <v>0</v>
      </c>
      <c r="K194" s="268">
        <f t="shared" si="71"/>
        <v>0</v>
      </c>
      <c r="L194" s="273"/>
      <c r="M194" s="267">
        <f>SUM(M188:M193)</f>
        <v>0</v>
      </c>
      <c r="N194" s="269">
        <f>SUM(N188:N193)</f>
        <v>0</v>
      </c>
      <c r="O194" s="170"/>
      <c r="P194" s="171"/>
      <c r="Q194" s="181"/>
    </row>
    <row r="195" spans="1:20" ht="15.6" thickTop="1" thickBot="1">
      <c r="A195" s="73"/>
      <c r="B195" s="380"/>
      <c r="C195" s="167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68"/>
      <c r="T195" s="184">
        <f>$V$3+L11+L19+L27+L35+L43+L51+L59+L67+L75+L83+L91+L99+L107+L115+L123+L131+L139+L147+L155+L163+L171+L179+L187+L195</f>
        <v>11082547.809999999</v>
      </c>
    </row>
    <row r="196" spans="1:20" ht="15.6" thickTop="1" thickBot="1">
      <c r="A196" s="73" t="str">
        <f ca="1">OFFSET('0'!$B$112,($A$1-1)*10,$B196-1)</f>
        <v>SV</v>
      </c>
      <c r="B196" s="380">
        <f ca="1">OFFSET('0'!$B$111,($A$1-1)*10,24)</f>
        <v>25</v>
      </c>
      <c r="C196" s="178"/>
      <c r="D196" s="301"/>
      <c r="E196" s="302"/>
      <c r="F196" s="303"/>
      <c r="G196" s="303"/>
      <c r="H196" s="303"/>
      <c r="I196" s="303"/>
      <c r="J196" s="303"/>
      <c r="K196" s="303"/>
      <c r="L196" s="304"/>
      <c r="M196" s="302">
        <f>SUM(D196-E196)</f>
        <v>0</v>
      </c>
      <c r="N196" s="305">
        <f t="shared" ref="N196:N201" si="72">SUM(E196,M196)</f>
        <v>0</v>
      </c>
      <c r="O196" s="305"/>
      <c r="P196" s="306"/>
      <c r="Q196" s="179"/>
    </row>
    <row r="197" spans="1:20" ht="15.6" thickTop="1" thickBot="1">
      <c r="A197" s="73"/>
      <c r="B197" s="380"/>
      <c r="C197" s="180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72"/>
        <v>0</v>
      </c>
      <c r="O197" s="269"/>
      <c r="P197" s="290"/>
      <c r="Q197" s="181"/>
    </row>
    <row r="198" spans="1:20" ht="15.6" thickTop="1" thickBot="1">
      <c r="A198" s="73"/>
      <c r="B198" s="380"/>
      <c r="C198" s="180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73">SUM(D198-E198)</f>
        <v>0</v>
      </c>
      <c r="N198" s="269">
        <f t="shared" si="72"/>
        <v>0</v>
      </c>
      <c r="O198" s="269"/>
      <c r="P198" s="290"/>
      <c r="Q198" s="181"/>
    </row>
    <row r="199" spans="1:20" ht="15.6" thickTop="1" thickBot="1">
      <c r="A199" s="73"/>
      <c r="B199" s="380"/>
      <c r="C199" s="182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73"/>
        <v>0</v>
      </c>
      <c r="N199" s="269">
        <f t="shared" si="72"/>
        <v>0</v>
      </c>
      <c r="O199" s="269"/>
      <c r="P199" s="290"/>
      <c r="Q199" s="181"/>
    </row>
    <row r="200" spans="1:20" ht="15.6" thickTop="1" thickBot="1">
      <c r="A200" s="73"/>
      <c r="B200" s="380"/>
      <c r="C200" s="182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73"/>
        <v>0</v>
      </c>
      <c r="N200" s="269">
        <f t="shared" si="72"/>
        <v>0</v>
      </c>
      <c r="O200" s="269"/>
      <c r="P200" s="290"/>
      <c r="Q200" s="181"/>
    </row>
    <row r="201" spans="1:20" ht="15.6" thickTop="1" thickBot="1">
      <c r="A201" s="73"/>
      <c r="B201" s="380"/>
      <c r="C201" s="182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73"/>
        <v>0</v>
      </c>
      <c r="N201" s="279">
        <f t="shared" si="72"/>
        <v>0</v>
      </c>
      <c r="O201" s="279"/>
      <c r="P201" s="294"/>
      <c r="Q201" s="181"/>
    </row>
    <row r="202" spans="1:20" ht="15.6" thickTop="1" thickBot="1">
      <c r="A202" s="73"/>
      <c r="B202" s="380"/>
      <c r="C202" s="177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:K202" si="74">SUM(G196:G201)</f>
        <v>0</v>
      </c>
      <c r="H202" s="268">
        <f t="shared" si="74"/>
        <v>0</v>
      </c>
      <c r="I202" s="268">
        <f t="shared" si="74"/>
        <v>0</v>
      </c>
      <c r="J202" s="268">
        <f t="shared" si="74"/>
        <v>0</v>
      </c>
      <c r="K202" s="268">
        <f t="shared" si="74"/>
        <v>0</v>
      </c>
      <c r="L202" s="273"/>
      <c r="M202" s="267">
        <f>SUM(M196:M201)</f>
        <v>0</v>
      </c>
      <c r="N202" s="269">
        <f>SUM(N196:N201)</f>
        <v>0</v>
      </c>
      <c r="O202" s="170"/>
      <c r="P202" s="171"/>
      <c r="Q202" s="181"/>
    </row>
    <row r="203" spans="1:20" ht="15.6" thickTop="1" thickBot="1">
      <c r="A203" s="73"/>
      <c r="B203" s="380"/>
      <c r="C203" s="167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68"/>
      <c r="T203" s="184">
        <f>$V$3+L11+L19+L27+L35+L43+L51+L59+L67+L75+L83+L91+L99+L107+L115+L123+L131+L139+L147+L155+L163+L171+L179+L187+L195+L203</f>
        <v>11082547.809999999</v>
      </c>
    </row>
    <row r="204" spans="1:20" ht="15.6" thickTop="1" thickBot="1">
      <c r="A204" s="73" t="str">
        <f ca="1">OFFSET('0'!$B$112,($A$1-1)*10,$B204-1)</f>
        <v>SV</v>
      </c>
      <c r="B204" s="380">
        <f ca="1">OFFSET('0'!$B$111,($A$1-1)*10,25)</f>
        <v>26</v>
      </c>
      <c r="C204" s="178"/>
      <c r="D204" s="301"/>
      <c r="E204" s="302"/>
      <c r="F204" s="303"/>
      <c r="G204" s="303"/>
      <c r="H204" s="303"/>
      <c r="I204" s="303"/>
      <c r="J204" s="303"/>
      <c r="K204" s="303"/>
      <c r="L204" s="304"/>
      <c r="M204" s="302">
        <f>SUM(D204-E204)</f>
        <v>0</v>
      </c>
      <c r="N204" s="312">
        <f t="shared" ref="N204:N209" si="75">SUM(E204,M204)</f>
        <v>0</v>
      </c>
      <c r="O204" s="312"/>
      <c r="P204" s="313"/>
      <c r="Q204" s="179"/>
    </row>
    <row r="205" spans="1:20" s="162" customFormat="1" ht="15.6" thickTop="1" thickBot="1">
      <c r="A205" s="74"/>
      <c r="B205" s="380"/>
      <c r="C205" s="180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75"/>
        <v>0</v>
      </c>
      <c r="O205" s="279"/>
      <c r="P205" s="294"/>
      <c r="Q205" s="186"/>
    </row>
    <row r="206" spans="1:20" ht="15.6" thickTop="1" thickBot="1">
      <c r="A206" s="73"/>
      <c r="B206" s="380"/>
      <c r="C206" s="180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76">SUM(D206-E206)</f>
        <v>0</v>
      </c>
      <c r="N206" s="269">
        <f t="shared" si="75"/>
        <v>0</v>
      </c>
      <c r="O206" s="269"/>
      <c r="P206" s="290"/>
      <c r="Q206" s="181"/>
    </row>
    <row r="207" spans="1:20" ht="15.6" thickTop="1" thickBot="1">
      <c r="A207" s="73"/>
      <c r="B207" s="380"/>
      <c r="C207" s="182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76"/>
        <v>0</v>
      </c>
      <c r="N207" s="269">
        <f t="shared" si="75"/>
        <v>0</v>
      </c>
      <c r="O207" s="269"/>
      <c r="P207" s="290"/>
      <c r="Q207" s="181"/>
    </row>
    <row r="208" spans="1:20" ht="15.6" thickTop="1" thickBot="1">
      <c r="A208" s="73"/>
      <c r="B208" s="380"/>
      <c r="C208" s="182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76"/>
        <v>0</v>
      </c>
      <c r="N208" s="269">
        <f t="shared" si="75"/>
        <v>0</v>
      </c>
      <c r="O208" s="269"/>
      <c r="P208" s="290"/>
      <c r="Q208" s="181"/>
    </row>
    <row r="209" spans="1:20" ht="15.6" thickTop="1" thickBot="1">
      <c r="A209" s="73"/>
      <c r="B209" s="380"/>
      <c r="C209" s="182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76"/>
        <v>0</v>
      </c>
      <c r="N209" s="269">
        <f t="shared" si="75"/>
        <v>0</v>
      </c>
      <c r="O209" s="269"/>
      <c r="P209" s="290"/>
      <c r="Q209" s="181"/>
    </row>
    <row r="210" spans="1:20" ht="15.6" thickTop="1" thickBot="1">
      <c r="A210" s="73"/>
      <c r="B210" s="380"/>
      <c r="C210" s="177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:K210" si="77">SUM(G204:G209)</f>
        <v>0</v>
      </c>
      <c r="H210" s="268">
        <f t="shared" si="77"/>
        <v>0</v>
      </c>
      <c r="I210" s="268">
        <f t="shared" si="77"/>
        <v>0</v>
      </c>
      <c r="J210" s="268">
        <f t="shared" si="77"/>
        <v>0</v>
      </c>
      <c r="K210" s="268">
        <f t="shared" si="77"/>
        <v>0</v>
      </c>
      <c r="L210" s="273"/>
      <c r="M210" s="267">
        <f>SUM(M204:M209)</f>
        <v>0</v>
      </c>
      <c r="N210" s="269">
        <f>SUM(N204:N209)</f>
        <v>0</v>
      </c>
      <c r="O210" s="170"/>
      <c r="P210" s="171"/>
      <c r="Q210" s="181"/>
    </row>
    <row r="211" spans="1:20" ht="15.6" thickTop="1" thickBot="1">
      <c r="A211" s="73"/>
      <c r="B211" s="380"/>
      <c r="C211" s="167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68"/>
      <c r="T211" s="184">
        <f>$V$3+L11+L19+L27+L35+L43+L51+L59+L67+L75+L83+L91+L99+L107+L115+L123+L131+L139+L147+L155+L163+L171+L179+L187+L195+L203+L211</f>
        <v>11082547.809999999</v>
      </c>
    </row>
    <row r="212" spans="1:20" ht="15.6" thickTop="1" thickBot="1">
      <c r="A212" s="73" t="str">
        <f ca="1">OFFSET('0'!$B$112,($A$1-1)*10,$B212-1)</f>
        <v>SS</v>
      </c>
      <c r="B212" s="380">
        <f ca="1">OFFSET('0'!$B$111,($A$1-1)*10,26)</f>
        <v>27</v>
      </c>
      <c r="C212" s="178"/>
      <c r="D212" s="301"/>
      <c r="E212" s="302"/>
      <c r="F212" s="303"/>
      <c r="G212" s="303"/>
      <c r="H212" s="303"/>
      <c r="I212" s="303"/>
      <c r="J212" s="303"/>
      <c r="K212" s="303"/>
      <c r="L212" s="304"/>
      <c r="M212" s="302">
        <f>SUM(D212-E212)</f>
        <v>0</v>
      </c>
      <c r="N212" s="312">
        <f t="shared" ref="N212:N217" si="78">SUM(E212,M212)</f>
        <v>0</v>
      </c>
      <c r="O212" s="312"/>
      <c r="P212" s="313"/>
      <c r="Q212" s="179"/>
    </row>
    <row r="213" spans="1:20" ht="15.6" thickTop="1" thickBot="1">
      <c r="A213" s="73"/>
      <c r="B213" s="380"/>
      <c r="C213" s="180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78"/>
        <v>0</v>
      </c>
      <c r="O213" s="269"/>
      <c r="P213" s="290"/>
      <c r="Q213" s="181"/>
    </row>
    <row r="214" spans="1:20" s="162" customFormat="1" ht="15.6" thickTop="1" thickBot="1">
      <c r="A214" s="74"/>
      <c r="B214" s="380"/>
      <c r="C214" s="180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79">SUM(D214-E214)</f>
        <v>0</v>
      </c>
      <c r="N214" s="269">
        <f t="shared" si="78"/>
        <v>0</v>
      </c>
      <c r="O214" s="269"/>
      <c r="P214" s="290"/>
      <c r="Q214" s="181"/>
    </row>
    <row r="215" spans="1:20" s="162" customFormat="1" ht="15.6" thickTop="1" thickBot="1">
      <c r="A215" s="74"/>
      <c r="B215" s="380"/>
      <c r="C215" s="182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79"/>
        <v>0</v>
      </c>
      <c r="N215" s="269">
        <f t="shared" si="78"/>
        <v>0</v>
      </c>
      <c r="O215" s="269"/>
      <c r="P215" s="290"/>
      <c r="Q215" s="181"/>
    </row>
    <row r="216" spans="1:20" ht="15.6" thickTop="1" thickBot="1">
      <c r="A216" s="73"/>
      <c r="B216" s="380"/>
      <c r="C216" s="182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79"/>
        <v>0</v>
      </c>
      <c r="N216" s="269">
        <f t="shared" si="78"/>
        <v>0</v>
      </c>
      <c r="O216" s="269"/>
      <c r="P216" s="290"/>
      <c r="Q216" s="181"/>
    </row>
    <row r="217" spans="1:20" ht="15.6" thickTop="1" thickBot="1">
      <c r="A217" s="73"/>
      <c r="B217" s="380"/>
      <c r="C217" s="182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79"/>
        <v>0</v>
      </c>
      <c r="N217" s="269">
        <f t="shared" si="78"/>
        <v>0</v>
      </c>
      <c r="O217" s="269"/>
      <c r="P217" s="290"/>
      <c r="Q217" s="181"/>
    </row>
    <row r="218" spans="1:20" ht="15.6" thickTop="1" thickBot="1">
      <c r="A218" s="73"/>
      <c r="B218" s="380"/>
      <c r="C218" s="177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:K218" si="80">SUM(G212:G217)</f>
        <v>0</v>
      </c>
      <c r="H218" s="268">
        <f t="shared" si="80"/>
        <v>0</v>
      </c>
      <c r="I218" s="268">
        <f t="shared" si="80"/>
        <v>0</v>
      </c>
      <c r="J218" s="268">
        <f t="shared" si="80"/>
        <v>0</v>
      </c>
      <c r="K218" s="268">
        <f t="shared" si="80"/>
        <v>0</v>
      </c>
      <c r="L218" s="273"/>
      <c r="M218" s="267">
        <f>SUM(M212:M217)</f>
        <v>0</v>
      </c>
      <c r="N218" s="269">
        <f>SUM(N212:N217)</f>
        <v>0</v>
      </c>
      <c r="O218" s="170"/>
      <c r="P218" s="171"/>
      <c r="Q218" s="181"/>
    </row>
    <row r="219" spans="1:20" ht="15.6" thickTop="1" thickBot="1">
      <c r="A219" s="73"/>
      <c r="B219" s="380"/>
      <c r="C219" s="167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68"/>
      <c r="T219" s="184">
        <f>$V$3+L11+L19+L27+L35+L43+L51+L59+L67+L75+L83+L91+L99+L107+L115+L123+L131+L139+L147+L155+L163+L171+L179+L187+L195+L203+L211+L219</f>
        <v>11082547.809999999</v>
      </c>
    </row>
    <row r="220" spans="1:20" ht="15.6" thickTop="1" thickBot="1">
      <c r="A220" s="73" t="str">
        <f ca="1">OFFSET('0'!$B$112,($A$1-1)*10,$B220-1)</f>
        <v>SK</v>
      </c>
      <c r="B220" s="380">
        <f ca="1">OFFSET('0'!$B$111,($A$1-1)*10,27)</f>
        <v>28</v>
      </c>
      <c r="C220" s="178"/>
      <c r="D220" s="301"/>
      <c r="E220" s="302"/>
      <c r="F220" s="303"/>
      <c r="G220" s="303"/>
      <c r="H220" s="303"/>
      <c r="I220" s="303"/>
      <c r="J220" s="303"/>
      <c r="K220" s="303"/>
      <c r="L220" s="304"/>
      <c r="M220" s="302">
        <f>SUM(D220-E220)</f>
        <v>0</v>
      </c>
      <c r="N220" s="305">
        <f t="shared" ref="N220:N225" si="81">SUM(E220,M220)</f>
        <v>0</v>
      </c>
      <c r="O220" s="305"/>
      <c r="P220" s="296"/>
      <c r="Q220" s="179"/>
    </row>
    <row r="221" spans="1:20" s="162" customFormat="1" ht="15.6" thickTop="1" thickBot="1">
      <c r="A221" s="74"/>
      <c r="B221" s="380"/>
      <c r="C221" s="180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81"/>
        <v>0</v>
      </c>
      <c r="O221" s="269"/>
      <c r="P221" s="296"/>
      <c r="Q221" s="186"/>
    </row>
    <row r="222" spans="1:20" ht="15.6" thickTop="1" thickBot="1">
      <c r="A222" s="73"/>
      <c r="B222" s="380"/>
      <c r="C222" s="180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82">SUM(D222-E222)</f>
        <v>0</v>
      </c>
      <c r="N222" s="269">
        <f t="shared" si="81"/>
        <v>0</v>
      </c>
      <c r="O222" s="269"/>
      <c r="P222" s="290"/>
      <c r="Q222" s="181"/>
    </row>
    <row r="223" spans="1:20" s="162" customFormat="1" ht="15.6" thickTop="1" thickBot="1">
      <c r="A223" s="74"/>
      <c r="B223" s="380"/>
      <c r="C223" s="182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82"/>
        <v>0</v>
      </c>
      <c r="N223" s="269">
        <f t="shared" si="81"/>
        <v>0</v>
      </c>
      <c r="O223" s="269"/>
      <c r="P223" s="290"/>
      <c r="Q223" s="181"/>
    </row>
    <row r="224" spans="1:20" ht="15.6" thickTop="1" thickBot="1">
      <c r="A224" s="73"/>
      <c r="B224" s="380"/>
      <c r="C224" s="182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82"/>
        <v>0</v>
      </c>
      <c r="N224" s="269">
        <f t="shared" si="81"/>
        <v>0</v>
      </c>
      <c r="O224" s="269"/>
      <c r="P224" s="290"/>
      <c r="Q224" s="181"/>
    </row>
    <row r="225" spans="1:20" ht="15.6" thickTop="1" thickBot="1">
      <c r="A225" s="73"/>
      <c r="B225" s="380"/>
      <c r="C225" s="182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82"/>
        <v>0</v>
      </c>
      <c r="N225" s="279">
        <f t="shared" si="81"/>
        <v>0</v>
      </c>
      <c r="O225" s="279"/>
      <c r="P225" s="294"/>
      <c r="Q225" s="181"/>
    </row>
    <row r="226" spans="1:20" ht="15.6" thickTop="1" thickBot="1">
      <c r="A226" s="73"/>
      <c r="B226" s="380"/>
      <c r="C226" s="177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:K226" si="83">SUM(G220:G225)</f>
        <v>0</v>
      </c>
      <c r="H226" s="268">
        <f t="shared" si="83"/>
        <v>0</v>
      </c>
      <c r="I226" s="268">
        <f t="shared" si="83"/>
        <v>0</v>
      </c>
      <c r="J226" s="268">
        <f t="shared" si="83"/>
        <v>0</v>
      </c>
      <c r="K226" s="268">
        <f t="shared" si="83"/>
        <v>0</v>
      </c>
      <c r="L226" s="273"/>
      <c r="M226" s="267">
        <f>SUM(M220:M225)</f>
        <v>0</v>
      </c>
      <c r="N226" s="269">
        <f>SUM(N220:N225)</f>
        <v>0</v>
      </c>
      <c r="O226" s="170"/>
      <c r="P226" s="171"/>
      <c r="Q226" s="181"/>
    </row>
    <row r="227" spans="1:20" ht="15.6" thickTop="1" thickBot="1">
      <c r="A227" s="73"/>
      <c r="B227" s="380"/>
      <c r="C227" s="167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68"/>
      <c r="T227" s="184">
        <f>$V$3+L11+L19+L27+L35+L43+L51+L59+L67+L75+L83+L91+L99+L107+L115+L123+L131+L139+L147+L155+L163+L171+L179+L187+L195+L203+L211+L219+L227</f>
        <v>11082547.809999999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78"/>
      <c r="D228" s="301"/>
      <c r="E228" s="302"/>
      <c r="F228" s="303"/>
      <c r="G228" s="303"/>
      <c r="H228" s="303"/>
      <c r="I228" s="303"/>
      <c r="J228" s="303"/>
      <c r="K228" s="303"/>
      <c r="L228" s="304"/>
      <c r="M228" s="302">
        <f>SUM(D228-E228)</f>
        <v>0</v>
      </c>
      <c r="N228" s="305">
        <f t="shared" ref="N228:N233" si="84">SUM(E228,M228)</f>
        <v>0</v>
      </c>
      <c r="O228" s="305"/>
      <c r="P228" s="296"/>
      <c r="Q228" s="179"/>
    </row>
    <row r="229" spans="1:20" ht="15.6" thickTop="1" thickBot="1">
      <c r="A229" s="73"/>
      <c r="B229" s="380"/>
      <c r="C229" s="180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84"/>
        <v>0</v>
      </c>
      <c r="O229" s="269"/>
      <c r="P229" s="296"/>
      <c r="Q229" s="186"/>
    </row>
    <row r="230" spans="1:20" ht="15.6" thickTop="1" thickBot="1">
      <c r="A230" s="73"/>
      <c r="B230" s="380"/>
      <c r="C230" s="180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85">SUM(D230-E230)</f>
        <v>0</v>
      </c>
      <c r="N230" s="269">
        <f t="shared" si="84"/>
        <v>0</v>
      </c>
      <c r="O230" s="269"/>
      <c r="P230" s="290"/>
      <c r="Q230" s="181"/>
    </row>
    <row r="231" spans="1:20" s="162" customFormat="1" ht="15.6" thickTop="1" thickBot="1">
      <c r="A231" s="74"/>
      <c r="B231" s="380"/>
      <c r="C231" s="182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85"/>
        <v>0</v>
      </c>
      <c r="N231" s="269">
        <f t="shared" si="84"/>
        <v>0</v>
      </c>
      <c r="O231" s="269"/>
      <c r="P231" s="290"/>
      <c r="Q231" s="181"/>
    </row>
    <row r="232" spans="1:20" s="162" customFormat="1" ht="15.6" thickTop="1" thickBot="1">
      <c r="A232" s="74"/>
      <c r="B232" s="380"/>
      <c r="C232" s="182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85"/>
        <v>0</v>
      </c>
      <c r="N232" s="269">
        <f t="shared" si="84"/>
        <v>0</v>
      </c>
      <c r="O232" s="269"/>
      <c r="P232" s="290"/>
      <c r="Q232" s="181"/>
    </row>
    <row r="233" spans="1:20" ht="15.6" thickTop="1" thickBot="1">
      <c r="A233" s="73"/>
      <c r="B233" s="380"/>
      <c r="C233" s="182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85"/>
        <v>0</v>
      </c>
      <c r="N233" s="269">
        <f t="shared" si="84"/>
        <v>0</v>
      </c>
      <c r="O233" s="269"/>
      <c r="P233" s="290"/>
      <c r="Q233" s="181"/>
    </row>
    <row r="234" spans="1:20" ht="15.6" thickTop="1" thickBot="1">
      <c r="A234" s="73"/>
      <c r="B234" s="380"/>
      <c r="C234" s="177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:K234" si="86">SUM(G228:G233)</f>
        <v>0</v>
      </c>
      <c r="H234" s="268">
        <f t="shared" si="86"/>
        <v>0</v>
      </c>
      <c r="I234" s="268">
        <f t="shared" si="86"/>
        <v>0</v>
      </c>
      <c r="J234" s="268">
        <f t="shared" si="86"/>
        <v>0</v>
      </c>
      <c r="K234" s="268">
        <f t="shared" si="86"/>
        <v>0</v>
      </c>
      <c r="L234" s="273"/>
      <c r="M234" s="267">
        <f>SUM(M228:M233)</f>
        <v>0</v>
      </c>
      <c r="N234" s="269">
        <f>SUM(N228:N233)</f>
        <v>0</v>
      </c>
      <c r="O234" s="170"/>
      <c r="P234" s="171"/>
      <c r="Q234" s="181"/>
    </row>
    <row r="235" spans="1:20" ht="15.6" thickTop="1" thickBot="1">
      <c r="A235" s="73"/>
      <c r="B235" s="380"/>
      <c r="C235" s="167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68"/>
      <c r="T235" s="184">
        <f>$V$3+L11+L19+L27+L35+L43+L51+L59+L67+L75+L83+L91+L99+L107+L115+L123+L131+L139+L147+L155+L163+L171+L179+L187+L195+L203+L211+L219+L227+L235</f>
        <v>11082547.809999999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78"/>
      <c r="D236" s="301"/>
      <c r="E236" s="302"/>
      <c r="F236" s="303"/>
      <c r="G236" s="303"/>
      <c r="H236" s="303"/>
      <c r="I236" s="303"/>
      <c r="J236" s="303"/>
      <c r="K236" s="303"/>
      <c r="L236" s="304"/>
      <c r="M236" s="302">
        <f>SUM(D236-E236)</f>
        <v>0</v>
      </c>
      <c r="N236" s="305">
        <f t="shared" ref="N236:N241" si="87">SUM(E236,M236)</f>
        <v>0</v>
      </c>
      <c r="O236" s="305"/>
      <c r="P236" s="296"/>
      <c r="Q236" s="179"/>
    </row>
    <row r="237" spans="1:20" ht="15.6" thickTop="1" thickBot="1">
      <c r="A237" s="73"/>
      <c r="B237" s="380"/>
      <c r="C237" s="180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87"/>
        <v>0</v>
      </c>
      <c r="O237" s="269"/>
      <c r="P237" s="296"/>
      <c r="Q237" s="186"/>
    </row>
    <row r="238" spans="1:20" s="162" customFormat="1" ht="15.6" thickTop="1" thickBot="1">
      <c r="A238" s="74"/>
      <c r="B238" s="380"/>
      <c r="C238" s="180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88">SUM(D238-E238)</f>
        <v>0</v>
      </c>
      <c r="N238" s="269">
        <f t="shared" si="87"/>
        <v>0</v>
      </c>
      <c r="O238" s="269"/>
      <c r="P238" s="294"/>
      <c r="Q238" s="186"/>
    </row>
    <row r="239" spans="1:20" s="162" customFormat="1" ht="15.6" thickTop="1" thickBot="1">
      <c r="A239" s="74"/>
      <c r="B239" s="380"/>
      <c r="C239" s="182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88"/>
        <v>0</v>
      </c>
      <c r="N239" s="269">
        <f t="shared" si="87"/>
        <v>0</v>
      </c>
      <c r="O239" s="269"/>
      <c r="P239" s="294"/>
      <c r="Q239" s="186"/>
    </row>
    <row r="240" spans="1:20" ht="15.6" thickTop="1" thickBot="1">
      <c r="A240" s="73"/>
      <c r="B240" s="380"/>
      <c r="C240" s="182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88"/>
        <v>0</v>
      </c>
      <c r="N240" s="269">
        <f t="shared" si="87"/>
        <v>0</v>
      </c>
      <c r="O240" s="269"/>
      <c r="P240" s="290"/>
      <c r="Q240" s="181"/>
    </row>
    <row r="241" spans="1:20" ht="15.6" thickTop="1" thickBot="1">
      <c r="A241" s="73"/>
      <c r="B241" s="380"/>
      <c r="C241" s="182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88"/>
        <v>0</v>
      </c>
      <c r="N241" s="269">
        <f t="shared" si="87"/>
        <v>0</v>
      </c>
      <c r="O241" s="269"/>
      <c r="P241" s="290"/>
      <c r="Q241" s="181"/>
    </row>
    <row r="242" spans="1:20" ht="15.6" thickTop="1" thickBot="1">
      <c r="A242" s="73"/>
      <c r="B242" s="380"/>
      <c r="C242" s="177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:K242" si="89">SUM(G236:G241)</f>
        <v>0</v>
      </c>
      <c r="H242" s="268">
        <f t="shared" si="89"/>
        <v>0</v>
      </c>
      <c r="I242" s="268">
        <f t="shared" si="89"/>
        <v>0</v>
      </c>
      <c r="J242" s="268">
        <f t="shared" si="89"/>
        <v>0</v>
      </c>
      <c r="K242" s="268">
        <f t="shared" si="89"/>
        <v>0</v>
      </c>
      <c r="L242" s="273"/>
      <c r="M242" s="267">
        <f>SUM(M236:M241)</f>
        <v>0</v>
      </c>
      <c r="N242" s="269">
        <f>SUM(N236:N241)</f>
        <v>0</v>
      </c>
      <c r="O242" s="170"/>
      <c r="P242" s="171"/>
      <c r="Q242" s="181"/>
    </row>
    <row r="243" spans="1:20" ht="15.6" thickTop="1" thickBot="1">
      <c r="A243" s="73"/>
      <c r="B243" s="380"/>
      <c r="C243" s="167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82"/>
      <c r="H243" s="382"/>
      <c r="I243" s="382"/>
      <c r="J243" s="382"/>
      <c r="K243" s="383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68"/>
      <c r="T243" s="184">
        <f>$V$3+L11+L19+L27+L35+L43+L51+L59+L67+L75+L83+L91+L99+L107+L115+L123+L131+L139+L147+L155+L163+L171+L179+L187+L195+L203+L211+L219+L227+L235+L243</f>
        <v>11082547.809999999</v>
      </c>
    </row>
    <row r="244" spans="1:20" ht="15.6" thickTop="1" thickBot="1">
      <c r="A244" s="73" t="str">
        <f ca="1">OFFSET('0'!$B$112,($A$1-1)*10,$B244-1)</f>
        <v>--</v>
      </c>
      <c r="B244" s="380">
        <f ca="1">OFFSET('0'!$B$111,($A$1-1)*10,30)</f>
        <v>31</v>
      </c>
      <c r="C244" s="178"/>
      <c r="D244" s="301"/>
      <c r="E244" s="302"/>
      <c r="F244" s="303"/>
      <c r="G244" s="303"/>
      <c r="H244" s="303"/>
      <c r="I244" s="303"/>
      <c r="J244" s="303"/>
      <c r="K244" s="303"/>
      <c r="L244" s="304"/>
      <c r="M244" s="302">
        <f>SUM(D244-E244)</f>
        <v>0</v>
      </c>
      <c r="N244" s="305">
        <f t="shared" ref="N244:N249" si="90">SUM(E244,M244)</f>
        <v>0</v>
      </c>
      <c r="O244" s="305"/>
      <c r="P244" s="296"/>
      <c r="Q244" s="179"/>
    </row>
    <row r="245" spans="1:20" s="162" customFormat="1" ht="15.6" thickTop="1" thickBot="1">
      <c r="A245" s="74"/>
      <c r="B245" s="380"/>
      <c r="C245" s="180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90"/>
        <v>0</v>
      </c>
      <c r="O245" s="269"/>
      <c r="P245" s="296"/>
      <c r="Q245" s="186"/>
    </row>
    <row r="246" spans="1:20" s="162" customFormat="1" ht="15.6" thickTop="1" thickBot="1">
      <c r="A246" s="74"/>
      <c r="B246" s="380"/>
      <c r="C246" s="180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91">SUM(D246-E246)</f>
        <v>0</v>
      </c>
      <c r="N246" s="269">
        <f t="shared" si="90"/>
        <v>0</v>
      </c>
      <c r="O246" s="269"/>
      <c r="P246" s="294"/>
      <c r="Q246" s="186"/>
    </row>
    <row r="247" spans="1:20" s="162" customFormat="1" ht="15.6" thickTop="1" thickBot="1">
      <c r="A247" s="74"/>
      <c r="B247" s="380"/>
      <c r="C247" s="182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91"/>
        <v>0</v>
      </c>
      <c r="N247" s="269">
        <f t="shared" si="90"/>
        <v>0</v>
      </c>
      <c r="O247" s="269"/>
      <c r="P247" s="294"/>
      <c r="Q247" s="186"/>
    </row>
    <row r="248" spans="1:20" ht="15.6" thickTop="1" thickBot="1">
      <c r="A248" s="73"/>
      <c r="B248" s="380"/>
      <c r="C248" s="182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91"/>
        <v>0</v>
      </c>
      <c r="N248" s="269">
        <f t="shared" si="90"/>
        <v>0</v>
      </c>
      <c r="O248" s="269"/>
      <c r="P248" s="290"/>
      <c r="Q248" s="181"/>
    </row>
    <row r="249" spans="1:20" ht="15.6" thickTop="1" thickBot="1">
      <c r="A249" s="73"/>
      <c r="B249" s="380"/>
      <c r="C249" s="182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91"/>
        <v>0</v>
      </c>
      <c r="N249" s="269">
        <f t="shared" si="90"/>
        <v>0</v>
      </c>
      <c r="O249" s="269"/>
      <c r="P249" s="290"/>
      <c r="Q249" s="181"/>
    </row>
    <row r="250" spans="1:20" ht="15.6" thickTop="1" thickBot="1">
      <c r="A250" s="73"/>
      <c r="B250" s="380"/>
      <c r="C250" s="177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:K250" si="92">SUM(G244:G249)</f>
        <v>0</v>
      </c>
      <c r="H250" s="268">
        <f t="shared" si="92"/>
        <v>0</v>
      </c>
      <c r="I250" s="268">
        <f t="shared" si="92"/>
        <v>0</v>
      </c>
      <c r="J250" s="268">
        <f t="shared" si="92"/>
        <v>0</v>
      </c>
      <c r="K250" s="268">
        <f t="shared" si="92"/>
        <v>0</v>
      </c>
      <c r="L250" s="273"/>
      <c r="M250" s="267">
        <f>SUM(M244:M249)</f>
        <v>0</v>
      </c>
      <c r="N250" s="269">
        <f>SUM(N244:N249)</f>
        <v>0</v>
      </c>
      <c r="O250" s="170"/>
      <c r="P250" s="171"/>
      <c r="Q250" s="181"/>
    </row>
    <row r="251" spans="1:20" ht="15.6" thickTop="1" thickBot="1">
      <c r="A251" s="73"/>
      <c r="B251" s="380"/>
      <c r="C251" s="167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68"/>
      <c r="T251" s="184">
        <f>$V$3+L11+L19+L27+L35+L43+L51+L59+L67+L75+L83+L91+L99+L107+L115+L123+L131+L139+L147+L155+L163+L171+L179+L187+L195+L203+L211+L219+L227+L235+L243+L251</f>
        <v>11082547.809999999</v>
      </c>
    </row>
    <row r="252" spans="1:20" ht="15" thickTop="1">
      <c r="A252" s="72"/>
    </row>
    <row r="253" spans="1:20">
      <c r="C253" s="169" t="s">
        <v>31</v>
      </c>
      <c r="D253" s="117">
        <f t="shared" ref="D253:P253" si="93">SUM(D250,D242,D234,D226,D218,D210,D202,D194,D186,D178,D170,D162,D154,D146,D138,D130,D122,D114,D106,D98,D90,D82,D74,D66,D58,D50,D42,D34,D26,D18,D10)</f>
        <v>0</v>
      </c>
      <c r="E253" s="298">
        <f t="shared" si="93"/>
        <v>0</v>
      </c>
      <c r="F253" s="299">
        <f t="shared" si="93"/>
        <v>0</v>
      </c>
      <c r="G253" s="299">
        <f t="shared" si="93"/>
        <v>0</v>
      </c>
      <c r="H253" s="299">
        <f t="shared" si="93"/>
        <v>0</v>
      </c>
      <c r="I253" s="299">
        <f t="shared" si="93"/>
        <v>0</v>
      </c>
      <c r="J253" s="299">
        <f t="shared" si="93"/>
        <v>0</v>
      </c>
      <c r="K253" s="299">
        <f t="shared" si="93"/>
        <v>0</v>
      </c>
      <c r="L253" s="300">
        <f t="shared" si="93"/>
        <v>0</v>
      </c>
      <c r="M253" s="298">
        <f t="shared" si="93"/>
        <v>0</v>
      </c>
      <c r="N253" s="117">
        <f t="shared" si="93"/>
        <v>0</v>
      </c>
      <c r="O253" s="117">
        <f t="shared" si="93"/>
        <v>0</v>
      </c>
      <c r="P253" s="117">
        <f t="shared" si="93"/>
        <v>0</v>
      </c>
    </row>
    <row r="254" spans="1:20">
      <c r="C254" s="169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B12:B19"/>
    <mergeCell ref="F19:K19"/>
    <mergeCell ref="B20:B27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</mergeCells>
  <conditionalFormatting sqref="B12:B19">
    <cfRule type="expression" dxfId="64" priority="32">
      <formula>$A12&lt;&gt;"--"</formula>
    </cfRule>
  </conditionalFormatting>
  <conditionalFormatting sqref="B20:B27">
    <cfRule type="expression" dxfId="63" priority="31">
      <formula>$A20&lt;&gt;"--"</formula>
    </cfRule>
  </conditionalFormatting>
  <conditionalFormatting sqref="B28:B35">
    <cfRule type="expression" dxfId="62" priority="30">
      <formula>$A28&lt;&gt;"--"</formula>
    </cfRule>
  </conditionalFormatting>
  <conditionalFormatting sqref="B36:B43">
    <cfRule type="expression" dxfId="61" priority="29">
      <formula>$A36&lt;&gt;"--"</formula>
    </cfRule>
  </conditionalFormatting>
  <conditionalFormatting sqref="B44:B51">
    <cfRule type="expression" dxfId="60" priority="28">
      <formula>$A44&lt;&gt;"--"</formula>
    </cfRule>
  </conditionalFormatting>
  <conditionalFormatting sqref="B52:B59">
    <cfRule type="expression" dxfId="59" priority="27">
      <formula>$A52&lt;&gt;"--"</formula>
    </cfRule>
  </conditionalFormatting>
  <conditionalFormatting sqref="B60:B67">
    <cfRule type="expression" dxfId="58" priority="26">
      <formula>$A60&lt;&gt;"--"</formula>
    </cfRule>
  </conditionalFormatting>
  <conditionalFormatting sqref="B68:B75">
    <cfRule type="expression" dxfId="57" priority="25">
      <formula>$A68&lt;&gt;"--"</formula>
    </cfRule>
  </conditionalFormatting>
  <conditionalFormatting sqref="B76:B83">
    <cfRule type="expression" dxfId="56" priority="24">
      <formula>$A76&lt;&gt;"--"</formula>
    </cfRule>
  </conditionalFormatting>
  <conditionalFormatting sqref="B84:B91">
    <cfRule type="expression" dxfId="55" priority="23">
      <formula>$A84&lt;&gt;"--"</formula>
    </cfRule>
  </conditionalFormatting>
  <conditionalFormatting sqref="B92:B99">
    <cfRule type="expression" dxfId="54" priority="22">
      <formula>$A92&lt;&gt;"--"</formula>
    </cfRule>
  </conditionalFormatting>
  <conditionalFormatting sqref="B100:B107">
    <cfRule type="expression" dxfId="53" priority="21">
      <formula>$A100&lt;&gt;"--"</formula>
    </cfRule>
  </conditionalFormatting>
  <conditionalFormatting sqref="B108:B115">
    <cfRule type="expression" dxfId="52" priority="20">
      <formula>$A108&lt;&gt;"--"</formula>
    </cfRule>
  </conditionalFormatting>
  <conditionalFormatting sqref="B116:B123">
    <cfRule type="expression" dxfId="51" priority="19">
      <formula>$A116&lt;&gt;"--"</formula>
    </cfRule>
  </conditionalFormatting>
  <conditionalFormatting sqref="B124:B131">
    <cfRule type="expression" dxfId="50" priority="18">
      <formula>$A124&lt;&gt;"--"</formula>
    </cfRule>
  </conditionalFormatting>
  <conditionalFormatting sqref="B132:B139">
    <cfRule type="expression" dxfId="49" priority="17">
      <formula>$A132&lt;&gt;"--"</formula>
    </cfRule>
  </conditionalFormatting>
  <conditionalFormatting sqref="B140:B147">
    <cfRule type="expression" dxfId="48" priority="16">
      <formula>$A140&lt;&gt;"--"</formula>
    </cfRule>
  </conditionalFormatting>
  <conditionalFormatting sqref="B148:B155">
    <cfRule type="expression" dxfId="47" priority="15">
      <formula>$A148&lt;&gt;"--"</formula>
    </cfRule>
  </conditionalFormatting>
  <conditionalFormatting sqref="B156:B163">
    <cfRule type="expression" dxfId="46" priority="14">
      <formula>$A156&lt;&gt;"--"</formula>
    </cfRule>
  </conditionalFormatting>
  <conditionalFormatting sqref="B164:B171">
    <cfRule type="expression" dxfId="45" priority="13">
      <formula>$A164&lt;&gt;"--"</formula>
    </cfRule>
  </conditionalFormatting>
  <conditionalFormatting sqref="B172:B179">
    <cfRule type="expression" dxfId="44" priority="12">
      <formula>$A172&lt;&gt;"--"</formula>
    </cfRule>
  </conditionalFormatting>
  <conditionalFormatting sqref="B180:B187">
    <cfRule type="expression" dxfId="43" priority="11">
      <formula>$A180&lt;&gt;"--"</formula>
    </cfRule>
  </conditionalFormatting>
  <conditionalFormatting sqref="B188:B195">
    <cfRule type="expression" dxfId="42" priority="10">
      <formula>$A188&lt;&gt;"--"</formula>
    </cfRule>
  </conditionalFormatting>
  <conditionalFormatting sqref="B196:B203">
    <cfRule type="expression" dxfId="41" priority="9">
      <formula>$A196&lt;&gt;"--"</formula>
    </cfRule>
  </conditionalFormatting>
  <conditionalFormatting sqref="B204:B211">
    <cfRule type="expression" dxfId="40" priority="8">
      <formula>$A204&lt;&gt;"--"</formula>
    </cfRule>
  </conditionalFormatting>
  <conditionalFormatting sqref="B212:B219">
    <cfRule type="expression" dxfId="39" priority="7">
      <formula>$A212&lt;&gt;"--"</formula>
    </cfRule>
  </conditionalFormatting>
  <conditionalFormatting sqref="B220:B227">
    <cfRule type="expression" dxfId="38" priority="6">
      <formula>$A220&lt;&gt;"--"</formula>
    </cfRule>
  </conditionalFormatting>
  <conditionalFormatting sqref="B228:B251">
    <cfRule type="expression" dxfId="37" priority="5">
      <formula>$A228&lt;&gt;"--"</formula>
    </cfRule>
  </conditionalFormatting>
  <conditionalFormatting sqref="B236:B243">
    <cfRule type="expression" dxfId="36" priority="4">
      <formula>$A236&lt;&gt;"--"</formula>
    </cfRule>
  </conditionalFormatting>
  <conditionalFormatting sqref="B244:B251">
    <cfRule type="expression" dxfId="35" priority="3">
      <formula>$A244&lt;&gt;"--"</formula>
    </cfRule>
  </conditionalFormatting>
  <conditionalFormatting sqref="B4:B11">
    <cfRule type="expression" dxfId="34" priority="2">
      <formula>$A4&lt;&gt;"--"</formula>
    </cfRule>
  </conditionalFormatting>
  <conditionalFormatting sqref="B228:B251">
    <cfRule type="cellIs" dxfId="33" priority="1" operator="lessThan">
      <formula>0</formula>
    </cfRule>
  </conditionalFormatting>
  <dataValidations count="1">
    <dataValidation type="list" allowBlank="1" showInputMessage="1" showErrorMessage="1" sqref="C4:C9 C244:C249 C236:C241 C228:C233 C220:C225 C212:C217 C204:C209 C196:C201 C188:C193 C180:C185 C172:C177 C164:C169 C156:C161 C148:C153 C140:C145 C132:C137 C124:C129 C116:C121 C108:C113 C100:C105 C92:C97 C84:C89 C76:C81 C68:C73 C60:C65 C52:C57 C44:C49 C36:C41 C28:C33 C20:C25 C12:C17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V254"/>
  <sheetViews>
    <sheetView topLeftCell="B10" workbookViewId="0">
      <selection activeCell="F16" sqref="F16"/>
    </sheetView>
  </sheetViews>
  <sheetFormatPr defaultColWidth="15.109375" defaultRowHeight="14.4"/>
  <cols>
    <col min="1" max="2" width="15.109375" style="119"/>
    <col min="3" max="3" width="22.109375" style="120" customWidth="1"/>
    <col min="4" max="11" width="15.109375" style="119"/>
    <col min="12" max="12" width="12.88671875" style="66" customWidth="1"/>
    <col min="13" max="14" width="10.109375" style="121" customWidth="1"/>
    <col min="15" max="16" width="10.109375" style="120" customWidth="1"/>
    <col min="17" max="17" width="22" style="120" customWidth="1"/>
    <col min="18" max="19" width="15.109375" style="119"/>
    <col min="20" max="20" width="26" style="120" customWidth="1"/>
    <col min="21" max="16384" width="15.109375" style="119"/>
  </cols>
  <sheetData>
    <row r="1" spans="1:22">
      <c r="A1" s="119">
        <v>4</v>
      </c>
    </row>
    <row r="2" spans="1:22" ht="15" customHeight="1" thickBot="1">
      <c r="B2" s="385" t="s">
        <v>35</v>
      </c>
      <c r="C2" s="385" t="s">
        <v>36</v>
      </c>
      <c r="D2" s="385" t="s">
        <v>4</v>
      </c>
      <c r="E2" s="385" t="s">
        <v>37</v>
      </c>
      <c r="F2" s="386" t="s">
        <v>38</v>
      </c>
      <c r="G2" s="386"/>
      <c r="H2" s="386"/>
      <c r="I2" s="386"/>
      <c r="J2" s="386"/>
      <c r="K2" s="386"/>
      <c r="L2" s="387" t="s">
        <v>39</v>
      </c>
      <c r="M2" s="385" t="s">
        <v>40</v>
      </c>
      <c r="N2" s="388" t="s">
        <v>41</v>
      </c>
      <c r="O2" s="388" t="s">
        <v>7</v>
      </c>
      <c r="P2" s="389" t="s">
        <v>8</v>
      </c>
      <c r="Q2" s="390" t="s">
        <v>42</v>
      </c>
      <c r="T2" s="384" t="s">
        <v>43</v>
      </c>
    </row>
    <row r="3" spans="1:22" ht="48" customHeight="1" thickTop="1" thickBot="1">
      <c r="A3" s="72"/>
      <c r="B3" s="385"/>
      <c r="C3" s="385"/>
      <c r="D3" s="385"/>
      <c r="E3" s="385"/>
      <c r="F3" s="122" t="s">
        <v>10</v>
      </c>
      <c r="G3" s="122" t="s">
        <v>11</v>
      </c>
      <c r="H3" s="122" t="s">
        <v>12</v>
      </c>
      <c r="I3" s="122" t="s">
        <v>13</v>
      </c>
      <c r="J3" s="122" t="s">
        <v>14</v>
      </c>
      <c r="K3" s="122" t="s">
        <v>44</v>
      </c>
      <c r="L3" s="387"/>
      <c r="M3" s="385"/>
      <c r="N3" s="388"/>
      <c r="O3" s="388"/>
      <c r="P3" s="389"/>
      <c r="Q3" s="390"/>
      <c r="T3" s="384"/>
      <c r="U3" s="119" t="s">
        <v>168</v>
      </c>
      <c r="V3" s="82" t="e">
        <f>SUM(V6:V16)</f>
        <v>#REF!</v>
      </c>
    </row>
    <row r="4" spans="1:22" ht="16.5" customHeight="1" thickTop="1">
      <c r="A4" s="73" t="str">
        <f ca="1">OFFSET('0'!$B$112,($A$1-1)*10,$B4-1)</f>
        <v>--</v>
      </c>
      <c r="B4" s="391">
        <f ca="1">OFFSET('0'!$B$111,($A$1-1)*10,0)</f>
        <v>1</v>
      </c>
      <c r="C4" s="137"/>
      <c r="D4" s="156"/>
      <c r="E4" s="67"/>
      <c r="F4" s="157"/>
      <c r="G4" s="157"/>
      <c r="H4" s="157"/>
      <c r="I4" s="157"/>
      <c r="J4" s="157"/>
      <c r="K4" s="157"/>
      <c r="L4" s="153"/>
      <c r="M4" s="67">
        <f>SUM(D4-E4)</f>
        <v>0</v>
      </c>
      <c r="N4" s="58">
        <f t="shared" ref="N4:N8" si="0">SUM(E4,M4)</f>
        <v>0</v>
      </c>
      <c r="O4" s="138"/>
      <c r="P4" s="139"/>
      <c r="Q4" s="140"/>
      <c r="T4" s="384"/>
    </row>
    <row r="5" spans="1:22">
      <c r="A5" s="73"/>
      <c r="B5" s="392"/>
      <c r="C5" s="141"/>
      <c r="D5" s="266"/>
      <c r="E5" s="267"/>
      <c r="F5" s="268"/>
      <c r="G5" s="268"/>
      <c r="H5" s="268"/>
      <c r="I5" s="268"/>
      <c r="J5" s="268"/>
      <c r="K5" s="268"/>
      <c r="L5" s="289"/>
      <c r="M5" s="267">
        <f>SUM(D5-E5)</f>
        <v>0</v>
      </c>
      <c r="N5" s="269">
        <f t="shared" si="0"/>
        <v>0</v>
      </c>
      <c r="O5" s="269"/>
      <c r="P5" s="290"/>
      <c r="Q5" s="142"/>
      <c r="U5" s="119" t="s">
        <v>167</v>
      </c>
    </row>
    <row r="6" spans="1:22">
      <c r="A6" s="73"/>
      <c r="B6" s="392"/>
      <c r="C6" s="141"/>
      <c r="D6" s="266"/>
      <c r="E6" s="267"/>
      <c r="F6" s="268"/>
      <c r="G6" s="268"/>
      <c r="H6" s="268"/>
      <c r="I6" s="268"/>
      <c r="J6" s="268"/>
      <c r="K6" s="268"/>
      <c r="L6" s="289"/>
      <c r="M6" s="267">
        <f t="shared" ref="M6:M8" si="1">SUM(D6-E6)</f>
        <v>0</v>
      </c>
      <c r="N6" s="269">
        <f t="shared" si="0"/>
        <v>0</v>
      </c>
      <c r="O6" s="269"/>
      <c r="P6" s="290"/>
      <c r="Q6" s="142"/>
      <c r="U6" s="119">
        <v>1</v>
      </c>
      <c r="V6" s="86">
        <f>Sausis!L254</f>
        <v>46650.2</v>
      </c>
    </row>
    <row r="7" spans="1:22">
      <c r="A7" s="73"/>
      <c r="B7" s="392"/>
      <c r="C7" s="143"/>
      <c r="D7" s="266"/>
      <c r="E7" s="267"/>
      <c r="F7" s="268"/>
      <c r="G7" s="268"/>
      <c r="H7" s="268"/>
      <c r="I7" s="268"/>
      <c r="J7" s="268"/>
      <c r="K7" s="268"/>
      <c r="L7" s="289"/>
      <c r="M7" s="267">
        <f t="shared" si="1"/>
        <v>0</v>
      </c>
      <c r="N7" s="269">
        <f t="shared" si="0"/>
        <v>0</v>
      </c>
      <c r="O7" s="269"/>
      <c r="P7" s="290"/>
      <c r="Q7" s="142"/>
      <c r="U7" s="119">
        <v>2</v>
      </c>
      <c r="V7" s="86" t="e">
        <f>#REF!</f>
        <v>#REF!</v>
      </c>
    </row>
    <row r="8" spans="1:22">
      <c r="A8" s="73"/>
      <c r="B8" s="392"/>
      <c r="C8" s="143"/>
      <c r="D8" s="266"/>
      <c r="E8" s="267"/>
      <c r="F8" s="268"/>
      <c r="G8" s="268"/>
      <c r="H8" s="268"/>
      <c r="I8" s="268"/>
      <c r="J8" s="268"/>
      <c r="K8" s="268"/>
      <c r="L8" s="291"/>
      <c r="M8" s="267">
        <f t="shared" si="1"/>
        <v>0</v>
      </c>
      <c r="N8" s="269">
        <f t="shared" si="0"/>
        <v>0</v>
      </c>
      <c r="O8" s="269"/>
      <c r="P8" s="290"/>
      <c r="Q8" s="142"/>
      <c r="U8" s="119">
        <v>3</v>
      </c>
    </row>
    <row r="9" spans="1:22" s="161" customFormat="1" ht="15" thickBot="1">
      <c r="A9" s="73"/>
      <c r="B9" s="392"/>
      <c r="C9" s="182"/>
      <c r="D9" s="266"/>
      <c r="E9" s="267"/>
      <c r="F9" s="268"/>
      <c r="G9" s="268"/>
      <c r="H9" s="268"/>
      <c r="I9" s="268"/>
      <c r="J9" s="268"/>
      <c r="K9" s="268"/>
      <c r="L9" s="291"/>
      <c r="M9" s="267">
        <f t="shared" ref="M9" si="2">SUM(D9-E9)</f>
        <v>0</v>
      </c>
      <c r="N9" s="269">
        <f t="shared" ref="N9" si="3">SUM(E9,M9)</f>
        <v>0</v>
      </c>
      <c r="O9" s="269"/>
      <c r="P9" s="290"/>
      <c r="Q9" s="181"/>
      <c r="T9" s="162"/>
      <c r="U9" s="161">
        <v>4</v>
      </c>
    </row>
    <row r="10" spans="1:22" ht="15" thickBot="1">
      <c r="A10" s="73"/>
      <c r="B10" s="392"/>
      <c r="C10" s="144" t="s">
        <v>69</v>
      </c>
      <c r="D10" s="266">
        <f>SUM(D4:D9)</f>
        <v>0</v>
      </c>
      <c r="E10" s="267">
        <f>SUM(E4:E9)</f>
        <v>0</v>
      </c>
      <c r="F10" s="268">
        <f t="shared" ref="F10:K10" si="4">SUM(F4:F9)</f>
        <v>0</v>
      </c>
      <c r="G10" s="268">
        <f t="shared" si="4"/>
        <v>0</v>
      </c>
      <c r="H10" s="268">
        <f t="shared" si="4"/>
        <v>0</v>
      </c>
      <c r="I10" s="268">
        <f t="shared" si="4"/>
        <v>0</v>
      </c>
      <c r="J10" s="268">
        <f t="shared" si="4"/>
        <v>0</v>
      </c>
      <c r="K10" s="268">
        <f t="shared" si="4"/>
        <v>0</v>
      </c>
      <c r="L10" s="273"/>
      <c r="M10" s="267">
        <f>SUM(M4:M9)</f>
        <v>0</v>
      </c>
      <c r="N10" s="269">
        <f>SUM(N4:N9)</f>
        <v>0</v>
      </c>
      <c r="O10" s="269"/>
      <c r="P10" s="290"/>
      <c r="Q10" s="142"/>
      <c r="U10" s="119">
        <v>5</v>
      </c>
    </row>
    <row r="11" spans="1:22" ht="15" thickBot="1">
      <c r="A11" s="73"/>
      <c r="B11" s="393"/>
      <c r="C11" s="124" t="s">
        <v>45</v>
      </c>
      <c r="D11" s="272">
        <f>SUM(D4:D9)</f>
        <v>0</v>
      </c>
      <c r="E11" s="272">
        <f>SUM(E4:E9)</f>
        <v>0</v>
      </c>
      <c r="F11" s="381">
        <f>SUM(F10:K10)</f>
        <v>0</v>
      </c>
      <c r="G11" s="382"/>
      <c r="H11" s="382"/>
      <c r="I11" s="382"/>
      <c r="J11" s="382"/>
      <c r="K11" s="383"/>
      <c r="L11" s="274">
        <f>L10</f>
        <v>0</v>
      </c>
      <c r="M11" s="272">
        <f>SUM(M4:M9)</f>
        <v>0</v>
      </c>
      <c r="N11" s="272">
        <f>SUM(N4:N9)</f>
        <v>0</v>
      </c>
      <c r="O11" s="272">
        <f>SUM(O10)</f>
        <v>0</v>
      </c>
      <c r="P11" s="275">
        <f>SUM(P10)</f>
        <v>0</v>
      </c>
      <c r="Q11" s="125"/>
      <c r="T11" s="145" t="e">
        <f>$V$3+L11</f>
        <v>#REF!</v>
      </c>
      <c r="U11" s="119">
        <v>6</v>
      </c>
    </row>
    <row r="12" spans="1:22" ht="15" thickTop="1">
      <c r="A12" s="73" t="str">
        <f ca="1">OFFSET('0'!$B$112,($A$1-1)*10,$B12-1)</f>
        <v>--</v>
      </c>
      <c r="B12" s="391">
        <f ca="1">OFFSET('0'!$B$111,($A$1-1)*10,1)</f>
        <v>2</v>
      </c>
      <c r="C12" s="137"/>
      <c r="D12" s="158"/>
      <c r="E12" s="68"/>
      <c r="F12" s="159"/>
      <c r="G12" s="159"/>
      <c r="H12" s="159"/>
      <c r="I12" s="159"/>
      <c r="J12" s="159"/>
      <c r="K12" s="159"/>
      <c r="L12" s="69"/>
      <c r="M12" s="67">
        <f>SUM(D12-E12)</f>
        <v>0</v>
      </c>
      <c r="N12" s="58">
        <f t="shared" ref="N12:N17" si="5">SUM(E12,M12)</f>
        <v>0</v>
      </c>
      <c r="O12" s="138"/>
      <c r="P12" s="146"/>
      <c r="Q12" s="147"/>
      <c r="U12" s="119">
        <v>7</v>
      </c>
    </row>
    <row r="13" spans="1:22" ht="17.25" customHeight="1">
      <c r="A13" s="73"/>
      <c r="B13" s="392"/>
      <c r="C13" s="141"/>
      <c r="D13" s="266"/>
      <c r="E13" s="267"/>
      <c r="F13" s="268"/>
      <c r="G13" s="268"/>
      <c r="H13" s="268"/>
      <c r="I13" s="268"/>
      <c r="J13" s="268"/>
      <c r="K13" s="268"/>
      <c r="L13" s="289"/>
      <c r="M13" s="267">
        <f>SUM(D13-E13)</f>
        <v>0</v>
      </c>
      <c r="N13" s="269">
        <f t="shared" si="5"/>
        <v>0</v>
      </c>
      <c r="O13" s="269"/>
      <c r="P13" s="290"/>
      <c r="Q13" s="142"/>
      <c r="U13" s="119">
        <v>8</v>
      </c>
    </row>
    <row r="14" spans="1:22">
      <c r="A14" s="73"/>
      <c r="B14" s="392"/>
      <c r="C14" s="141"/>
      <c r="D14" s="266"/>
      <c r="E14" s="267"/>
      <c r="F14" s="268"/>
      <c r="G14" s="268"/>
      <c r="H14" s="268"/>
      <c r="I14" s="268"/>
      <c r="J14" s="268"/>
      <c r="K14" s="268"/>
      <c r="L14" s="289"/>
      <c r="M14" s="267">
        <f t="shared" ref="M14:M17" si="6">SUM(D14-E14)</f>
        <v>0</v>
      </c>
      <c r="N14" s="269">
        <f t="shared" si="5"/>
        <v>0</v>
      </c>
      <c r="O14" s="269"/>
      <c r="P14" s="290"/>
      <c r="Q14" s="142"/>
      <c r="U14" s="119">
        <v>9</v>
      </c>
    </row>
    <row r="15" spans="1:22">
      <c r="A15" s="73"/>
      <c r="B15" s="392"/>
      <c r="C15" s="143"/>
      <c r="D15" s="266"/>
      <c r="E15" s="267"/>
      <c r="F15" s="268"/>
      <c r="G15" s="268"/>
      <c r="H15" s="268"/>
      <c r="I15" s="268"/>
      <c r="J15" s="268"/>
      <c r="K15" s="268"/>
      <c r="L15" s="289"/>
      <c r="M15" s="267">
        <f t="shared" si="6"/>
        <v>0</v>
      </c>
      <c r="N15" s="269">
        <f t="shared" si="5"/>
        <v>0</v>
      </c>
      <c r="O15" s="269"/>
      <c r="P15" s="290"/>
      <c r="Q15" s="142"/>
      <c r="U15" s="119">
        <v>10</v>
      </c>
    </row>
    <row r="16" spans="1:22">
      <c r="A16" s="73"/>
      <c r="B16" s="392"/>
      <c r="C16" s="143"/>
      <c r="D16" s="276"/>
      <c r="E16" s="277"/>
      <c r="F16" s="278"/>
      <c r="G16" s="278"/>
      <c r="H16" s="278"/>
      <c r="I16" s="278"/>
      <c r="J16" s="278"/>
      <c r="K16" s="278"/>
      <c r="L16" s="291"/>
      <c r="M16" s="267">
        <f t="shared" si="6"/>
        <v>0</v>
      </c>
      <c r="N16" s="279">
        <f t="shared" si="5"/>
        <v>0</v>
      </c>
      <c r="O16" s="279"/>
      <c r="P16" s="292"/>
      <c r="Q16" s="148"/>
      <c r="U16" s="119">
        <v>11</v>
      </c>
    </row>
    <row r="17" spans="1:22" ht="15" thickBot="1">
      <c r="A17" s="73"/>
      <c r="B17" s="392"/>
      <c r="C17" s="143"/>
      <c r="D17" s="276"/>
      <c r="E17" s="277"/>
      <c r="F17" s="278"/>
      <c r="G17" s="278"/>
      <c r="H17" s="278"/>
      <c r="I17" s="278"/>
      <c r="J17" s="278"/>
      <c r="K17" s="278"/>
      <c r="L17" s="291"/>
      <c r="M17" s="267">
        <f t="shared" si="6"/>
        <v>0</v>
      </c>
      <c r="N17" s="279">
        <f t="shared" si="5"/>
        <v>0</v>
      </c>
      <c r="O17" s="279"/>
      <c r="P17" s="292"/>
      <c r="Q17" s="148"/>
      <c r="U17" s="83"/>
      <c r="V17" s="84"/>
    </row>
    <row r="18" spans="1:22" ht="15" thickBot="1">
      <c r="A18" s="73"/>
      <c r="B18" s="392"/>
      <c r="C18" s="144" t="s">
        <v>69</v>
      </c>
      <c r="D18" s="266">
        <f>SUM(D12:D17)</f>
        <v>0</v>
      </c>
      <c r="E18" s="277">
        <f>SUM(E12:E17)</f>
        <v>0</v>
      </c>
      <c r="F18" s="268">
        <f>SUM(F12:F17)</f>
        <v>0</v>
      </c>
      <c r="G18" s="268">
        <f t="shared" ref="G18" si="7">SUM(G12:G17)</f>
        <v>0</v>
      </c>
      <c r="H18" s="268">
        <f t="shared" ref="H18" si="8">SUM(H12:H17)</f>
        <v>0</v>
      </c>
      <c r="I18" s="268">
        <f t="shared" ref="I18" si="9">SUM(I12:I17)</f>
        <v>0</v>
      </c>
      <c r="J18" s="268">
        <f t="shared" ref="J18" si="10">SUM(J12:J17)</f>
        <v>0</v>
      </c>
      <c r="K18" s="268">
        <f t="shared" ref="K18" si="11">SUM(K12:K17)</f>
        <v>0</v>
      </c>
      <c r="L18" s="273"/>
      <c r="M18" s="267">
        <f>SUM(M12:M17)</f>
        <v>0</v>
      </c>
      <c r="N18" s="280">
        <f>SUM(N12:N17)</f>
        <v>0</v>
      </c>
      <c r="O18" s="280"/>
      <c r="P18" s="293"/>
      <c r="Q18" s="148"/>
      <c r="U18" s="85"/>
      <c r="V18" s="85"/>
    </row>
    <row r="19" spans="1:22" ht="15" thickBot="1">
      <c r="A19" s="73"/>
      <c r="B19" s="393"/>
      <c r="C19" s="124" t="s">
        <v>45</v>
      </c>
      <c r="D19" s="272">
        <f>SUM(D12:D17)</f>
        <v>0</v>
      </c>
      <c r="E19" s="272">
        <f>SUM(E12:E17)</f>
        <v>0</v>
      </c>
      <c r="F19" s="381">
        <f>SUM(F18:K18)</f>
        <v>0</v>
      </c>
      <c r="G19" s="382"/>
      <c r="H19" s="382"/>
      <c r="I19" s="382"/>
      <c r="J19" s="382"/>
      <c r="K19" s="383"/>
      <c r="L19" s="274">
        <f>L18</f>
        <v>0</v>
      </c>
      <c r="M19" s="272">
        <f>SUM(M12:M17)</f>
        <v>0</v>
      </c>
      <c r="N19" s="272">
        <f>SUM(N12:N17)</f>
        <v>0</v>
      </c>
      <c r="O19" s="272">
        <f>SUM(O18)</f>
        <v>0</v>
      </c>
      <c r="P19" s="275">
        <f>SUM(P18)</f>
        <v>0</v>
      </c>
      <c r="Q19" s="125"/>
      <c r="T19" s="145" t="e">
        <f>$V$3+L11+L19</f>
        <v>#REF!</v>
      </c>
    </row>
    <row r="20" spans="1:22" ht="15.6" thickTop="1" thickBot="1">
      <c r="A20" s="73" t="str">
        <f ca="1">OFFSET('0'!$B$112,($A$1-1)*10,$B20-1)</f>
        <v>--</v>
      </c>
      <c r="B20" s="380">
        <f ca="1">OFFSET('0'!$B$111,($A$1-1)*10,2)</f>
        <v>3</v>
      </c>
      <c r="C20" s="137"/>
      <c r="D20" s="156"/>
      <c r="E20" s="67"/>
      <c r="F20" s="157"/>
      <c r="G20" s="157"/>
      <c r="H20" s="157"/>
      <c r="I20" s="157"/>
      <c r="J20" s="157"/>
      <c r="K20" s="157"/>
      <c r="L20" s="153"/>
      <c r="M20" s="67">
        <f>SUM(D20-E20)</f>
        <v>0</v>
      </c>
      <c r="N20" s="58">
        <f t="shared" ref="N20:N25" si="12">SUM(E20,M20)</f>
        <v>0</v>
      </c>
      <c r="O20" s="138"/>
      <c r="P20" s="139"/>
      <c r="Q20" s="140"/>
    </row>
    <row r="21" spans="1:22" ht="15.6" thickTop="1" thickBot="1">
      <c r="A21" s="73"/>
      <c r="B21" s="380"/>
      <c r="C21" s="141"/>
      <c r="D21" s="266"/>
      <c r="E21" s="267"/>
      <c r="F21" s="268"/>
      <c r="G21" s="268"/>
      <c r="H21" s="268"/>
      <c r="I21" s="268"/>
      <c r="J21" s="268"/>
      <c r="K21" s="268"/>
      <c r="L21" s="289"/>
      <c r="M21" s="267">
        <f>SUM(D21-E21)</f>
        <v>0</v>
      </c>
      <c r="N21" s="269">
        <f t="shared" si="12"/>
        <v>0</v>
      </c>
      <c r="O21" s="269"/>
      <c r="P21" s="290"/>
      <c r="Q21" s="142"/>
    </row>
    <row r="22" spans="1:22" ht="15.6" thickTop="1" thickBot="1">
      <c r="A22" s="73"/>
      <c r="B22" s="380"/>
      <c r="C22" s="141"/>
      <c r="D22" s="266"/>
      <c r="E22" s="267"/>
      <c r="F22" s="268"/>
      <c r="G22" s="268"/>
      <c r="H22" s="268"/>
      <c r="I22" s="268"/>
      <c r="J22" s="268"/>
      <c r="K22" s="268"/>
      <c r="L22" s="289"/>
      <c r="M22" s="267">
        <f t="shared" ref="M22:M25" si="13">SUM(D22-E22)</f>
        <v>0</v>
      </c>
      <c r="N22" s="269">
        <f t="shared" si="12"/>
        <v>0</v>
      </c>
      <c r="O22" s="269"/>
      <c r="P22" s="290"/>
      <c r="Q22" s="142"/>
    </row>
    <row r="23" spans="1:22" ht="15.6" thickTop="1" thickBot="1">
      <c r="A23" s="73"/>
      <c r="B23" s="380"/>
      <c r="C23" s="143"/>
      <c r="D23" s="266"/>
      <c r="E23" s="267"/>
      <c r="F23" s="268"/>
      <c r="G23" s="268"/>
      <c r="H23" s="268"/>
      <c r="I23" s="268"/>
      <c r="J23" s="268"/>
      <c r="K23" s="268"/>
      <c r="L23" s="289"/>
      <c r="M23" s="267">
        <f t="shared" si="13"/>
        <v>0</v>
      </c>
      <c r="N23" s="269">
        <f t="shared" si="12"/>
        <v>0</v>
      </c>
      <c r="O23" s="269"/>
      <c r="P23" s="290"/>
      <c r="Q23" s="142"/>
    </row>
    <row r="24" spans="1:22" ht="15.6" thickTop="1" thickBot="1">
      <c r="A24" s="73"/>
      <c r="B24" s="380"/>
      <c r="C24" s="143"/>
      <c r="D24" s="276"/>
      <c r="E24" s="277"/>
      <c r="F24" s="278"/>
      <c r="G24" s="278"/>
      <c r="H24" s="278"/>
      <c r="I24" s="278"/>
      <c r="J24" s="278"/>
      <c r="K24" s="278"/>
      <c r="L24" s="291"/>
      <c r="M24" s="267">
        <f t="shared" si="13"/>
        <v>0</v>
      </c>
      <c r="N24" s="269">
        <f t="shared" si="12"/>
        <v>0</v>
      </c>
      <c r="O24" s="269"/>
      <c r="P24" s="293"/>
      <c r="Q24" s="148"/>
    </row>
    <row r="25" spans="1:22" ht="15.6" thickTop="1" thickBot="1">
      <c r="A25" s="73"/>
      <c r="B25" s="380"/>
      <c r="C25" s="143"/>
      <c r="D25" s="276"/>
      <c r="E25" s="277"/>
      <c r="F25" s="278"/>
      <c r="G25" s="278"/>
      <c r="H25" s="278"/>
      <c r="I25" s="278"/>
      <c r="J25" s="278"/>
      <c r="K25" s="278"/>
      <c r="L25" s="291"/>
      <c r="M25" s="267">
        <f t="shared" si="13"/>
        <v>0</v>
      </c>
      <c r="N25" s="269">
        <f t="shared" si="12"/>
        <v>0</v>
      </c>
      <c r="O25" s="269"/>
      <c r="P25" s="293"/>
      <c r="Q25" s="148"/>
    </row>
    <row r="26" spans="1:22" ht="15.6" thickTop="1" thickBot="1">
      <c r="A26" s="73"/>
      <c r="B26" s="380"/>
      <c r="C26" s="144" t="s">
        <v>69</v>
      </c>
      <c r="D26" s="266">
        <f>SUM(D20:D25)</f>
        <v>0</v>
      </c>
      <c r="E26" s="267">
        <f>SUM(E20:E25)</f>
        <v>0</v>
      </c>
      <c r="F26" s="268">
        <f>SUM(F20:F25)</f>
        <v>0</v>
      </c>
      <c r="G26" s="268">
        <f t="shared" ref="G26" si="14">SUM(G20:G25)</f>
        <v>0</v>
      </c>
      <c r="H26" s="268">
        <f t="shared" ref="H26" si="15">SUM(H20:H25)</f>
        <v>0</v>
      </c>
      <c r="I26" s="268">
        <f t="shared" ref="I26" si="16">SUM(I20:I25)</f>
        <v>0</v>
      </c>
      <c r="J26" s="268">
        <f t="shared" ref="J26" si="17">SUM(J20:J25)</f>
        <v>0</v>
      </c>
      <c r="K26" s="268">
        <f t="shared" ref="K26" si="18">SUM(K20:K25)</f>
        <v>0</v>
      </c>
      <c r="L26" s="273"/>
      <c r="M26" s="267">
        <f>SUM(M20:M25)</f>
        <v>0</v>
      </c>
      <c r="N26" s="280">
        <f>SUM(N20:N25)</f>
        <v>0</v>
      </c>
      <c r="O26" s="280"/>
      <c r="P26" s="293"/>
      <c r="Q26" s="148"/>
    </row>
    <row r="27" spans="1:22" ht="15.6" thickTop="1" thickBot="1">
      <c r="A27" s="73"/>
      <c r="B27" s="380"/>
      <c r="C27" s="132" t="s">
        <v>45</v>
      </c>
      <c r="D27" s="281">
        <f>SUM(D20:D25)</f>
        <v>0</v>
      </c>
      <c r="E27" s="281">
        <f>SUM(E20:E25)</f>
        <v>0</v>
      </c>
      <c r="F27" s="381">
        <f>SUM(F26:K26)</f>
        <v>0</v>
      </c>
      <c r="G27" s="382"/>
      <c r="H27" s="382"/>
      <c r="I27" s="382"/>
      <c r="J27" s="382"/>
      <c r="K27" s="383"/>
      <c r="L27" s="282">
        <f>L26</f>
        <v>0</v>
      </c>
      <c r="M27" s="281">
        <f>SUM(M20:M25)</f>
        <v>0</v>
      </c>
      <c r="N27" s="281">
        <f>SUM(N20:N25)</f>
        <v>0</v>
      </c>
      <c r="O27" s="272">
        <f>SUM(O26)</f>
        <v>0</v>
      </c>
      <c r="P27" s="275">
        <f>SUM(P26)</f>
        <v>0</v>
      </c>
      <c r="Q27" s="133"/>
      <c r="T27" s="145" t="e">
        <f>$V$3++L11+L19+L27</f>
        <v>#REF!</v>
      </c>
    </row>
    <row r="28" spans="1:22" ht="15.6" thickTop="1" thickBot="1">
      <c r="A28" s="73" t="str">
        <f ca="1">OFFSET('0'!$B$112,($A$1-1)*10,$B28-1)</f>
        <v>--</v>
      </c>
      <c r="B28" s="380">
        <f ca="1">OFFSET('0'!$B$111,($A$1-1)*10,3)</f>
        <v>4</v>
      </c>
      <c r="C28" s="137"/>
      <c r="D28" s="156"/>
      <c r="E28" s="67"/>
      <c r="F28" s="157"/>
      <c r="G28" s="157"/>
      <c r="H28" s="157"/>
      <c r="I28" s="157"/>
      <c r="J28" s="157"/>
      <c r="K28" s="157"/>
      <c r="L28" s="153"/>
      <c r="M28" s="67">
        <f>SUM(D28-E28)</f>
        <v>0</v>
      </c>
      <c r="N28" s="58">
        <f t="shared" ref="N28:N33" si="19">SUM(E28,M28)</f>
        <v>0</v>
      </c>
      <c r="O28" s="138"/>
      <c r="P28" s="139"/>
      <c r="Q28" s="140"/>
    </row>
    <row r="29" spans="1:22" ht="17.25" customHeight="1" thickTop="1" thickBot="1">
      <c r="A29" s="73"/>
      <c r="B29" s="380"/>
      <c r="C29" s="141"/>
      <c r="D29" s="266"/>
      <c r="E29" s="267"/>
      <c r="F29" s="268"/>
      <c r="G29" s="268"/>
      <c r="H29" s="268"/>
      <c r="I29" s="268"/>
      <c r="J29" s="268"/>
      <c r="K29" s="268"/>
      <c r="L29" s="289"/>
      <c r="M29" s="267">
        <f>SUM(D29-E29)</f>
        <v>0</v>
      </c>
      <c r="N29" s="269">
        <f t="shared" si="19"/>
        <v>0</v>
      </c>
      <c r="O29" s="269"/>
      <c r="P29" s="290"/>
      <c r="Q29" s="142"/>
    </row>
    <row r="30" spans="1:22" ht="17.25" customHeight="1" thickTop="1" thickBot="1">
      <c r="A30" s="73"/>
      <c r="B30" s="380"/>
      <c r="C30" s="141"/>
      <c r="D30" s="266"/>
      <c r="E30" s="267"/>
      <c r="F30" s="268"/>
      <c r="G30" s="268"/>
      <c r="H30" s="268"/>
      <c r="I30" s="268"/>
      <c r="J30" s="268"/>
      <c r="K30" s="268"/>
      <c r="L30" s="289"/>
      <c r="M30" s="267">
        <f t="shared" ref="M30:M33" si="20">SUM(D30-E30)</f>
        <v>0</v>
      </c>
      <c r="N30" s="269">
        <f t="shared" si="19"/>
        <v>0</v>
      </c>
      <c r="O30" s="269"/>
      <c r="P30" s="290"/>
      <c r="Q30" s="142"/>
    </row>
    <row r="31" spans="1:22" ht="17.25" customHeight="1" thickTop="1" thickBot="1">
      <c r="A31" s="73"/>
      <c r="B31" s="380"/>
      <c r="C31" s="143"/>
      <c r="D31" s="266"/>
      <c r="E31" s="267"/>
      <c r="F31" s="268"/>
      <c r="G31" s="268"/>
      <c r="H31" s="268"/>
      <c r="I31" s="268"/>
      <c r="J31" s="268"/>
      <c r="K31" s="268"/>
      <c r="L31" s="289"/>
      <c r="M31" s="267">
        <f t="shared" si="20"/>
        <v>0</v>
      </c>
      <c r="N31" s="269">
        <f t="shared" si="19"/>
        <v>0</v>
      </c>
      <c r="O31" s="269"/>
      <c r="P31" s="290"/>
      <c r="Q31" s="142"/>
    </row>
    <row r="32" spans="1:22" ht="15.6" thickTop="1" thickBot="1">
      <c r="A32" s="73"/>
      <c r="B32" s="380"/>
      <c r="C32" s="143"/>
      <c r="D32" s="266"/>
      <c r="E32" s="267"/>
      <c r="F32" s="268"/>
      <c r="G32" s="268"/>
      <c r="H32" s="268"/>
      <c r="I32" s="268"/>
      <c r="J32" s="268"/>
      <c r="K32" s="268"/>
      <c r="L32" s="289"/>
      <c r="M32" s="267">
        <f t="shared" si="20"/>
        <v>0</v>
      </c>
      <c r="N32" s="269">
        <f t="shared" si="19"/>
        <v>0</v>
      </c>
      <c r="O32" s="269"/>
      <c r="P32" s="290"/>
      <c r="Q32" s="142"/>
    </row>
    <row r="33" spans="1:20" ht="15.6" thickTop="1" thickBot="1">
      <c r="A33" s="73"/>
      <c r="B33" s="380"/>
      <c r="C33" s="143"/>
      <c r="D33" s="266"/>
      <c r="E33" s="267"/>
      <c r="F33" s="268"/>
      <c r="G33" s="268"/>
      <c r="H33" s="268"/>
      <c r="I33" s="268"/>
      <c r="J33" s="268"/>
      <c r="K33" s="268"/>
      <c r="L33" s="291"/>
      <c r="M33" s="267">
        <f t="shared" si="20"/>
        <v>0</v>
      </c>
      <c r="N33" s="269">
        <f t="shared" si="19"/>
        <v>0</v>
      </c>
      <c r="O33" s="269"/>
      <c r="P33" s="290"/>
      <c r="Q33" s="142"/>
    </row>
    <row r="34" spans="1:20" ht="15.6" thickTop="1" thickBot="1">
      <c r="A34" s="73"/>
      <c r="B34" s="380"/>
      <c r="C34" s="144" t="s">
        <v>69</v>
      </c>
      <c r="D34" s="266">
        <f>SUM(D28:D33)</f>
        <v>0</v>
      </c>
      <c r="E34" s="267">
        <f>SUM(E28:E33)</f>
        <v>0</v>
      </c>
      <c r="F34" s="268">
        <f>SUM(F28:F33)</f>
        <v>0</v>
      </c>
      <c r="G34" s="268">
        <f t="shared" ref="G34" si="21">SUM(G28:G33)</f>
        <v>0</v>
      </c>
      <c r="H34" s="268">
        <f t="shared" ref="H34" si="22">SUM(H28:H33)</f>
        <v>0</v>
      </c>
      <c r="I34" s="268">
        <f t="shared" ref="I34" si="23">SUM(I28:I33)</f>
        <v>0</v>
      </c>
      <c r="J34" s="268">
        <f t="shared" ref="J34" si="24">SUM(J28:J33)</f>
        <v>0</v>
      </c>
      <c r="K34" s="268">
        <f t="shared" ref="K34" si="25">SUM(K28:K33)</f>
        <v>0</v>
      </c>
      <c r="L34" s="273"/>
      <c r="M34" s="267">
        <f>SUM(M28:M33)</f>
        <v>0</v>
      </c>
      <c r="N34" s="269">
        <f>SUM(N28:N33)</f>
        <v>0</v>
      </c>
      <c r="O34" s="269"/>
      <c r="P34" s="290"/>
      <c r="Q34" s="142"/>
    </row>
    <row r="35" spans="1:20" ht="15.6" thickTop="1" thickBot="1">
      <c r="A35" s="73"/>
      <c r="B35" s="380"/>
      <c r="C35" s="124" t="s">
        <v>45</v>
      </c>
      <c r="D35" s="272">
        <f>SUM(D28:D33)</f>
        <v>0</v>
      </c>
      <c r="E35" s="272">
        <f>SUM(E28:E33)</f>
        <v>0</v>
      </c>
      <c r="F35" s="381">
        <f>SUM(F34:K34)</f>
        <v>0</v>
      </c>
      <c r="G35" s="382"/>
      <c r="H35" s="382"/>
      <c r="I35" s="382"/>
      <c r="J35" s="382"/>
      <c r="K35" s="383"/>
      <c r="L35" s="274">
        <f>L34</f>
        <v>0</v>
      </c>
      <c r="M35" s="272">
        <f>SUM(M28:M33)</f>
        <v>0</v>
      </c>
      <c r="N35" s="272">
        <f>SUM(N28:N33)</f>
        <v>0</v>
      </c>
      <c r="O35" s="272">
        <f>SUM(O34)</f>
        <v>0</v>
      </c>
      <c r="P35" s="275">
        <f>SUM(P34)</f>
        <v>0</v>
      </c>
      <c r="Q35" s="125"/>
      <c r="T35" s="145" t="e">
        <f>$V$3+L11+L19+L27+L35</f>
        <v>#REF!</v>
      </c>
    </row>
    <row r="36" spans="1:20" ht="15.6" thickTop="1" thickBot="1">
      <c r="A36" s="73" t="str">
        <f ca="1">OFFSET('0'!$B$112,($A$1-1)*10,$B36-1)</f>
        <v>SS</v>
      </c>
      <c r="B36" s="380">
        <f ca="1">OFFSET('0'!$B$111,($A$1-1)*10,4)</f>
        <v>5</v>
      </c>
      <c r="C36" s="137"/>
      <c r="D36" s="156"/>
      <c r="E36" s="67"/>
      <c r="F36" s="157"/>
      <c r="G36" s="157"/>
      <c r="H36" s="157"/>
      <c r="I36" s="157"/>
      <c r="J36" s="157"/>
      <c r="K36" s="157"/>
      <c r="L36" s="153"/>
      <c r="M36" s="67">
        <f>SUM(D36-E36)</f>
        <v>0</v>
      </c>
      <c r="N36" s="58">
        <f>SUM(E36,M36)</f>
        <v>0</v>
      </c>
      <c r="O36" s="138"/>
      <c r="P36" s="139"/>
      <c r="Q36" s="140"/>
    </row>
    <row r="37" spans="1:20" ht="15.6" thickTop="1" thickBot="1">
      <c r="A37" s="73"/>
      <c r="B37" s="380"/>
      <c r="C37" s="141"/>
      <c r="D37" s="266"/>
      <c r="E37" s="267"/>
      <c r="F37" s="268"/>
      <c r="G37" s="268"/>
      <c r="H37" s="268"/>
      <c r="I37" s="268"/>
      <c r="J37" s="268"/>
      <c r="K37" s="268"/>
      <c r="L37" s="289"/>
      <c r="M37" s="267">
        <f>SUM(D37-E37)</f>
        <v>0</v>
      </c>
      <c r="N37" s="269">
        <f>SUM(E37,M37)</f>
        <v>0</v>
      </c>
      <c r="O37" s="269"/>
      <c r="P37" s="290"/>
      <c r="Q37" s="142"/>
    </row>
    <row r="38" spans="1:20" ht="15.6" thickTop="1" thickBot="1">
      <c r="A38" s="73"/>
      <c r="B38" s="380"/>
      <c r="C38" s="141"/>
      <c r="D38" s="266"/>
      <c r="E38" s="267"/>
      <c r="F38" s="268"/>
      <c r="G38" s="268"/>
      <c r="H38" s="268"/>
      <c r="I38" s="268"/>
      <c r="J38" s="268"/>
      <c r="K38" s="268"/>
      <c r="L38" s="289"/>
      <c r="M38" s="267">
        <f t="shared" ref="M38:M41" si="26">SUM(D38-E38)</f>
        <v>0</v>
      </c>
      <c r="N38" s="269">
        <f>SUM(E38,M38)</f>
        <v>0</v>
      </c>
      <c r="O38" s="269"/>
      <c r="P38" s="290"/>
      <c r="Q38" s="142"/>
    </row>
    <row r="39" spans="1:20" ht="15.6" thickTop="1" thickBot="1">
      <c r="A39" s="73"/>
      <c r="B39" s="380"/>
      <c r="C39" s="143"/>
      <c r="D39" s="266"/>
      <c r="E39" s="267"/>
      <c r="F39" s="268"/>
      <c r="G39" s="268"/>
      <c r="H39" s="268"/>
      <c r="I39" s="268"/>
      <c r="J39" s="268"/>
      <c r="K39" s="268"/>
      <c r="L39" s="291"/>
      <c r="M39" s="267">
        <f t="shared" si="26"/>
        <v>0</v>
      </c>
      <c r="N39" s="269">
        <f t="shared" ref="N39:N41" si="27">SUM(E39,M39)</f>
        <v>0</v>
      </c>
      <c r="O39" s="269"/>
      <c r="P39" s="290"/>
      <c r="Q39" s="142"/>
    </row>
    <row r="40" spans="1:20" ht="15.6" thickTop="1" thickBot="1">
      <c r="A40" s="73"/>
      <c r="B40" s="380"/>
      <c r="C40" s="143"/>
      <c r="D40" s="266"/>
      <c r="E40" s="267"/>
      <c r="F40" s="268"/>
      <c r="G40" s="268"/>
      <c r="H40" s="268"/>
      <c r="I40" s="268"/>
      <c r="J40" s="268"/>
      <c r="K40" s="268"/>
      <c r="L40" s="291"/>
      <c r="M40" s="267">
        <f t="shared" si="26"/>
        <v>0</v>
      </c>
      <c r="N40" s="269">
        <f t="shared" si="27"/>
        <v>0</v>
      </c>
      <c r="O40" s="269"/>
      <c r="P40" s="290"/>
      <c r="Q40" s="142"/>
    </row>
    <row r="41" spans="1:20" ht="15.6" thickTop="1" thickBot="1">
      <c r="A41" s="73"/>
      <c r="B41" s="380"/>
      <c r="C41" s="143"/>
      <c r="D41" s="266"/>
      <c r="E41" s="267"/>
      <c r="F41" s="268"/>
      <c r="G41" s="268"/>
      <c r="H41" s="268"/>
      <c r="I41" s="268"/>
      <c r="J41" s="268"/>
      <c r="K41" s="268"/>
      <c r="L41" s="291"/>
      <c r="M41" s="267">
        <f t="shared" si="26"/>
        <v>0</v>
      </c>
      <c r="N41" s="269">
        <f t="shared" si="27"/>
        <v>0</v>
      </c>
      <c r="O41" s="269"/>
      <c r="P41" s="290"/>
      <c r="Q41" s="142"/>
    </row>
    <row r="42" spans="1:20" ht="15.6" thickTop="1" thickBot="1">
      <c r="A42" s="73"/>
      <c r="B42" s="380"/>
      <c r="C42" s="144" t="s">
        <v>69</v>
      </c>
      <c r="D42" s="266">
        <f>SUM(D36:D41)</f>
        <v>0</v>
      </c>
      <c r="E42" s="267">
        <f>SUM(E36:E41)</f>
        <v>0</v>
      </c>
      <c r="F42" s="268">
        <f>SUM(F36:F41)</f>
        <v>0</v>
      </c>
      <c r="G42" s="268">
        <f t="shared" ref="G42" si="28">SUM(G36:G41)</f>
        <v>0</v>
      </c>
      <c r="H42" s="268">
        <f t="shared" ref="H42" si="29">SUM(H36:H41)</f>
        <v>0</v>
      </c>
      <c r="I42" s="268">
        <f t="shared" ref="I42" si="30">SUM(I36:I41)</f>
        <v>0</v>
      </c>
      <c r="J42" s="268">
        <f t="shared" ref="J42" si="31">SUM(J36:J41)</f>
        <v>0</v>
      </c>
      <c r="K42" s="268">
        <f t="shared" ref="K42" si="32">SUM(K36:K41)</f>
        <v>0</v>
      </c>
      <c r="L42" s="273"/>
      <c r="M42" s="267">
        <f>SUM(M36:M41)</f>
        <v>0</v>
      </c>
      <c r="N42" s="279">
        <f>SUM(N36:N41)</f>
        <v>0</v>
      </c>
      <c r="O42" s="279"/>
      <c r="P42" s="292"/>
      <c r="Q42" s="148"/>
    </row>
    <row r="43" spans="1:20" ht="15.6" thickTop="1" thickBot="1">
      <c r="A43" s="73"/>
      <c r="B43" s="380"/>
      <c r="C43" s="124" t="s">
        <v>45</v>
      </c>
      <c r="D43" s="272">
        <f>SUM(D36:D41)</f>
        <v>0</v>
      </c>
      <c r="E43" s="272">
        <f>SUM(E36:E41)</f>
        <v>0</v>
      </c>
      <c r="F43" s="381">
        <f>SUM(F42:K42)</f>
        <v>0</v>
      </c>
      <c r="G43" s="382"/>
      <c r="H43" s="382"/>
      <c r="I43" s="382"/>
      <c r="J43" s="382"/>
      <c r="K43" s="383"/>
      <c r="L43" s="274">
        <f>L42</f>
        <v>0</v>
      </c>
      <c r="M43" s="272">
        <f>SUM(M36:M41)</f>
        <v>0</v>
      </c>
      <c r="N43" s="272">
        <f>SUM(N36:N41)</f>
        <v>0</v>
      </c>
      <c r="O43" s="272">
        <f>SUM(O42)</f>
        <v>0</v>
      </c>
      <c r="P43" s="275">
        <f>SUM(P42)</f>
        <v>0</v>
      </c>
      <c r="Q43" s="125"/>
      <c r="T43" s="145" t="e">
        <f>$V$3+L11+L19+L27+L35+L43</f>
        <v>#REF!</v>
      </c>
    </row>
    <row r="44" spans="1:20" ht="15.6" thickTop="1" thickBot="1">
      <c r="A44" s="73" t="str">
        <f ca="1">OFFSET('0'!$B$112,($A$1-1)*10,$B44-1)</f>
        <v>SK</v>
      </c>
      <c r="B44" s="380">
        <f ca="1">OFFSET('0'!$B$111,($A$1-1)*10,5)</f>
        <v>6</v>
      </c>
      <c r="C44" s="137"/>
      <c r="D44" s="156"/>
      <c r="E44" s="67"/>
      <c r="F44" s="157"/>
      <c r="G44" s="157"/>
      <c r="H44" s="157"/>
      <c r="I44" s="157"/>
      <c r="J44" s="157"/>
      <c r="K44" s="157"/>
      <c r="L44" s="153"/>
      <c r="M44" s="67">
        <f>SUM(D44-E44)</f>
        <v>0</v>
      </c>
      <c r="N44" s="58">
        <f t="shared" ref="N44:N49" si="33">SUM(E44,M44)</f>
        <v>0</v>
      </c>
      <c r="O44" s="138"/>
      <c r="P44" s="139"/>
      <c r="Q44" s="140"/>
    </row>
    <row r="45" spans="1:20" ht="15.6" thickTop="1" thickBot="1">
      <c r="A45" s="73"/>
      <c r="B45" s="380"/>
      <c r="C45" s="141"/>
      <c r="D45" s="266"/>
      <c r="E45" s="267"/>
      <c r="F45" s="268"/>
      <c r="G45" s="268"/>
      <c r="H45" s="268"/>
      <c r="I45" s="268"/>
      <c r="J45" s="268"/>
      <c r="K45" s="268"/>
      <c r="L45" s="289"/>
      <c r="M45" s="267">
        <f>SUM(D45-E45)</f>
        <v>0</v>
      </c>
      <c r="N45" s="269">
        <f t="shared" si="33"/>
        <v>0</v>
      </c>
      <c r="O45" s="269"/>
      <c r="P45" s="290"/>
      <c r="Q45" s="142"/>
    </row>
    <row r="46" spans="1:20" ht="15.6" thickTop="1" thickBot="1">
      <c r="A46" s="73"/>
      <c r="B46" s="380"/>
      <c r="C46" s="141"/>
      <c r="D46" s="266"/>
      <c r="E46" s="267"/>
      <c r="F46" s="268"/>
      <c r="G46" s="268"/>
      <c r="H46" s="268"/>
      <c r="I46" s="268"/>
      <c r="J46" s="268"/>
      <c r="K46" s="268"/>
      <c r="L46" s="289"/>
      <c r="M46" s="267">
        <f t="shared" ref="M46:M49" si="34">SUM(D46-E46)</f>
        <v>0</v>
      </c>
      <c r="N46" s="269">
        <f t="shared" si="33"/>
        <v>0</v>
      </c>
      <c r="O46" s="269"/>
      <c r="P46" s="290"/>
      <c r="Q46" s="142"/>
    </row>
    <row r="47" spans="1:20" ht="15.6" thickTop="1" thickBot="1">
      <c r="A47" s="73"/>
      <c r="B47" s="380"/>
      <c r="C47" s="143"/>
      <c r="D47" s="266"/>
      <c r="E47" s="267"/>
      <c r="F47" s="268"/>
      <c r="G47" s="268"/>
      <c r="H47" s="268"/>
      <c r="I47" s="268"/>
      <c r="J47" s="268"/>
      <c r="K47" s="268"/>
      <c r="L47" s="289"/>
      <c r="M47" s="267">
        <f t="shared" si="34"/>
        <v>0</v>
      </c>
      <c r="N47" s="269">
        <f t="shared" si="33"/>
        <v>0</v>
      </c>
      <c r="O47" s="269"/>
      <c r="P47" s="290"/>
      <c r="Q47" s="142"/>
    </row>
    <row r="48" spans="1:20" ht="15.6" thickTop="1" thickBot="1">
      <c r="A48" s="73"/>
      <c r="B48" s="380"/>
      <c r="C48" s="143"/>
      <c r="D48" s="276"/>
      <c r="E48" s="277"/>
      <c r="F48" s="278"/>
      <c r="G48" s="278"/>
      <c r="H48" s="278"/>
      <c r="I48" s="278"/>
      <c r="J48" s="278"/>
      <c r="K48" s="278"/>
      <c r="L48" s="291"/>
      <c r="M48" s="267">
        <f t="shared" si="34"/>
        <v>0</v>
      </c>
      <c r="N48" s="269">
        <f t="shared" si="33"/>
        <v>0</v>
      </c>
      <c r="O48" s="279"/>
      <c r="P48" s="292"/>
      <c r="Q48" s="148"/>
    </row>
    <row r="49" spans="1:20" ht="15.6" thickTop="1" thickBot="1">
      <c r="A49" s="73"/>
      <c r="B49" s="380"/>
      <c r="C49" s="143"/>
      <c r="D49" s="276"/>
      <c r="E49" s="277"/>
      <c r="F49" s="278"/>
      <c r="G49" s="278"/>
      <c r="H49" s="278"/>
      <c r="I49" s="278"/>
      <c r="J49" s="278"/>
      <c r="K49" s="278"/>
      <c r="L49" s="291"/>
      <c r="M49" s="267">
        <f t="shared" si="34"/>
        <v>0</v>
      </c>
      <c r="N49" s="279">
        <f t="shared" si="33"/>
        <v>0</v>
      </c>
      <c r="O49" s="279"/>
      <c r="P49" s="292"/>
      <c r="Q49" s="148"/>
    </row>
    <row r="50" spans="1:20" ht="15.6" thickTop="1" thickBot="1">
      <c r="A50" s="73"/>
      <c r="B50" s="380"/>
      <c r="C50" s="144" t="s">
        <v>69</v>
      </c>
      <c r="D50" s="266">
        <f>SUM(D44:D49)</f>
        <v>0</v>
      </c>
      <c r="E50" s="267">
        <f>SUM(E44:E49)</f>
        <v>0</v>
      </c>
      <c r="F50" s="268">
        <f>SUM(F44:F49)</f>
        <v>0</v>
      </c>
      <c r="G50" s="268">
        <f t="shared" ref="G50" si="35">SUM(G44:G49)</f>
        <v>0</v>
      </c>
      <c r="H50" s="268">
        <f t="shared" ref="H50" si="36">SUM(H44:H49)</f>
        <v>0</v>
      </c>
      <c r="I50" s="268">
        <f t="shared" ref="I50" si="37">SUM(I44:I49)</f>
        <v>0</v>
      </c>
      <c r="J50" s="268">
        <f t="shared" ref="J50" si="38">SUM(J44:J49)</f>
        <v>0</v>
      </c>
      <c r="K50" s="268">
        <f t="shared" ref="K50" si="39">SUM(K44:K49)</f>
        <v>0</v>
      </c>
      <c r="L50" s="273"/>
      <c r="M50" s="267">
        <f>SUM(M44:M49)</f>
        <v>0</v>
      </c>
      <c r="N50" s="280">
        <f>SUM(N44:N49)</f>
        <v>0</v>
      </c>
      <c r="O50" s="280"/>
      <c r="P50" s="293"/>
      <c r="Q50" s="148"/>
    </row>
    <row r="51" spans="1:20" ht="15.6" thickTop="1" thickBot="1">
      <c r="A51" s="73"/>
      <c r="B51" s="380"/>
      <c r="C51" s="132" t="s">
        <v>45</v>
      </c>
      <c r="D51" s="281">
        <f>SUM(D44:D49)</f>
        <v>0</v>
      </c>
      <c r="E51" s="281">
        <f>SUM(E44:E49)</f>
        <v>0</v>
      </c>
      <c r="F51" s="381">
        <f>SUM(F50:K50)</f>
        <v>0</v>
      </c>
      <c r="G51" s="382"/>
      <c r="H51" s="382"/>
      <c r="I51" s="382"/>
      <c r="J51" s="382"/>
      <c r="K51" s="383"/>
      <c r="L51" s="282">
        <f>L50</f>
        <v>0</v>
      </c>
      <c r="M51" s="272">
        <f>SUM(M44:M49)</f>
        <v>0</v>
      </c>
      <c r="N51" s="272">
        <f>SUM(N44:N49)</f>
        <v>0</v>
      </c>
      <c r="O51" s="272">
        <f>SUM(O50)</f>
        <v>0</v>
      </c>
      <c r="P51" s="275">
        <f>SUM(P50)</f>
        <v>0</v>
      </c>
      <c r="Q51" s="133"/>
      <c r="T51" s="145" t="e">
        <f>$V$3+L11+L19+L27+L35+L43+L51</f>
        <v>#REF!</v>
      </c>
    </row>
    <row r="52" spans="1:20" ht="15.6" thickTop="1" thickBot="1">
      <c r="A52" s="73" t="str">
        <f ca="1">OFFSET('0'!$B$112,($A$1-1)*10,$B52-1)</f>
        <v>--</v>
      </c>
      <c r="B52" s="380">
        <f ca="1">OFFSET('0'!$B$111,($A$1-1)*10,6)</f>
        <v>7</v>
      </c>
      <c r="C52" s="137"/>
      <c r="D52" s="156"/>
      <c r="E52" s="67"/>
      <c r="F52" s="157"/>
      <c r="G52" s="157"/>
      <c r="H52" s="157"/>
      <c r="I52" s="157"/>
      <c r="J52" s="157"/>
      <c r="K52" s="157"/>
      <c r="L52" s="153"/>
      <c r="M52" s="67">
        <f>SUM(D52-E52)</f>
        <v>0</v>
      </c>
      <c r="N52" s="58">
        <f t="shared" ref="N52:N57" si="40">SUM(E52,M52)</f>
        <v>0</v>
      </c>
      <c r="O52" s="138"/>
      <c r="P52" s="139"/>
      <c r="Q52" s="140"/>
    </row>
    <row r="53" spans="1:20" ht="15.6" thickTop="1" thickBot="1">
      <c r="A53" s="73"/>
      <c r="B53" s="380"/>
      <c r="C53" s="141"/>
      <c r="D53" s="266"/>
      <c r="E53" s="267"/>
      <c r="F53" s="268"/>
      <c r="G53" s="268"/>
      <c r="H53" s="268"/>
      <c r="I53" s="268"/>
      <c r="J53" s="268"/>
      <c r="K53" s="268"/>
      <c r="L53" s="289"/>
      <c r="M53" s="267">
        <f>SUM(D53-E53)</f>
        <v>0</v>
      </c>
      <c r="N53" s="269">
        <f t="shared" si="40"/>
        <v>0</v>
      </c>
      <c r="O53" s="269"/>
      <c r="P53" s="290"/>
      <c r="Q53" s="142"/>
    </row>
    <row r="54" spans="1:20" ht="15.6" thickTop="1" thickBot="1">
      <c r="A54" s="73"/>
      <c r="B54" s="380"/>
      <c r="C54" s="141"/>
      <c r="D54" s="266"/>
      <c r="E54" s="267"/>
      <c r="F54" s="268"/>
      <c r="G54" s="268"/>
      <c r="H54" s="268"/>
      <c r="I54" s="268"/>
      <c r="J54" s="268"/>
      <c r="K54" s="268"/>
      <c r="L54" s="289"/>
      <c r="M54" s="267">
        <f t="shared" ref="M54:M57" si="41">SUM(D54-E54)</f>
        <v>0</v>
      </c>
      <c r="N54" s="269">
        <f t="shared" si="40"/>
        <v>0</v>
      </c>
      <c r="O54" s="269"/>
      <c r="P54" s="290"/>
      <c r="Q54" s="142"/>
    </row>
    <row r="55" spans="1:20" ht="15.6" thickTop="1" thickBot="1">
      <c r="A55" s="73"/>
      <c r="B55" s="380"/>
      <c r="C55" s="143"/>
      <c r="D55" s="266"/>
      <c r="E55" s="267"/>
      <c r="F55" s="268"/>
      <c r="G55" s="268"/>
      <c r="H55" s="268"/>
      <c r="I55" s="268"/>
      <c r="J55" s="268"/>
      <c r="K55" s="268"/>
      <c r="L55" s="289"/>
      <c r="M55" s="267">
        <f t="shared" si="41"/>
        <v>0</v>
      </c>
      <c r="N55" s="269">
        <f t="shared" si="40"/>
        <v>0</v>
      </c>
      <c r="O55" s="269"/>
      <c r="P55" s="290"/>
      <c r="Q55" s="142"/>
    </row>
    <row r="56" spans="1:20" ht="15.6" thickTop="1" thickBot="1">
      <c r="A56" s="73"/>
      <c r="B56" s="380"/>
      <c r="C56" s="143"/>
      <c r="D56" s="276"/>
      <c r="E56" s="277"/>
      <c r="F56" s="278"/>
      <c r="G56" s="278"/>
      <c r="H56" s="278"/>
      <c r="I56" s="278"/>
      <c r="J56" s="278"/>
      <c r="K56" s="278"/>
      <c r="L56" s="291"/>
      <c r="M56" s="267">
        <f t="shared" si="41"/>
        <v>0</v>
      </c>
      <c r="N56" s="269">
        <f t="shared" si="40"/>
        <v>0</v>
      </c>
      <c r="O56" s="279"/>
      <c r="P56" s="292"/>
      <c r="Q56" s="148"/>
    </row>
    <row r="57" spans="1:20" ht="15.6" thickTop="1" thickBot="1">
      <c r="A57" s="73"/>
      <c r="B57" s="380"/>
      <c r="C57" s="143"/>
      <c r="D57" s="276"/>
      <c r="E57" s="277"/>
      <c r="F57" s="278"/>
      <c r="G57" s="278"/>
      <c r="H57" s="278"/>
      <c r="I57" s="278"/>
      <c r="J57" s="278"/>
      <c r="K57" s="278"/>
      <c r="L57" s="291"/>
      <c r="M57" s="267">
        <f t="shared" si="41"/>
        <v>0</v>
      </c>
      <c r="N57" s="279">
        <f t="shared" si="40"/>
        <v>0</v>
      </c>
      <c r="O57" s="279"/>
      <c r="P57" s="292"/>
      <c r="Q57" s="148"/>
    </row>
    <row r="58" spans="1:20" ht="15.6" thickTop="1" thickBot="1">
      <c r="A58" s="73"/>
      <c r="B58" s="380"/>
      <c r="C58" s="144" t="s">
        <v>69</v>
      </c>
      <c r="D58" s="266">
        <f>SUM(D52:D57)</f>
        <v>0</v>
      </c>
      <c r="E58" s="267">
        <f>SUM(E52:E57)</f>
        <v>0</v>
      </c>
      <c r="F58" s="268">
        <f>SUM(F52:F57)</f>
        <v>0</v>
      </c>
      <c r="G58" s="268">
        <f t="shared" ref="G58" si="42">SUM(G52:G57)</f>
        <v>0</v>
      </c>
      <c r="H58" s="268">
        <f t="shared" ref="H58" si="43">SUM(H52:H57)</f>
        <v>0</v>
      </c>
      <c r="I58" s="268">
        <f t="shared" ref="I58" si="44">SUM(I52:I57)</f>
        <v>0</v>
      </c>
      <c r="J58" s="268">
        <f t="shared" ref="J58" si="45">SUM(J52:J57)</f>
        <v>0</v>
      </c>
      <c r="K58" s="268">
        <f t="shared" ref="K58" si="46">SUM(K52:K57)</f>
        <v>0</v>
      </c>
      <c r="L58" s="273"/>
      <c r="M58" s="267">
        <f>SUM(M52:M57)</f>
        <v>0</v>
      </c>
      <c r="N58" s="280">
        <f>SUM(N52:N57)</f>
        <v>0</v>
      </c>
      <c r="O58" s="280"/>
      <c r="P58" s="293"/>
      <c r="Q58" s="148"/>
    </row>
    <row r="59" spans="1:20" ht="15.6" thickTop="1" thickBot="1">
      <c r="A59" s="73"/>
      <c r="B59" s="380"/>
      <c r="C59" s="124" t="s">
        <v>45</v>
      </c>
      <c r="D59" s="272">
        <f>SUM(D52:D57)</f>
        <v>0</v>
      </c>
      <c r="E59" s="272">
        <f>SUM(E52:E57)</f>
        <v>0</v>
      </c>
      <c r="F59" s="381">
        <f>SUM(F58:K58)</f>
        <v>0</v>
      </c>
      <c r="G59" s="382"/>
      <c r="H59" s="382"/>
      <c r="I59" s="382"/>
      <c r="J59" s="382"/>
      <c r="K59" s="383"/>
      <c r="L59" s="283">
        <f>L58</f>
        <v>0</v>
      </c>
      <c r="M59" s="272">
        <f>SUM(M52:M57)</f>
        <v>0</v>
      </c>
      <c r="N59" s="272">
        <f>SUM(N52:N57)</f>
        <v>0</v>
      </c>
      <c r="O59" s="272">
        <f>SUM(O58)</f>
        <v>0</v>
      </c>
      <c r="P59" s="275">
        <f>SUM(P58)</f>
        <v>0</v>
      </c>
      <c r="Q59" s="125"/>
      <c r="T59" s="145" t="e">
        <f>$V$3+L11+L19+L27+L35+L43+L51+L59</f>
        <v>#REF!</v>
      </c>
    </row>
    <row r="60" spans="1:20" ht="15.6" thickTop="1" thickBot="1">
      <c r="A60" s="73" t="str">
        <f ca="1">OFFSET('0'!$B$112,($A$1-1)*10,$B60-1)</f>
        <v>--</v>
      </c>
      <c r="B60" s="380">
        <f ca="1">OFFSET('0'!$B$111,($A$1-1)*10,7)</f>
        <v>8</v>
      </c>
      <c r="C60" s="137"/>
      <c r="D60" s="156"/>
      <c r="E60" s="67"/>
      <c r="F60" s="157"/>
      <c r="G60" s="157"/>
      <c r="H60" s="157"/>
      <c r="I60" s="157"/>
      <c r="J60" s="157"/>
      <c r="K60" s="157"/>
      <c r="L60" s="153"/>
      <c r="M60" s="67">
        <f>SUM(D60-E60)</f>
        <v>0</v>
      </c>
      <c r="N60" s="58">
        <f t="shared" ref="N60:N65" si="47">SUM(E60,M60)</f>
        <v>0</v>
      </c>
      <c r="O60" s="138"/>
      <c r="P60" s="139"/>
      <c r="Q60" s="140"/>
    </row>
    <row r="61" spans="1:20" ht="15.6" thickTop="1" thickBot="1">
      <c r="A61" s="73"/>
      <c r="B61" s="380"/>
      <c r="C61" s="141"/>
      <c r="D61" s="266"/>
      <c r="E61" s="267"/>
      <c r="F61" s="268"/>
      <c r="G61" s="268"/>
      <c r="H61" s="268"/>
      <c r="I61" s="268"/>
      <c r="J61" s="268"/>
      <c r="K61" s="268"/>
      <c r="L61" s="289"/>
      <c r="M61" s="267">
        <f>SUM(D61-E61)</f>
        <v>0</v>
      </c>
      <c r="N61" s="269">
        <f t="shared" si="47"/>
        <v>0</v>
      </c>
      <c r="O61" s="269"/>
      <c r="P61" s="290"/>
      <c r="Q61" s="142"/>
    </row>
    <row r="62" spans="1:20" ht="15.6" thickTop="1" thickBot="1">
      <c r="A62" s="73"/>
      <c r="B62" s="380"/>
      <c r="C62" s="141"/>
      <c r="D62" s="266"/>
      <c r="E62" s="267"/>
      <c r="F62" s="268"/>
      <c r="G62" s="268"/>
      <c r="H62" s="268"/>
      <c r="I62" s="268"/>
      <c r="J62" s="268"/>
      <c r="K62" s="268"/>
      <c r="L62" s="289"/>
      <c r="M62" s="267">
        <f t="shared" ref="M62:M65" si="48">SUM(D62-E62)</f>
        <v>0</v>
      </c>
      <c r="N62" s="269">
        <f t="shared" si="47"/>
        <v>0</v>
      </c>
      <c r="O62" s="269"/>
      <c r="P62" s="290"/>
      <c r="Q62" s="142"/>
    </row>
    <row r="63" spans="1:20" ht="15.6" thickTop="1" thickBot="1">
      <c r="A63" s="73"/>
      <c r="B63" s="380"/>
      <c r="C63" s="143"/>
      <c r="D63" s="266"/>
      <c r="E63" s="267"/>
      <c r="F63" s="268"/>
      <c r="G63" s="268"/>
      <c r="H63" s="268"/>
      <c r="I63" s="268"/>
      <c r="J63" s="268"/>
      <c r="K63" s="268"/>
      <c r="L63" s="289"/>
      <c r="M63" s="267">
        <f t="shared" si="48"/>
        <v>0</v>
      </c>
      <c r="N63" s="269">
        <f t="shared" si="47"/>
        <v>0</v>
      </c>
      <c r="O63" s="269"/>
      <c r="P63" s="290"/>
      <c r="Q63" s="142"/>
    </row>
    <row r="64" spans="1:20" ht="15.6" thickTop="1" thickBot="1">
      <c r="A64" s="73"/>
      <c r="B64" s="380"/>
      <c r="C64" s="143"/>
      <c r="D64" s="276"/>
      <c r="E64" s="277"/>
      <c r="F64" s="278"/>
      <c r="G64" s="278"/>
      <c r="H64" s="278"/>
      <c r="I64" s="278"/>
      <c r="J64" s="278"/>
      <c r="K64" s="278"/>
      <c r="L64" s="291"/>
      <c r="M64" s="267">
        <f t="shared" si="48"/>
        <v>0</v>
      </c>
      <c r="N64" s="269">
        <f t="shared" si="47"/>
        <v>0</v>
      </c>
      <c r="O64" s="279"/>
      <c r="P64" s="292"/>
      <c r="Q64" s="148"/>
    </row>
    <row r="65" spans="1:20" ht="15.6" thickTop="1" thickBot="1">
      <c r="A65" s="73"/>
      <c r="B65" s="380"/>
      <c r="C65" s="143"/>
      <c r="D65" s="276"/>
      <c r="E65" s="277"/>
      <c r="F65" s="278"/>
      <c r="G65" s="278"/>
      <c r="H65" s="278"/>
      <c r="I65" s="278"/>
      <c r="J65" s="278"/>
      <c r="K65" s="278"/>
      <c r="L65" s="291"/>
      <c r="M65" s="267">
        <f t="shared" si="48"/>
        <v>0</v>
      </c>
      <c r="N65" s="279">
        <f t="shared" si="47"/>
        <v>0</v>
      </c>
      <c r="O65" s="279"/>
      <c r="P65" s="292"/>
      <c r="Q65" s="148"/>
    </row>
    <row r="66" spans="1:20" ht="15.6" thickTop="1" thickBot="1">
      <c r="A66" s="73"/>
      <c r="B66" s="380"/>
      <c r="C66" s="144" t="s">
        <v>69</v>
      </c>
      <c r="D66" s="266">
        <f>SUM(D60:D65)</f>
        <v>0</v>
      </c>
      <c r="E66" s="267">
        <f>SUM(E60:E65)</f>
        <v>0</v>
      </c>
      <c r="F66" s="268">
        <f>SUM(F60:F65)</f>
        <v>0</v>
      </c>
      <c r="G66" s="268">
        <f t="shared" ref="G66" si="49">SUM(G60:G65)</f>
        <v>0</v>
      </c>
      <c r="H66" s="268">
        <f t="shared" ref="H66" si="50">SUM(H60:H65)</f>
        <v>0</v>
      </c>
      <c r="I66" s="268">
        <f t="shared" ref="I66" si="51">SUM(I60:I65)</f>
        <v>0</v>
      </c>
      <c r="J66" s="268">
        <f t="shared" ref="J66" si="52">SUM(J60:J65)</f>
        <v>0</v>
      </c>
      <c r="K66" s="268">
        <f t="shared" ref="K66" si="53">SUM(K60:K65)</f>
        <v>0</v>
      </c>
      <c r="L66" s="273"/>
      <c r="M66" s="267">
        <f>SUM(M60:M65)</f>
        <v>0</v>
      </c>
      <c r="N66" s="280">
        <f>SUM(N60:N65)</f>
        <v>0</v>
      </c>
      <c r="O66" s="280"/>
      <c r="P66" s="293"/>
      <c r="Q66" s="148"/>
    </row>
    <row r="67" spans="1:20" ht="15.6" thickTop="1" thickBot="1">
      <c r="A67" s="73"/>
      <c r="B67" s="380"/>
      <c r="C67" s="124" t="s">
        <v>45</v>
      </c>
      <c r="D67" s="272">
        <f>SUM(D60:D65)</f>
        <v>0</v>
      </c>
      <c r="E67" s="272">
        <f>SUM(E60:E65)</f>
        <v>0</v>
      </c>
      <c r="F67" s="381">
        <f>SUM(F66:K66)</f>
        <v>0</v>
      </c>
      <c r="G67" s="382"/>
      <c r="H67" s="382"/>
      <c r="I67" s="382"/>
      <c r="J67" s="382"/>
      <c r="K67" s="383"/>
      <c r="L67" s="274">
        <f>L66</f>
        <v>0</v>
      </c>
      <c r="M67" s="272">
        <f>SUM(M60:M65)</f>
        <v>0</v>
      </c>
      <c r="N67" s="272">
        <f>SUM(N60:N65)</f>
        <v>0</v>
      </c>
      <c r="O67" s="272">
        <f>SUM(O66)</f>
        <v>0</v>
      </c>
      <c r="P67" s="275">
        <f>SUM(P66)</f>
        <v>0</v>
      </c>
      <c r="Q67" s="125"/>
      <c r="T67" s="145" t="e">
        <f>$V$3+L11+L19+L27+L35+L43+L51+L59+L67</f>
        <v>#REF!</v>
      </c>
    </row>
    <row r="68" spans="1:20" ht="15.6" thickTop="1" thickBot="1">
      <c r="A68" s="73" t="str">
        <f ca="1">OFFSET('0'!$B$112,($A$1-1)*10,$B68-1)</f>
        <v>--</v>
      </c>
      <c r="B68" s="380">
        <f ca="1">OFFSET('0'!$B$111,($A$1-1)*10,8)</f>
        <v>9</v>
      </c>
      <c r="C68" s="137"/>
      <c r="D68" s="156"/>
      <c r="E68" s="67"/>
      <c r="F68" s="157"/>
      <c r="G68" s="157"/>
      <c r="H68" s="157"/>
      <c r="I68" s="157"/>
      <c r="J68" s="157"/>
      <c r="K68" s="157"/>
      <c r="L68" s="153"/>
      <c r="M68" s="67">
        <f>SUM(D68-E68)</f>
        <v>0</v>
      </c>
      <c r="N68" s="58">
        <f>SUM(E68,M68)</f>
        <v>0</v>
      </c>
      <c r="O68" s="138"/>
      <c r="P68" s="139"/>
      <c r="Q68" s="140"/>
    </row>
    <row r="69" spans="1:20" ht="15.6" thickTop="1" thickBot="1">
      <c r="A69" s="73"/>
      <c r="B69" s="380"/>
      <c r="C69" s="141"/>
      <c r="D69" s="266"/>
      <c r="E69" s="267"/>
      <c r="F69" s="268"/>
      <c r="G69" s="268"/>
      <c r="H69" s="268"/>
      <c r="I69" s="268"/>
      <c r="J69" s="268"/>
      <c r="K69" s="268"/>
      <c r="L69" s="289"/>
      <c r="M69" s="267">
        <f>SUM(D69-E69)</f>
        <v>0</v>
      </c>
      <c r="N69" s="269">
        <f>SUM(E69,M69)</f>
        <v>0</v>
      </c>
      <c r="O69" s="269"/>
      <c r="P69" s="290"/>
      <c r="Q69" s="142"/>
    </row>
    <row r="70" spans="1:20" ht="15.6" thickTop="1" thickBot="1">
      <c r="A70" s="73"/>
      <c r="B70" s="380"/>
      <c r="C70" s="141"/>
      <c r="D70" s="266"/>
      <c r="E70" s="267"/>
      <c r="F70" s="268"/>
      <c r="G70" s="268"/>
      <c r="H70" s="268"/>
      <c r="I70" s="268"/>
      <c r="J70" s="268"/>
      <c r="K70" s="268"/>
      <c r="L70" s="289"/>
      <c r="M70" s="267">
        <f t="shared" ref="M70:M73" si="54">SUM(D70-E70)</f>
        <v>0</v>
      </c>
      <c r="N70" s="269">
        <f>SUM(E70,M70)</f>
        <v>0</v>
      </c>
      <c r="O70" s="269"/>
      <c r="P70" s="290"/>
      <c r="Q70" s="142"/>
    </row>
    <row r="71" spans="1:20" ht="15.6" thickTop="1" thickBot="1">
      <c r="A71" s="73"/>
      <c r="B71" s="380"/>
      <c r="C71" s="143"/>
      <c r="D71" s="266"/>
      <c r="E71" s="267"/>
      <c r="F71" s="268"/>
      <c r="G71" s="268"/>
      <c r="H71" s="268"/>
      <c r="I71" s="268"/>
      <c r="J71" s="268"/>
      <c r="K71" s="268"/>
      <c r="L71" s="289"/>
      <c r="M71" s="267">
        <f t="shared" si="54"/>
        <v>0</v>
      </c>
      <c r="N71" s="269">
        <f>SUM(E71,M71)</f>
        <v>0</v>
      </c>
      <c r="O71" s="269"/>
      <c r="P71" s="290"/>
      <c r="Q71" s="142"/>
    </row>
    <row r="72" spans="1:20" ht="15.6" thickTop="1" thickBot="1">
      <c r="A72" s="73"/>
      <c r="B72" s="380"/>
      <c r="C72" s="143"/>
      <c r="D72" s="266"/>
      <c r="E72" s="267"/>
      <c r="F72" s="268"/>
      <c r="G72" s="268"/>
      <c r="H72" s="268"/>
      <c r="I72" s="268"/>
      <c r="J72" s="268"/>
      <c r="K72" s="268"/>
      <c r="L72" s="291"/>
      <c r="M72" s="267">
        <f t="shared" si="54"/>
        <v>0</v>
      </c>
      <c r="N72" s="269">
        <f t="shared" ref="N72:N73" si="55">SUM(E72,M72)</f>
        <v>0</v>
      </c>
      <c r="O72" s="269"/>
      <c r="P72" s="290"/>
      <c r="Q72" s="142"/>
    </row>
    <row r="73" spans="1:20" ht="15.6" thickTop="1" thickBot="1">
      <c r="A73" s="73"/>
      <c r="B73" s="380"/>
      <c r="C73" s="143"/>
      <c r="D73" s="266"/>
      <c r="E73" s="267"/>
      <c r="F73" s="268"/>
      <c r="G73" s="268"/>
      <c r="H73" s="268"/>
      <c r="I73" s="268"/>
      <c r="J73" s="268"/>
      <c r="K73" s="268"/>
      <c r="L73" s="291"/>
      <c r="M73" s="267">
        <f t="shared" si="54"/>
        <v>0</v>
      </c>
      <c r="N73" s="269">
        <f t="shared" si="55"/>
        <v>0</v>
      </c>
      <c r="O73" s="269"/>
      <c r="P73" s="290"/>
      <c r="Q73" s="142"/>
    </row>
    <row r="74" spans="1:20" ht="15.6" thickTop="1" thickBot="1">
      <c r="A74" s="73"/>
      <c r="B74" s="380"/>
      <c r="C74" s="144" t="s">
        <v>69</v>
      </c>
      <c r="D74" s="266">
        <f>SUM(D68:D73)</f>
        <v>0</v>
      </c>
      <c r="E74" s="267">
        <f>SUM(E68:E73)</f>
        <v>0</v>
      </c>
      <c r="F74" s="268">
        <f>SUM(F68:F73)</f>
        <v>0</v>
      </c>
      <c r="G74" s="268">
        <f t="shared" ref="G74" si="56">SUM(G68:G73)</f>
        <v>0</v>
      </c>
      <c r="H74" s="268">
        <f t="shared" ref="H74" si="57">SUM(H68:H73)</f>
        <v>0</v>
      </c>
      <c r="I74" s="268">
        <f t="shared" ref="I74" si="58">SUM(I68:I73)</f>
        <v>0</v>
      </c>
      <c r="J74" s="268">
        <f t="shared" ref="J74" si="59">SUM(J68:J73)</f>
        <v>0</v>
      </c>
      <c r="K74" s="268">
        <f t="shared" ref="K74" si="60">SUM(K68:K73)</f>
        <v>0</v>
      </c>
      <c r="L74" s="273"/>
      <c r="M74" s="267">
        <f>SUM(M68:M73)</f>
        <v>0</v>
      </c>
      <c r="N74" s="269">
        <f>SUM(N68:N73)</f>
        <v>0</v>
      </c>
      <c r="O74" s="269"/>
      <c r="P74" s="290"/>
      <c r="Q74" s="142"/>
    </row>
    <row r="75" spans="1:20" ht="15.6" thickTop="1" thickBot="1">
      <c r="A75" s="73"/>
      <c r="B75" s="380"/>
      <c r="C75" s="124" t="s">
        <v>45</v>
      </c>
      <c r="D75" s="272">
        <f>SUM(D68:D73)</f>
        <v>0</v>
      </c>
      <c r="E75" s="272">
        <f>SUM(E68:E73)</f>
        <v>0</v>
      </c>
      <c r="F75" s="381">
        <f>SUM(F74:K74)</f>
        <v>0</v>
      </c>
      <c r="G75" s="382"/>
      <c r="H75" s="382"/>
      <c r="I75" s="382"/>
      <c r="J75" s="382"/>
      <c r="K75" s="383"/>
      <c r="L75" s="274">
        <f>L74</f>
        <v>0</v>
      </c>
      <c r="M75" s="272">
        <f>SUM(M68:M73)</f>
        <v>0</v>
      </c>
      <c r="N75" s="272">
        <f>SUM(N68:N73)</f>
        <v>0</v>
      </c>
      <c r="O75" s="272">
        <f>SUM(O74)</f>
        <v>0</v>
      </c>
      <c r="P75" s="275">
        <f>SUM(P74)</f>
        <v>0</v>
      </c>
      <c r="Q75" s="125"/>
      <c r="T75" s="145" t="e">
        <f>$V$3+L11+L19+L27+L35+L43+L51+L59+L67+L75</f>
        <v>#REF!</v>
      </c>
    </row>
    <row r="76" spans="1:20" ht="15.6" thickTop="1" thickBot="1">
      <c r="A76" s="73" t="str">
        <f ca="1">OFFSET('0'!$B$112,($A$1-1)*10,$B76-1)</f>
        <v>--</v>
      </c>
      <c r="B76" s="380">
        <f ca="1">OFFSET('0'!$B$111,($A$1-1)*10,9)</f>
        <v>10</v>
      </c>
      <c r="C76" s="137"/>
      <c r="D76" s="156"/>
      <c r="E76" s="67"/>
      <c r="F76" s="157"/>
      <c r="G76" s="157"/>
      <c r="H76" s="157"/>
      <c r="I76" s="157"/>
      <c r="J76" s="157"/>
      <c r="K76" s="157"/>
      <c r="L76" s="153"/>
      <c r="M76" s="67">
        <f>SUM(D76-E76)</f>
        <v>0</v>
      </c>
      <c r="N76" s="58">
        <f t="shared" ref="N76:N81" si="61">SUM(E76,M76)</f>
        <v>0</v>
      </c>
      <c r="O76" s="138"/>
      <c r="P76" s="139"/>
      <c r="Q76" s="140"/>
    </row>
    <row r="77" spans="1:20" ht="15.6" thickTop="1" thickBot="1">
      <c r="A77" s="73"/>
      <c r="B77" s="380"/>
      <c r="C77" s="141"/>
      <c r="D77" s="266"/>
      <c r="E77" s="267"/>
      <c r="F77" s="268"/>
      <c r="G77" s="268"/>
      <c r="H77" s="268"/>
      <c r="I77" s="268"/>
      <c r="J77" s="268"/>
      <c r="K77" s="268"/>
      <c r="L77" s="289"/>
      <c r="M77" s="267">
        <f>SUM(D77-E77)</f>
        <v>0</v>
      </c>
      <c r="N77" s="269">
        <f t="shared" si="61"/>
        <v>0</v>
      </c>
      <c r="O77" s="269"/>
      <c r="P77" s="290"/>
      <c r="Q77" s="142"/>
    </row>
    <row r="78" spans="1:20" ht="15.6" thickTop="1" thickBot="1">
      <c r="A78" s="73"/>
      <c r="B78" s="380"/>
      <c r="C78" s="141"/>
      <c r="D78" s="266"/>
      <c r="E78" s="267"/>
      <c r="F78" s="268"/>
      <c r="G78" s="268"/>
      <c r="H78" s="268"/>
      <c r="I78" s="268"/>
      <c r="J78" s="268"/>
      <c r="K78" s="268"/>
      <c r="L78" s="289"/>
      <c r="M78" s="267">
        <f t="shared" ref="M78:M81" si="62">SUM(D78-E78)</f>
        <v>0</v>
      </c>
      <c r="N78" s="269">
        <f t="shared" si="61"/>
        <v>0</v>
      </c>
      <c r="O78" s="269"/>
      <c r="P78" s="290"/>
      <c r="Q78" s="142"/>
    </row>
    <row r="79" spans="1:20" ht="15.6" thickTop="1" thickBot="1">
      <c r="A79" s="73"/>
      <c r="B79" s="380"/>
      <c r="C79" s="143"/>
      <c r="D79" s="266"/>
      <c r="E79" s="267"/>
      <c r="F79" s="268"/>
      <c r="G79" s="268"/>
      <c r="H79" s="268"/>
      <c r="I79" s="268"/>
      <c r="J79" s="268"/>
      <c r="K79" s="268"/>
      <c r="L79" s="289"/>
      <c r="M79" s="267">
        <f t="shared" si="62"/>
        <v>0</v>
      </c>
      <c r="N79" s="269">
        <f t="shared" si="61"/>
        <v>0</v>
      </c>
      <c r="O79" s="269"/>
      <c r="P79" s="290"/>
      <c r="Q79" s="142"/>
    </row>
    <row r="80" spans="1:20" ht="15.6" thickTop="1" thickBot="1">
      <c r="A80" s="73"/>
      <c r="B80" s="380"/>
      <c r="C80" s="143"/>
      <c r="D80" s="266"/>
      <c r="E80" s="267"/>
      <c r="F80" s="268"/>
      <c r="G80" s="268"/>
      <c r="H80" s="268"/>
      <c r="I80" s="268"/>
      <c r="J80" s="268"/>
      <c r="K80" s="268"/>
      <c r="L80" s="291"/>
      <c r="M80" s="267">
        <f t="shared" si="62"/>
        <v>0</v>
      </c>
      <c r="N80" s="269">
        <f t="shared" si="61"/>
        <v>0</v>
      </c>
      <c r="O80" s="279"/>
      <c r="P80" s="294"/>
      <c r="Q80" s="142"/>
    </row>
    <row r="81" spans="1:20" ht="15.6" thickTop="1" thickBot="1">
      <c r="A81" s="73"/>
      <c r="B81" s="380"/>
      <c r="C81" s="143"/>
      <c r="D81" s="266"/>
      <c r="E81" s="267"/>
      <c r="F81" s="268"/>
      <c r="G81" s="268"/>
      <c r="H81" s="268"/>
      <c r="I81" s="268"/>
      <c r="J81" s="268"/>
      <c r="K81" s="268"/>
      <c r="L81" s="291"/>
      <c r="M81" s="267">
        <f t="shared" si="62"/>
        <v>0</v>
      </c>
      <c r="N81" s="279">
        <f t="shared" si="61"/>
        <v>0</v>
      </c>
      <c r="O81" s="279"/>
      <c r="P81" s="294"/>
      <c r="Q81" s="142"/>
    </row>
    <row r="82" spans="1:20" ht="15.6" thickTop="1" thickBot="1">
      <c r="A82" s="73"/>
      <c r="B82" s="380"/>
      <c r="C82" s="144" t="s">
        <v>69</v>
      </c>
      <c r="D82" s="266">
        <f>SUM(D76:D81)</f>
        <v>0</v>
      </c>
      <c r="E82" s="267">
        <f>SUM(E76:E81)</f>
        <v>0</v>
      </c>
      <c r="F82" s="268">
        <f>SUM(F76:F81)</f>
        <v>0</v>
      </c>
      <c r="G82" s="268">
        <f t="shared" ref="G82" si="63">SUM(G76:G81)</f>
        <v>0</v>
      </c>
      <c r="H82" s="268">
        <f t="shared" ref="H82" si="64">SUM(H76:H81)</f>
        <v>0</v>
      </c>
      <c r="I82" s="268">
        <f t="shared" ref="I82" si="65">SUM(I76:I81)</f>
        <v>0</v>
      </c>
      <c r="J82" s="268">
        <f t="shared" ref="J82" si="66">SUM(J76:J81)</f>
        <v>0</v>
      </c>
      <c r="K82" s="268">
        <f t="shared" ref="K82" si="67">SUM(K76:K81)</f>
        <v>0</v>
      </c>
      <c r="L82" s="273"/>
      <c r="M82" s="267">
        <f>SUM(M76:M81)</f>
        <v>0</v>
      </c>
      <c r="N82" s="269">
        <f>SUM(N76:N81)</f>
        <v>0</v>
      </c>
      <c r="O82" s="269"/>
      <c r="P82" s="290"/>
      <c r="Q82" s="142"/>
    </row>
    <row r="83" spans="1:20" ht="15.6" thickTop="1" thickBot="1">
      <c r="A83" s="73"/>
      <c r="B83" s="380"/>
      <c r="C83" s="124" t="s">
        <v>45</v>
      </c>
      <c r="D83" s="272">
        <f>SUM(D76:D81)</f>
        <v>0</v>
      </c>
      <c r="E83" s="272">
        <f>SUM(E76:E81)</f>
        <v>0</v>
      </c>
      <c r="F83" s="381">
        <f>SUM(F82:K82)</f>
        <v>0</v>
      </c>
      <c r="G83" s="382"/>
      <c r="H83" s="382"/>
      <c r="I83" s="382"/>
      <c r="J83" s="382"/>
      <c r="K83" s="383"/>
      <c r="L83" s="274">
        <f>L82</f>
        <v>0</v>
      </c>
      <c r="M83" s="272">
        <f>SUM(M76:M81)</f>
        <v>0</v>
      </c>
      <c r="N83" s="272">
        <f>SUM(N76:N81)</f>
        <v>0</v>
      </c>
      <c r="O83" s="272">
        <f>SUM(O82)</f>
        <v>0</v>
      </c>
      <c r="P83" s="275">
        <f>SUM(P82)</f>
        <v>0</v>
      </c>
      <c r="Q83" s="125"/>
      <c r="T83" s="145" t="e">
        <f>$V$3+L11+L19+L27+L35+L43+L51+L59+L67+L75+L83</f>
        <v>#REF!</v>
      </c>
    </row>
    <row r="84" spans="1:20" ht="15.6" thickTop="1" thickBot="1">
      <c r="A84" s="73" t="str">
        <f ca="1">OFFSET('0'!$B$112,($A$1-1)*10,$B84-1)</f>
        <v>--</v>
      </c>
      <c r="B84" s="380">
        <f ca="1">OFFSET('0'!$B$111,($A$1-1)*10,10)</f>
        <v>11</v>
      </c>
      <c r="C84" s="137"/>
      <c r="D84" s="156"/>
      <c r="E84" s="67"/>
      <c r="F84" s="157"/>
      <c r="G84" s="157"/>
      <c r="H84" s="157"/>
      <c r="I84" s="157"/>
      <c r="J84" s="157"/>
      <c r="K84" s="157"/>
      <c r="L84" s="153"/>
      <c r="M84" s="67">
        <f>SUM(D84-E84)</f>
        <v>0</v>
      </c>
      <c r="N84" s="58">
        <f t="shared" ref="N84:N89" si="68">SUM(E84,M84)</f>
        <v>0</v>
      </c>
      <c r="O84" s="138"/>
      <c r="P84" s="139"/>
      <c r="Q84" s="140"/>
    </row>
    <row r="85" spans="1:20" ht="15.6" thickTop="1" thickBot="1">
      <c r="A85" s="73"/>
      <c r="B85" s="380"/>
      <c r="C85" s="141"/>
      <c r="D85" s="266"/>
      <c r="E85" s="267"/>
      <c r="F85" s="268"/>
      <c r="G85" s="268"/>
      <c r="H85" s="268"/>
      <c r="I85" s="268"/>
      <c r="J85" s="268"/>
      <c r="K85" s="268"/>
      <c r="L85" s="289"/>
      <c r="M85" s="267">
        <f>SUM(D85-E85)</f>
        <v>0</v>
      </c>
      <c r="N85" s="269">
        <f t="shared" si="68"/>
        <v>0</v>
      </c>
      <c r="O85" s="269"/>
      <c r="P85" s="290"/>
      <c r="Q85" s="142"/>
    </row>
    <row r="86" spans="1:20" ht="15.6" thickTop="1" thickBot="1">
      <c r="A86" s="73"/>
      <c r="B86" s="380"/>
      <c r="C86" s="141"/>
      <c r="D86" s="266"/>
      <c r="E86" s="267"/>
      <c r="F86" s="268"/>
      <c r="G86" s="268"/>
      <c r="H86" s="268"/>
      <c r="I86" s="268"/>
      <c r="J86" s="268"/>
      <c r="K86" s="268"/>
      <c r="L86" s="289"/>
      <c r="M86" s="267">
        <f t="shared" ref="M86:M89" si="69">SUM(D86-E86)</f>
        <v>0</v>
      </c>
      <c r="N86" s="269">
        <f t="shared" si="68"/>
        <v>0</v>
      </c>
      <c r="O86" s="269"/>
      <c r="P86" s="290"/>
      <c r="Q86" s="142"/>
    </row>
    <row r="87" spans="1:20" ht="15.6" thickTop="1" thickBot="1">
      <c r="A87" s="73"/>
      <c r="B87" s="380"/>
      <c r="C87" s="143"/>
      <c r="D87" s="266"/>
      <c r="E87" s="267"/>
      <c r="F87" s="268"/>
      <c r="G87" s="268"/>
      <c r="H87" s="268"/>
      <c r="I87" s="268"/>
      <c r="J87" s="268"/>
      <c r="K87" s="268"/>
      <c r="L87" s="289"/>
      <c r="M87" s="267">
        <f t="shared" si="69"/>
        <v>0</v>
      </c>
      <c r="N87" s="269">
        <f t="shared" si="68"/>
        <v>0</v>
      </c>
      <c r="O87" s="269"/>
      <c r="P87" s="290"/>
      <c r="Q87" s="142"/>
    </row>
    <row r="88" spans="1:20" ht="15.6" thickTop="1" thickBot="1">
      <c r="A88" s="73"/>
      <c r="B88" s="380"/>
      <c r="C88" s="143"/>
      <c r="D88" s="266"/>
      <c r="E88" s="267"/>
      <c r="F88" s="268"/>
      <c r="G88" s="268"/>
      <c r="H88" s="268"/>
      <c r="I88" s="268"/>
      <c r="J88" s="268"/>
      <c r="K88" s="268"/>
      <c r="L88" s="289"/>
      <c r="M88" s="267">
        <f t="shared" si="69"/>
        <v>0</v>
      </c>
      <c r="N88" s="269">
        <f t="shared" si="68"/>
        <v>0</v>
      </c>
      <c r="O88" s="269"/>
      <c r="P88" s="290"/>
      <c r="Q88" s="142"/>
    </row>
    <row r="89" spans="1:20" ht="15.6" thickTop="1" thickBot="1">
      <c r="A89" s="73"/>
      <c r="B89" s="380"/>
      <c r="C89" s="143"/>
      <c r="D89" s="266"/>
      <c r="E89" s="267"/>
      <c r="F89" s="268"/>
      <c r="G89" s="268"/>
      <c r="H89" s="268"/>
      <c r="I89" s="268"/>
      <c r="J89" s="268"/>
      <c r="K89" s="268"/>
      <c r="L89" s="291"/>
      <c r="M89" s="267">
        <f t="shared" si="69"/>
        <v>0</v>
      </c>
      <c r="N89" s="279">
        <f t="shared" si="68"/>
        <v>0</v>
      </c>
      <c r="O89" s="279"/>
      <c r="P89" s="294"/>
      <c r="Q89" s="142"/>
    </row>
    <row r="90" spans="1:20" ht="15.6" thickTop="1" thickBot="1">
      <c r="A90" s="73"/>
      <c r="B90" s="380"/>
      <c r="C90" s="144" t="s">
        <v>69</v>
      </c>
      <c r="D90" s="266">
        <f>SUM(D84:D89)</f>
        <v>0</v>
      </c>
      <c r="E90" s="267">
        <f>SUM(E84:E89)</f>
        <v>0</v>
      </c>
      <c r="F90" s="268">
        <f>SUM(F84:F89)</f>
        <v>0</v>
      </c>
      <c r="G90" s="268">
        <f t="shared" ref="G90" si="70">SUM(G84:G89)</f>
        <v>0</v>
      </c>
      <c r="H90" s="268">
        <f t="shared" ref="H90" si="71">SUM(H84:H89)</f>
        <v>0</v>
      </c>
      <c r="I90" s="268">
        <f t="shared" ref="I90" si="72">SUM(I84:I89)</f>
        <v>0</v>
      </c>
      <c r="J90" s="268">
        <f t="shared" ref="J90" si="73">SUM(J84:J89)</f>
        <v>0</v>
      </c>
      <c r="K90" s="268">
        <f t="shared" ref="K90" si="74">SUM(K84:K89)</f>
        <v>0</v>
      </c>
      <c r="L90" s="273"/>
      <c r="M90" s="267">
        <f>SUM(M84:M89)</f>
        <v>0</v>
      </c>
      <c r="N90" s="269">
        <f>SUM(N84:N89)</f>
        <v>0</v>
      </c>
      <c r="O90" s="269"/>
      <c r="P90" s="290"/>
      <c r="Q90" s="142"/>
    </row>
    <row r="91" spans="1:20" ht="15.6" thickTop="1" thickBot="1">
      <c r="A91" s="73"/>
      <c r="B91" s="380"/>
      <c r="C91" s="124" t="s">
        <v>45</v>
      </c>
      <c r="D91" s="272">
        <f>SUM(D84:D89)</f>
        <v>0</v>
      </c>
      <c r="E91" s="272">
        <f>SUM(E84:E89)</f>
        <v>0</v>
      </c>
      <c r="F91" s="381">
        <f>SUM(F90:K90)</f>
        <v>0</v>
      </c>
      <c r="G91" s="382"/>
      <c r="H91" s="382"/>
      <c r="I91" s="382"/>
      <c r="J91" s="382"/>
      <c r="K91" s="383"/>
      <c r="L91" s="274">
        <f>L90</f>
        <v>0</v>
      </c>
      <c r="M91" s="272">
        <f>SUM(M84:M89)</f>
        <v>0</v>
      </c>
      <c r="N91" s="272">
        <f>SUM(N84:N89)</f>
        <v>0</v>
      </c>
      <c r="O91" s="272">
        <f>SUM(O90)</f>
        <v>0</v>
      </c>
      <c r="P91" s="275">
        <f>SUM(P90)</f>
        <v>0</v>
      </c>
      <c r="Q91" s="125"/>
      <c r="T91" s="145" t="e">
        <f>$V$3+L11+L19+L27+L35+L43+L51+L59+L67+L75+L83+L91</f>
        <v>#REF!</v>
      </c>
    </row>
    <row r="92" spans="1:20" ht="15.6" thickTop="1" thickBot="1">
      <c r="A92" s="73" t="str">
        <f ca="1">OFFSET('0'!$B$112,($A$1-1)*10,$B92-1)</f>
        <v>SS</v>
      </c>
      <c r="B92" s="380">
        <f ca="1">OFFSET('0'!$B$111,($A$1-1)*10,11)</f>
        <v>12</v>
      </c>
      <c r="C92" s="137"/>
      <c r="D92" s="156"/>
      <c r="E92" s="67"/>
      <c r="F92" s="157"/>
      <c r="G92" s="157"/>
      <c r="H92" s="157"/>
      <c r="I92" s="157"/>
      <c r="J92" s="157"/>
      <c r="K92" s="157"/>
      <c r="L92" s="153"/>
      <c r="M92" s="67">
        <f>SUM(D92-E92)</f>
        <v>0</v>
      </c>
      <c r="N92" s="58">
        <f t="shared" ref="N92:N97" si="75">SUM(E92,M92)</f>
        <v>0</v>
      </c>
      <c r="O92" s="138"/>
      <c r="P92" s="139"/>
      <c r="Q92" s="140"/>
    </row>
    <row r="93" spans="1:20" ht="15.6" thickTop="1" thickBot="1">
      <c r="A93" s="73"/>
      <c r="B93" s="380"/>
      <c r="C93" s="141"/>
      <c r="D93" s="266"/>
      <c r="E93" s="267"/>
      <c r="F93" s="268"/>
      <c r="G93" s="268"/>
      <c r="H93" s="268"/>
      <c r="I93" s="268"/>
      <c r="J93" s="268"/>
      <c r="K93" s="268"/>
      <c r="L93" s="289"/>
      <c r="M93" s="267">
        <f>SUM(D93-E93)</f>
        <v>0</v>
      </c>
      <c r="N93" s="269">
        <f t="shared" si="75"/>
        <v>0</v>
      </c>
      <c r="O93" s="269"/>
      <c r="P93" s="290"/>
      <c r="Q93" s="142"/>
    </row>
    <row r="94" spans="1:20" ht="15.6" thickTop="1" thickBot="1">
      <c r="A94" s="73"/>
      <c r="B94" s="380"/>
      <c r="C94" s="141"/>
      <c r="D94" s="266"/>
      <c r="E94" s="267"/>
      <c r="F94" s="268"/>
      <c r="G94" s="268"/>
      <c r="H94" s="268"/>
      <c r="I94" s="268"/>
      <c r="J94" s="268"/>
      <c r="K94" s="268"/>
      <c r="L94" s="289"/>
      <c r="M94" s="267">
        <f t="shared" ref="M94:M97" si="76">SUM(D94-E94)</f>
        <v>0</v>
      </c>
      <c r="N94" s="269">
        <f t="shared" si="75"/>
        <v>0</v>
      </c>
      <c r="O94" s="269"/>
      <c r="P94" s="290"/>
      <c r="Q94" s="142"/>
    </row>
    <row r="95" spans="1:20" ht="15.6" thickTop="1" thickBot="1">
      <c r="A95" s="73"/>
      <c r="B95" s="380"/>
      <c r="C95" s="143"/>
      <c r="D95" s="266"/>
      <c r="E95" s="267"/>
      <c r="F95" s="268"/>
      <c r="G95" s="268"/>
      <c r="H95" s="268"/>
      <c r="I95" s="268"/>
      <c r="J95" s="268"/>
      <c r="K95" s="268"/>
      <c r="L95" s="289"/>
      <c r="M95" s="267">
        <f t="shared" si="76"/>
        <v>0</v>
      </c>
      <c r="N95" s="269">
        <f t="shared" si="75"/>
        <v>0</v>
      </c>
      <c r="O95" s="269"/>
      <c r="P95" s="290"/>
      <c r="Q95" s="142"/>
    </row>
    <row r="96" spans="1:20" ht="15.6" thickTop="1" thickBot="1">
      <c r="A96" s="73"/>
      <c r="B96" s="380"/>
      <c r="C96" s="143"/>
      <c r="D96" s="266"/>
      <c r="E96" s="267"/>
      <c r="F96" s="268"/>
      <c r="G96" s="268"/>
      <c r="H96" s="268"/>
      <c r="I96" s="268"/>
      <c r="J96" s="268"/>
      <c r="K96" s="268"/>
      <c r="L96" s="289"/>
      <c r="M96" s="267">
        <f t="shared" si="76"/>
        <v>0</v>
      </c>
      <c r="N96" s="269">
        <f t="shared" si="75"/>
        <v>0</v>
      </c>
      <c r="O96" s="269"/>
      <c r="P96" s="290"/>
      <c r="Q96" s="142"/>
    </row>
    <row r="97" spans="1:20" ht="15.6" thickTop="1" thickBot="1">
      <c r="A97" s="73"/>
      <c r="B97" s="380"/>
      <c r="C97" s="143"/>
      <c r="D97" s="266"/>
      <c r="E97" s="267"/>
      <c r="F97" s="268"/>
      <c r="G97" s="268"/>
      <c r="H97" s="268"/>
      <c r="I97" s="268"/>
      <c r="J97" s="268"/>
      <c r="K97" s="268"/>
      <c r="L97" s="291"/>
      <c r="M97" s="267">
        <f t="shared" si="76"/>
        <v>0</v>
      </c>
      <c r="N97" s="279">
        <f t="shared" si="75"/>
        <v>0</v>
      </c>
      <c r="O97" s="279"/>
      <c r="P97" s="294"/>
      <c r="Q97" s="142"/>
    </row>
    <row r="98" spans="1:20" ht="15.6" thickTop="1" thickBot="1">
      <c r="A98" s="73"/>
      <c r="B98" s="380"/>
      <c r="C98" s="144" t="s">
        <v>69</v>
      </c>
      <c r="D98" s="266">
        <f>SUM(D92:D97)</f>
        <v>0</v>
      </c>
      <c r="E98" s="267">
        <f>SUM(E92:E97)</f>
        <v>0</v>
      </c>
      <c r="F98" s="268">
        <f>SUM(F92:F97)</f>
        <v>0</v>
      </c>
      <c r="G98" s="268">
        <f t="shared" ref="G98" si="77">SUM(G92:G97)</f>
        <v>0</v>
      </c>
      <c r="H98" s="268">
        <f t="shared" ref="H98" si="78">SUM(H92:H97)</f>
        <v>0</v>
      </c>
      <c r="I98" s="268">
        <f t="shared" ref="I98" si="79">SUM(I92:I97)</f>
        <v>0</v>
      </c>
      <c r="J98" s="268">
        <f t="shared" ref="J98" si="80">SUM(J92:J97)</f>
        <v>0</v>
      </c>
      <c r="K98" s="268">
        <f t="shared" ref="K98" si="81">SUM(K92:K97)</f>
        <v>0</v>
      </c>
      <c r="L98" s="273"/>
      <c r="M98" s="267">
        <f>SUM(M92:M97)</f>
        <v>0</v>
      </c>
      <c r="N98" s="269">
        <f>SUM(N92:N97)</f>
        <v>0</v>
      </c>
      <c r="O98" s="269"/>
      <c r="P98" s="290"/>
      <c r="Q98" s="142"/>
    </row>
    <row r="99" spans="1:20" ht="15.6" thickTop="1" thickBot="1">
      <c r="A99" s="73"/>
      <c r="B99" s="380"/>
      <c r="C99" s="124" t="s">
        <v>45</v>
      </c>
      <c r="D99" s="272">
        <f>SUM(D92:D97)</f>
        <v>0</v>
      </c>
      <c r="E99" s="272">
        <f>SUM(E92:E97)</f>
        <v>0</v>
      </c>
      <c r="F99" s="381">
        <f>SUM(F98:K98)</f>
        <v>0</v>
      </c>
      <c r="G99" s="382"/>
      <c r="H99" s="382"/>
      <c r="I99" s="382"/>
      <c r="J99" s="382"/>
      <c r="K99" s="383"/>
      <c r="L99" s="274">
        <f>L98</f>
        <v>0</v>
      </c>
      <c r="M99" s="272">
        <f>SUM(M92:M97)</f>
        <v>0</v>
      </c>
      <c r="N99" s="272">
        <f>SUM(N92:N97)</f>
        <v>0</v>
      </c>
      <c r="O99" s="272">
        <f>SUM(O98)</f>
        <v>0</v>
      </c>
      <c r="P99" s="275">
        <f>SUM(P98)</f>
        <v>0</v>
      </c>
      <c r="Q99" s="125"/>
      <c r="T99" s="145" t="e">
        <f>$V$3+L11+L19+L27+L35+L43+L51+L59+L67+L75+L83+L91+L99</f>
        <v>#REF!</v>
      </c>
    </row>
    <row r="100" spans="1:20" ht="15.6" thickTop="1" thickBot="1">
      <c r="A100" s="73" t="str">
        <f ca="1">OFFSET('0'!$B$112,($A$1-1)*10,$B100-1)</f>
        <v>SK</v>
      </c>
      <c r="B100" s="380">
        <f ca="1">OFFSET('0'!$B$111,($A$1-1)*10,12)</f>
        <v>13</v>
      </c>
      <c r="C100" s="137"/>
      <c r="D100" s="156"/>
      <c r="E100" s="67"/>
      <c r="F100" s="157"/>
      <c r="G100" s="157"/>
      <c r="H100" s="157"/>
      <c r="I100" s="157"/>
      <c r="J100" s="157"/>
      <c r="K100" s="157"/>
      <c r="L100" s="153"/>
      <c r="M100" s="67">
        <f>SUM(D100-E100)</f>
        <v>0</v>
      </c>
      <c r="N100" s="58">
        <f t="shared" ref="N100:N105" si="82">SUM(E100,M100)</f>
        <v>0</v>
      </c>
      <c r="O100" s="138"/>
      <c r="P100" s="139"/>
      <c r="Q100" s="140"/>
    </row>
    <row r="101" spans="1:20" ht="15.6" thickTop="1" thickBot="1">
      <c r="A101" s="73"/>
      <c r="B101" s="380"/>
      <c r="C101" s="141"/>
      <c r="D101" s="266"/>
      <c r="E101" s="267"/>
      <c r="F101" s="268"/>
      <c r="G101" s="268"/>
      <c r="H101" s="268"/>
      <c r="I101" s="268"/>
      <c r="J101" s="268"/>
      <c r="K101" s="268"/>
      <c r="L101" s="289"/>
      <c r="M101" s="267">
        <f>SUM(D101-E101)</f>
        <v>0</v>
      </c>
      <c r="N101" s="269">
        <f t="shared" si="82"/>
        <v>0</v>
      </c>
      <c r="O101" s="269"/>
      <c r="P101" s="290"/>
      <c r="Q101" s="142"/>
    </row>
    <row r="102" spans="1:20" ht="15.6" thickTop="1" thickBot="1">
      <c r="A102" s="73"/>
      <c r="B102" s="380"/>
      <c r="C102" s="141"/>
      <c r="D102" s="266"/>
      <c r="E102" s="267"/>
      <c r="F102" s="268"/>
      <c r="G102" s="268"/>
      <c r="H102" s="268"/>
      <c r="I102" s="268"/>
      <c r="J102" s="268"/>
      <c r="K102" s="268"/>
      <c r="L102" s="289"/>
      <c r="M102" s="267">
        <f t="shared" ref="M102:M105" si="83">SUM(D102-E102)</f>
        <v>0</v>
      </c>
      <c r="N102" s="269">
        <f t="shared" si="82"/>
        <v>0</v>
      </c>
      <c r="O102" s="269"/>
      <c r="P102" s="290"/>
      <c r="Q102" s="142"/>
    </row>
    <row r="103" spans="1:20" ht="15.6" thickTop="1" thickBot="1">
      <c r="A103" s="73"/>
      <c r="B103" s="380"/>
      <c r="C103" s="143"/>
      <c r="D103" s="266"/>
      <c r="E103" s="267"/>
      <c r="F103" s="268"/>
      <c r="G103" s="268"/>
      <c r="H103" s="268"/>
      <c r="I103" s="268"/>
      <c r="J103" s="268"/>
      <c r="K103" s="268"/>
      <c r="L103" s="289"/>
      <c r="M103" s="267">
        <f t="shared" si="83"/>
        <v>0</v>
      </c>
      <c r="N103" s="269">
        <f t="shared" si="82"/>
        <v>0</v>
      </c>
      <c r="O103" s="269"/>
      <c r="P103" s="290"/>
      <c r="Q103" s="142"/>
    </row>
    <row r="104" spans="1:20" ht="15.6" thickTop="1" thickBot="1">
      <c r="A104" s="73"/>
      <c r="B104" s="380"/>
      <c r="C104" s="143"/>
      <c r="D104" s="266"/>
      <c r="E104" s="267"/>
      <c r="F104" s="268"/>
      <c r="G104" s="268"/>
      <c r="H104" s="268"/>
      <c r="I104" s="268"/>
      <c r="J104" s="268"/>
      <c r="K104" s="268"/>
      <c r="L104" s="289"/>
      <c r="M104" s="267">
        <f t="shared" si="83"/>
        <v>0</v>
      </c>
      <c r="N104" s="269">
        <f t="shared" si="82"/>
        <v>0</v>
      </c>
      <c r="O104" s="269"/>
      <c r="P104" s="290"/>
      <c r="Q104" s="142"/>
    </row>
    <row r="105" spans="1:20" ht="15.6" thickTop="1" thickBot="1">
      <c r="A105" s="73"/>
      <c r="B105" s="380"/>
      <c r="C105" s="143"/>
      <c r="D105" s="266"/>
      <c r="E105" s="267"/>
      <c r="F105" s="268"/>
      <c r="G105" s="268"/>
      <c r="H105" s="268"/>
      <c r="I105" s="268"/>
      <c r="J105" s="268"/>
      <c r="K105" s="268"/>
      <c r="L105" s="291"/>
      <c r="M105" s="267">
        <f t="shared" si="83"/>
        <v>0</v>
      </c>
      <c r="N105" s="279">
        <f t="shared" si="82"/>
        <v>0</v>
      </c>
      <c r="O105" s="279"/>
      <c r="P105" s="294"/>
      <c r="Q105" s="142"/>
    </row>
    <row r="106" spans="1:20" ht="15.6" thickTop="1" thickBot="1">
      <c r="A106" s="73"/>
      <c r="B106" s="380"/>
      <c r="C106" s="151" t="s">
        <v>69</v>
      </c>
      <c r="D106" s="266">
        <f>SUM(D100:D105)</f>
        <v>0</v>
      </c>
      <c r="E106" s="267">
        <f>SUM(E100:E105)</f>
        <v>0</v>
      </c>
      <c r="F106" s="268">
        <f>SUM(F100:F105)</f>
        <v>0</v>
      </c>
      <c r="G106" s="268">
        <f t="shared" ref="G106" si="84">SUM(G100:G105)</f>
        <v>0</v>
      </c>
      <c r="H106" s="268">
        <f t="shared" ref="H106" si="85">SUM(H100:H105)</f>
        <v>0</v>
      </c>
      <c r="I106" s="268">
        <f t="shared" ref="I106" si="86">SUM(I100:I105)</f>
        <v>0</v>
      </c>
      <c r="J106" s="268">
        <f t="shared" ref="J106" si="87">SUM(J100:J105)</f>
        <v>0</v>
      </c>
      <c r="K106" s="268">
        <f t="shared" ref="K106" si="88">SUM(K100:K105)</f>
        <v>0</v>
      </c>
      <c r="L106" s="273"/>
      <c r="M106" s="267">
        <f>SUM(M100:M105)</f>
        <v>0</v>
      </c>
      <c r="N106" s="269">
        <f>SUM(N100:N105)</f>
        <v>0</v>
      </c>
      <c r="O106" s="269"/>
      <c r="P106" s="290"/>
      <c r="Q106" s="142"/>
    </row>
    <row r="107" spans="1:20" ht="15.6" thickTop="1" thickBot="1">
      <c r="A107" s="73"/>
      <c r="B107" s="380"/>
      <c r="C107" s="124" t="s">
        <v>45</v>
      </c>
      <c r="D107" s="272">
        <f>SUM(D100:D105)</f>
        <v>0</v>
      </c>
      <c r="E107" s="272">
        <f>SUM(E100:E105)</f>
        <v>0</v>
      </c>
      <c r="F107" s="381">
        <f>SUM(F106:K106)</f>
        <v>0</v>
      </c>
      <c r="G107" s="382"/>
      <c r="H107" s="382"/>
      <c r="I107" s="382"/>
      <c r="J107" s="382"/>
      <c r="K107" s="383"/>
      <c r="L107" s="274">
        <f>L106</f>
        <v>0</v>
      </c>
      <c r="M107" s="272">
        <f>SUM(M100:M105)</f>
        <v>0</v>
      </c>
      <c r="N107" s="272">
        <f>SUM(N100:N105)</f>
        <v>0</v>
      </c>
      <c r="O107" s="272">
        <f>SUM(O106)</f>
        <v>0</v>
      </c>
      <c r="P107" s="275">
        <f>SUM(P106)</f>
        <v>0</v>
      </c>
      <c r="Q107" s="125"/>
      <c r="T107" s="145" t="e">
        <f>$V$3+L11+L19+L27+L35+L43+L51+L59+L67+L75+L83+L91+L99+L107</f>
        <v>#REF!</v>
      </c>
    </row>
    <row r="108" spans="1:20" ht="15.6" thickTop="1" thickBot="1">
      <c r="A108" s="73" t="str">
        <f ca="1">OFFSET('0'!$B$112,($A$1-1)*10,$B108-1)</f>
        <v>--</v>
      </c>
      <c r="B108" s="380">
        <f ca="1">OFFSET('0'!$B$111,($A$1-1)*10,13)</f>
        <v>14</v>
      </c>
      <c r="C108" s="137"/>
      <c r="D108" s="156"/>
      <c r="E108" s="67"/>
      <c r="F108" s="157"/>
      <c r="G108" s="157"/>
      <c r="H108" s="157"/>
      <c r="I108" s="157"/>
      <c r="J108" s="157"/>
      <c r="K108" s="157"/>
      <c r="L108" s="153"/>
      <c r="M108" s="67">
        <f>SUM(D108-E108)</f>
        <v>0</v>
      </c>
      <c r="N108" s="58">
        <f t="shared" ref="N108:N113" si="89">SUM(E108,M108)</f>
        <v>0</v>
      </c>
      <c r="O108" s="138"/>
      <c r="P108" s="139"/>
      <c r="Q108" s="140"/>
    </row>
    <row r="109" spans="1:20" ht="15.6" thickTop="1" thickBot="1">
      <c r="A109" s="73"/>
      <c r="B109" s="380"/>
      <c r="C109" s="141"/>
      <c r="D109" s="266"/>
      <c r="E109" s="267"/>
      <c r="F109" s="268"/>
      <c r="G109" s="268"/>
      <c r="H109" s="268"/>
      <c r="I109" s="268"/>
      <c r="J109" s="268"/>
      <c r="K109" s="268"/>
      <c r="L109" s="289"/>
      <c r="M109" s="267">
        <f>SUM(D109-E109)</f>
        <v>0</v>
      </c>
      <c r="N109" s="269">
        <f t="shared" si="89"/>
        <v>0</v>
      </c>
      <c r="O109" s="269"/>
      <c r="P109" s="290"/>
      <c r="Q109" s="142"/>
    </row>
    <row r="110" spans="1:20" ht="15.6" thickTop="1" thickBot="1">
      <c r="A110" s="73"/>
      <c r="B110" s="380"/>
      <c r="C110" s="141"/>
      <c r="D110" s="266"/>
      <c r="E110" s="267"/>
      <c r="F110" s="268"/>
      <c r="G110" s="268"/>
      <c r="H110" s="268"/>
      <c r="I110" s="268"/>
      <c r="J110" s="268"/>
      <c r="K110" s="268"/>
      <c r="L110" s="289"/>
      <c r="M110" s="267">
        <f t="shared" ref="M110:M113" si="90">SUM(D110-E110)</f>
        <v>0</v>
      </c>
      <c r="N110" s="269">
        <f t="shared" si="89"/>
        <v>0</v>
      </c>
      <c r="O110" s="269"/>
      <c r="P110" s="290"/>
      <c r="Q110" s="142"/>
    </row>
    <row r="111" spans="1:20" ht="15.6" thickTop="1" thickBot="1">
      <c r="A111" s="73"/>
      <c r="B111" s="380"/>
      <c r="C111" s="143"/>
      <c r="D111" s="266"/>
      <c r="E111" s="267"/>
      <c r="F111" s="268"/>
      <c r="G111" s="268"/>
      <c r="H111" s="268"/>
      <c r="I111" s="268"/>
      <c r="J111" s="268"/>
      <c r="K111" s="268"/>
      <c r="L111" s="289"/>
      <c r="M111" s="267">
        <f t="shared" si="90"/>
        <v>0</v>
      </c>
      <c r="N111" s="269">
        <f t="shared" si="89"/>
        <v>0</v>
      </c>
      <c r="O111" s="269"/>
      <c r="P111" s="290"/>
      <c r="Q111" s="142"/>
    </row>
    <row r="112" spans="1:20" ht="15.6" thickTop="1" thickBot="1">
      <c r="A112" s="73"/>
      <c r="B112" s="380"/>
      <c r="C112" s="143"/>
      <c r="D112" s="266"/>
      <c r="E112" s="267"/>
      <c r="F112" s="268"/>
      <c r="G112" s="268"/>
      <c r="H112" s="268"/>
      <c r="I112" s="268"/>
      <c r="J112" s="268"/>
      <c r="K112" s="268"/>
      <c r="L112" s="289"/>
      <c r="M112" s="267">
        <f t="shared" si="90"/>
        <v>0</v>
      </c>
      <c r="N112" s="279">
        <f t="shared" si="89"/>
        <v>0</v>
      </c>
      <c r="O112" s="279"/>
      <c r="P112" s="294"/>
      <c r="Q112" s="142"/>
    </row>
    <row r="113" spans="1:22" ht="15.6" thickTop="1" thickBot="1">
      <c r="A113" s="73"/>
      <c r="B113" s="380"/>
      <c r="C113" s="143"/>
      <c r="D113" s="266"/>
      <c r="E113" s="267"/>
      <c r="F113" s="268"/>
      <c r="G113" s="268"/>
      <c r="H113" s="268"/>
      <c r="I113" s="268"/>
      <c r="J113" s="268"/>
      <c r="K113" s="268"/>
      <c r="L113" s="291"/>
      <c r="M113" s="267">
        <f t="shared" si="90"/>
        <v>0</v>
      </c>
      <c r="N113" s="269">
        <f t="shared" si="89"/>
        <v>0</v>
      </c>
      <c r="O113" s="269"/>
      <c r="P113" s="290"/>
      <c r="Q113" s="142"/>
    </row>
    <row r="114" spans="1:22" ht="15.6" thickTop="1" thickBot="1">
      <c r="A114" s="73"/>
      <c r="B114" s="380"/>
      <c r="C114" s="144" t="s">
        <v>69</v>
      </c>
      <c r="D114" s="266">
        <f>SUM(D108:D113)</f>
        <v>0</v>
      </c>
      <c r="E114" s="267">
        <f>SUM(E108:E113)</f>
        <v>0</v>
      </c>
      <c r="F114" s="268">
        <f>SUM(F108:F113)</f>
        <v>0</v>
      </c>
      <c r="G114" s="268">
        <f t="shared" ref="G114" si="91">SUM(G108:G113)</f>
        <v>0</v>
      </c>
      <c r="H114" s="268">
        <f t="shared" ref="H114" si="92">SUM(H108:H113)</f>
        <v>0</v>
      </c>
      <c r="I114" s="268">
        <f t="shared" ref="I114" si="93">SUM(I108:I113)</f>
        <v>0</v>
      </c>
      <c r="J114" s="268">
        <f t="shared" ref="J114" si="94">SUM(J108:J113)</f>
        <v>0</v>
      </c>
      <c r="K114" s="268">
        <f t="shared" ref="K114" si="95">SUM(K108:K113)</f>
        <v>0</v>
      </c>
      <c r="L114" s="273"/>
      <c r="M114" s="267">
        <f>SUM(M108:M113)</f>
        <v>0</v>
      </c>
      <c r="N114" s="269">
        <f>SUM(N108:N113)</f>
        <v>0</v>
      </c>
      <c r="O114" s="269"/>
      <c r="P114" s="290"/>
      <c r="Q114" s="142"/>
    </row>
    <row r="115" spans="1:22" ht="15.6" thickTop="1" thickBot="1">
      <c r="A115" s="73"/>
      <c r="B115" s="380"/>
      <c r="C115" s="124" t="s">
        <v>45</v>
      </c>
      <c r="D115" s="272">
        <f>SUM(D108:D113)</f>
        <v>0</v>
      </c>
      <c r="E115" s="272">
        <f>SUM(E108:E113)</f>
        <v>0</v>
      </c>
      <c r="F115" s="381">
        <f>SUM(F114:K114)</f>
        <v>0</v>
      </c>
      <c r="G115" s="382"/>
      <c r="H115" s="382"/>
      <c r="I115" s="382"/>
      <c r="J115" s="382"/>
      <c r="K115" s="383"/>
      <c r="L115" s="274">
        <f>L114</f>
        <v>0</v>
      </c>
      <c r="M115" s="272">
        <f>SUM(M108:M113)</f>
        <v>0</v>
      </c>
      <c r="N115" s="272">
        <f>SUM(N108:N113)</f>
        <v>0</v>
      </c>
      <c r="O115" s="272">
        <f>SUM(O114)</f>
        <v>0</v>
      </c>
      <c r="P115" s="275">
        <f>SUM(P114)</f>
        <v>0</v>
      </c>
      <c r="Q115" s="125"/>
      <c r="S115" s="134"/>
      <c r="T115" s="145" t="e">
        <f>$V$3+L11+L19+L27+L35+L43+L51+L59+L67+L75+L83+L91+L99+L107+L115</f>
        <v>#REF!</v>
      </c>
    </row>
    <row r="116" spans="1:22" ht="15.6" thickTop="1" thickBot="1">
      <c r="A116" s="73" t="str">
        <f ca="1">OFFSET('0'!$B$112,($A$1-1)*10,$B116-1)</f>
        <v>--</v>
      </c>
      <c r="B116" s="380">
        <f ca="1">OFFSET('0'!$B$111,($A$1-1)*10,14)</f>
        <v>15</v>
      </c>
      <c r="C116" s="137"/>
      <c r="D116" s="156"/>
      <c r="E116" s="67"/>
      <c r="F116" s="157"/>
      <c r="G116" s="157"/>
      <c r="H116" s="157"/>
      <c r="I116" s="157"/>
      <c r="J116" s="157"/>
      <c r="K116" s="157"/>
      <c r="L116" s="153"/>
      <c r="M116" s="67">
        <f>SUM(D116-E116)</f>
        <v>0</v>
      </c>
      <c r="N116" s="58">
        <f t="shared" ref="N116:N121" si="96">SUM(E116,M116)</f>
        <v>0</v>
      </c>
      <c r="O116" s="138"/>
      <c r="P116" s="139"/>
      <c r="Q116" s="140"/>
    </row>
    <row r="117" spans="1:22" ht="15.6" thickTop="1" thickBot="1">
      <c r="A117" s="73"/>
      <c r="B117" s="380"/>
      <c r="C117" s="141"/>
      <c r="D117" s="266"/>
      <c r="E117" s="267"/>
      <c r="F117" s="268"/>
      <c r="G117" s="268"/>
      <c r="H117" s="268"/>
      <c r="I117" s="268"/>
      <c r="J117" s="268"/>
      <c r="K117" s="268"/>
      <c r="L117" s="289"/>
      <c r="M117" s="267">
        <f>SUM(D117-E117)</f>
        <v>0</v>
      </c>
      <c r="N117" s="269">
        <f t="shared" si="96"/>
        <v>0</v>
      </c>
      <c r="O117" s="269"/>
      <c r="P117" s="290"/>
      <c r="Q117" s="142"/>
    </row>
    <row r="118" spans="1:22" ht="15.6" thickTop="1" thickBot="1">
      <c r="A118" s="73"/>
      <c r="B118" s="380"/>
      <c r="C118" s="141"/>
      <c r="D118" s="266"/>
      <c r="E118" s="267"/>
      <c r="F118" s="268"/>
      <c r="G118" s="268"/>
      <c r="H118" s="268"/>
      <c r="I118" s="268"/>
      <c r="J118" s="268"/>
      <c r="K118" s="268"/>
      <c r="L118" s="289"/>
      <c r="M118" s="267">
        <f t="shared" ref="M118:M121" si="97">SUM(D118-E118)</f>
        <v>0</v>
      </c>
      <c r="N118" s="269">
        <f t="shared" si="96"/>
        <v>0</v>
      </c>
      <c r="O118" s="269"/>
      <c r="P118" s="290"/>
      <c r="Q118" s="142"/>
      <c r="S118" s="134"/>
    </row>
    <row r="119" spans="1:22" ht="15.6" thickTop="1" thickBot="1">
      <c r="A119" s="73"/>
      <c r="B119" s="380"/>
      <c r="C119" s="143"/>
      <c r="D119" s="266"/>
      <c r="E119" s="267"/>
      <c r="F119" s="268"/>
      <c r="G119" s="268"/>
      <c r="H119" s="268"/>
      <c r="I119" s="268"/>
      <c r="J119" s="268"/>
      <c r="K119" s="268"/>
      <c r="L119" s="289"/>
      <c r="M119" s="267">
        <f t="shared" si="97"/>
        <v>0</v>
      </c>
      <c r="N119" s="269">
        <f t="shared" si="96"/>
        <v>0</v>
      </c>
      <c r="O119" s="269"/>
      <c r="P119" s="290"/>
      <c r="Q119" s="142"/>
      <c r="S119" s="134"/>
    </row>
    <row r="120" spans="1:22" ht="15.6" thickTop="1" thickBot="1">
      <c r="A120" s="73"/>
      <c r="B120" s="380"/>
      <c r="C120" s="143"/>
      <c r="D120" s="266"/>
      <c r="E120" s="267"/>
      <c r="F120" s="268"/>
      <c r="G120" s="268"/>
      <c r="H120" s="268"/>
      <c r="I120" s="268"/>
      <c r="J120" s="268"/>
      <c r="K120" s="268"/>
      <c r="L120" s="289"/>
      <c r="M120" s="267">
        <f t="shared" si="97"/>
        <v>0</v>
      </c>
      <c r="N120" s="269">
        <f t="shared" si="96"/>
        <v>0</v>
      </c>
      <c r="O120" s="269"/>
      <c r="P120" s="290"/>
      <c r="Q120" s="142"/>
      <c r="S120" s="134"/>
    </row>
    <row r="121" spans="1:22" ht="15.6" thickTop="1" thickBot="1">
      <c r="A121" s="73"/>
      <c r="B121" s="380"/>
      <c r="C121" s="143"/>
      <c r="D121" s="266"/>
      <c r="E121" s="267"/>
      <c r="F121" s="268"/>
      <c r="G121" s="268"/>
      <c r="H121" s="268"/>
      <c r="I121" s="268"/>
      <c r="J121" s="268"/>
      <c r="K121" s="268"/>
      <c r="L121" s="291"/>
      <c r="M121" s="267">
        <f t="shared" si="97"/>
        <v>0</v>
      </c>
      <c r="N121" s="269">
        <f t="shared" si="96"/>
        <v>0</v>
      </c>
      <c r="O121" s="269"/>
      <c r="P121" s="290"/>
      <c r="Q121" s="142"/>
      <c r="S121" s="134"/>
    </row>
    <row r="122" spans="1:22" ht="15.6" thickTop="1" thickBot="1">
      <c r="A122" s="73"/>
      <c r="B122" s="380"/>
      <c r="C122" s="144" t="s">
        <v>69</v>
      </c>
      <c r="D122" s="266">
        <f>SUM(D116:D121)</f>
        <v>0</v>
      </c>
      <c r="E122" s="267">
        <f>SUM(E116:E121)</f>
        <v>0</v>
      </c>
      <c r="F122" s="268">
        <f>SUM(F116:F121)</f>
        <v>0</v>
      </c>
      <c r="G122" s="268">
        <f t="shared" ref="G122" si="98">SUM(G116:G121)</f>
        <v>0</v>
      </c>
      <c r="H122" s="268">
        <f t="shared" ref="H122" si="99">SUM(H116:H121)</f>
        <v>0</v>
      </c>
      <c r="I122" s="268">
        <f t="shared" ref="I122" si="100">SUM(I116:I121)</f>
        <v>0</v>
      </c>
      <c r="J122" s="268">
        <f t="shared" ref="J122" si="101">SUM(J116:J121)</f>
        <v>0</v>
      </c>
      <c r="K122" s="268">
        <f t="shared" ref="K122" si="102">SUM(K116:K121)</f>
        <v>0</v>
      </c>
      <c r="L122" s="273"/>
      <c r="M122" s="267">
        <f>SUM(M116:M121)</f>
        <v>0</v>
      </c>
      <c r="N122" s="269">
        <f>SUM(N116:N121)</f>
        <v>0</v>
      </c>
      <c r="O122" s="269"/>
      <c r="P122" s="290"/>
      <c r="Q122" s="142"/>
      <c r="S122" s="134"/>
    </row>
    <row r="123" spans="1:22" ht="15.6" thickTop="1" thickBot="1">
      <c r="A123" s="73"/>
      <c r="B123" s="380"/>
      <c r="C123" s="132" t="s">
        <v>45</v>
      </c>
      <c r="D123" s="281">
        <f>SUM(D116:D121)</f>
        <v>0</v>
      </c>
      <c r="E123" s="281">
        <f>SUM(E116:E121)</f>
        <v>0</v>
      </c>
      <c r="F123" s="381">
        <f>SUM(F122:K122)</f>
        <v>0</v>
      </c>
      <c r="G123" s="382"/>
      <c r="H123" s="382"/>
      <c r="I123" s="382"/>
      <c r="J123" s="382"/>
      <c r="K123" s="383"/>
      <c r="L123" s="282">
        <f>L122</f>
        <v>0</v>
      </c>
      <c r="M123" s="281">
        <f>SUM(M116:M121)</f>
        <v>0</v>
      </c>
      <c r="N123" s="281">
        <f>SUM(N116:N121)</f>
        <v>0</v>
      </c>
      <c r="O123" s="272">
        <f>SUM(O122)</f>
        <v>0</v>
      </c>
      <c r="P123" s="275">
        <f>SUM(P122)</f>
        <v>0</v>
      </c>
      <c r="Q123" s="133"/>
      <c r="T123" s="145" t="e">
        <f>$V$3+L11+L19+L27+L35+L43+L51+L59+L67+L75+L83+L91+L99+L107+L115+L123</f>
        <v>#REF!</v>
      </c>
      <c r="U123" s="134"/>
    </row>
    <row r="124" spans="1:22" ht="15.6" thickTop="1" thickBot="1">
      <c r="A124" s="73" t="str">
        <f ca="1">OFFSET('0'!$B$112,($A$1-1)*10,$B124-1)</f>
        <v>--</v>
      </c>
      <c r="B124" s="380">
        <f ca="1">OFFSET('0'!$B$111,($A$1-1)*10,15)</f>
        <v>16</v>
      </c>
      <c r="C124" s="137"/>
      <c r="D124" s="156"/>
      <c r="E124" s="67"/>
      <c r="F124" s="157"/>
      <c r="G124" s="157"/>
      <c r="H124" s="157"/>
      <c r="I124" s="157"/>
      <c r="J124" s="157"/>
      <c r="K124" s="157"/>
      <c r="L124" s="153"/>
      <c r="M124" s="67">
        <f>SUM(D124-E124)</f>
        <v>0</v>
      </c>
      <c r="N124" s="58">
        <f t="shared" ref="N124:N129" si="103">SUM(E124,M124)</f>
        <v>0</v>
      </c>
      <c r="O124" s="138"/>
      <c r="P124" s="139"/>
      <c r="Q124" s="140"/>
      <c r="V124" s="134"/>
    </row>
    <row r="125" spans="1:22" ht="15.6" thickTop="1" thickBot="1">
      <c r="A125" s="73"/>
      <c r="B125" s="380"/>
      <c r="C125" s="141"/>
      <c r="D125" s="266"/>
      <c r="E125" s="267"/>
      <c r="F125" s="268"/>
      <c r="G125" s="268"/>
      <c r="H125" s="268"/>
      <c r="I125" s="268"/>
      <c r="J125" s="268"/>
      <c r="K125" s="268"/>
      <c r="L125" s="289"/>
      <c r="M125" s="267">
        <f>SUM(D125-E125)</f>
        <v>0</v>
      </c>
      <c r="N125" s="269">
        <f t="shared" si="103"/>
        <v>0</v>
      </c>
      <c r="O125" s="269"/>
      <c r="P125" s="290"/>
      <c r="Q125" s="142"/>
    </row>
    <row r="126" spans="1:22" ht="15.6" thickTop="1" thickBot="1">
      <c r="A126" s="73"/>
      <c r="B126" s="380"/>
      <c r="C126" s="141"/>
      <c r="D126" s="266"/>
      <c r="E126" s="267"/>
      <c r="F126" s="268"/>
      <c r="G126" s="268"/>
      <c r="H126" s="268"/>
      <c r="I126" s="268"/>
      <c r="J126" s="268"/>
      <c r="K126" s="268"/>
      <c r="L126" s="289"/>
      <c r="M126" s="267">
        <f t="shared" ref="M126:M129" si="104">SUM(D126-E126)</f>
        <v>0</v>
      </c>
      <c r="N126" s="269">
        <f t="shared" si="103"/>
        <v>0</v>
      </c>
      <c r="O126" s="269"/>
      <c r="P126" s="290"/>
      <c r="Q126" s="142"/>
    </row>
    <row r="127" spans="1:22" ht="15.6" thickTop="1" thickBot="1">
      <c r="A127" s="73"/>
      <c r="B127" s="380"/>
      <c r="C127" s="143"/>
      <c r="D127" s="266"/>
      <c r="E127" s="267"/>
      <c r="F127" s="268"/>
      <c r="G127" s="268"/>
      <c r="H127" s="268"/>
      <c r="I127" s="268"/>
      <c r="J127" s="268"/>
      <c r="K127" s="268"/>
      <c r="L127" s="289"/>
      <c r="M127" s="267">
        <f t="shared" si="104"/>
        <v>0</v>
      </c>
      <c r="N127" s="269">
        <f t="shared" si="103"/>
        <v>0</v>
      </c>
      <c r="O127" s="269"/>
      <c r="P127" s="290"/>
      <c r="Q127" s="142"/>
    </row>
    <row r="128" spans="1:22" ht="15.6" thickTop="1" thickBot="1">
      <c r="A128" s="73"/>
      <c r="B128" s="380"/>
      <c r="C128" s="143"/>
      <c r="D128" s="266"/>
      <c r="E128" s="267"/>
      <c r="F128" s="268"/>
      <c r="G128" s="268"/>
      <c r="H128" s="268"/>
      <c r="I128" s="268"/>
      <c r="J128" s="268"/>
      <c r="K128" s="268"/>
      <c r="L128" s="289"/>
      <c r="M128" s="267">
        <f t="shared" si="104"/>
        <v>0</v>
      </c>
      <c r="N128" s="279">
        <f t="shared" si="103"/>
        <v>0</v>
      </c>
      <c r="O128" s="279"/>
      <c r="P128" s="294"/>
      <c r="Q128" s="142"/>
    </row>
    <row r="129" spans="1:20" ht="15.6" thickTop="1" thickBot="1">
      <c r="A129" s="73"/>
      <c r="B129" s="380"/>
      <c r="C129" s="143"/>
      <c r="D129" s="266"/>
      <c r="E129" s="267"/>
      <c r="F129" s="268"/>
      <c r="G129" s="268"/>
      <c r="H129" s="268"/>
      <c r="I129" s="268"/>
      <c r="J129" s="268"/>
      <c r="K129" s="268"/>
      <c r="L129" s="291"/>
      <c r="M129" s="267">
        <f t="shared" si="104"/>
        <v>0</v>
      </c>
      <c r="N129" s="269">
        <f t="shared" si="103"/>
        <v>0</v>
      </c>
      <c r="O129" s="269"/>
      <c r="P129" s="290"/>
      <c r="Q129" s="142"/>
    </row>
    <row r="130" spans="1:20" ht="15.6" thickTop="1" thickBot="1">
      <c r="A130" s="73"/>
      <c r="B130" s="380"/>
      <c r="C130" s="144" t="s">
        <v>69</v>
      </c>
      <c r="D130" s="266">
        <f>SUM(D124:D129)</f>
        <v>0</v>
      </c>
      <c r="E130" s="267">
        <f>SUM(E124:E129)</f>
        <v>0</v>
      </c>
      <c r="F130" s="268">
        <f>SUM(F124:F129)</f>
        <v>0</v>
      </c>
      <c r="G130" s="268">
        <f t="shared" ref="G130" si="105">SUM(G124:G129)</f>
        <v>0</v>
      </c>
      <c r="H130" s="268">
        <f t="shared" ref="H130" si="106">SUM(H124:H129)</f>
        <v>0</v>
      </c>
      <c r="I130" s="268">
        <f t="shared" ref="I130" si="107">SUM(I124:I129)</f>
        <v>0</v>
      </c>
      <c r="J130" s="268">
        <f t="shared" ref="J130" si="108">SUM(J124:J129)</f>
        <v>0</v>
      </c>
      <c r="K130" s="268">
        <f t="shared" ref="K130" si="109">SUM(K124:K129)</f>
        <v>0</v>
      </c>
      <c r="L130" s="273"/>
      <c r="M130" s="267">
        <f>SUM(M124:M129)</f>
        <v>0</v>
      </c>
      <c r="N130" s="269">
        <f>SUM(N124:N129)</f>
        <v>0</v>
      </c>
      <c r="O130" s="269"/>
      <c r="P130" s="290"/>
      <c r="Q130" s="142"/>
      <c r="S130" s="135"/>
    </row>
    <row r="131" spans="1:20" ht="15.6" thickTop="1" thickBot="1">
      <c r="A131" s="73"/>
      <c r="B131" s="380"/>
      <c r="C131" s="124" t="s">
        <v>45</v>
      </c>
      <c r="D131" s="272">
        <f>SUM(D124:D129)</f>
        <v>0</v>
      </c>
      <c r="E131" s="272">
        <f>SUM(E124:E129)</f>
        <v>0</v>
      </c>
      <c r="F131" s="381">
        <f>SUM(F130:K130)</f>
        <v>0</v>
      </c>
      <c r="G131" s="382"/>
      <c r="H131" s="382"/>
      <c r="I131" s="382"/>
      <c r="J131" s="382"/>
      <c r="K131" s="383"/>
      <c r="L131" s="274">
        <f>L130</f>
        <v>0</v>
      </c>
      <c r="M131" s="272">
        <f>SUM(M124:M129)</f>
        <v>0</v>
      </c>
      <c r="N131" s="272">
        <f>SUM(N124:N129)</f>
        <v>0</v>
      </c>
      <c r="O131" s="272">
        <f>SUM(O130)</f>
        <v>0</v>
      </c>
      <c r="P131" s="275">
        <f>SUM(P130)</f>
        <v>0</v>
      </c>
      <c r="Q131" s="125"/>
      <c r="S131" s="134"/>
      <c r="T131" s="145" t="e">
        <f>$V$3+L11+L19+L27+L35+L43+L51+L59+L67+L75+L83+L91+L99+L107+L115+L123+L131</f>
        <v>#REF!</v>
      </c>
    </row>
    <row r="132" spans="1:20" ht="15.6" thickTop="1" thickBot="1">
      <c r="A132" s="73" t="str">
        <f ca="1">OFFSET('0'!$B$112,($A$1-1)*10,$B132-1)</f>
        <v>--</v>
      </c>
      <c r="B132" s="380">
        <f ca="1">OFFSET('0'!$B$111,($A$1-1)*10,16)</f>
        <v>17</v>
      </c>
      <c r="C132" s="137"/>
      <c r="D132" s="156"/>
      <c r="E132" s="67"/>
      <c r="F132" s="157"/>
      <c r="G132" s="157"/>
      <c r="H132" s="157"/>
      <c r="I132" s="157"/>
      <c r="J132" s="157"/>
      <c r="K132" s="157"/>
      <c r="L132" s="153"/>
      <c r="M132" s="67">
        <f>SUM(D132-E132)</f>
        <v>0</v>
      </c>
      <c r="N132" s="58">
        <f t="shared" ref="N132:N137" si="110">SUM(E132,M132)</f>
        <v>0</v>
      </c>
      <c r="O132" s="138"/>
      <c r="P132" s="139"/>
      <c r="Q132" s="140"/>
    </row>
    <row r="133" spans="1:20" ht="15.6" thickTop="1" thickBot="1">
      <c r="A133" s="73"/>
      <c r="B133" s="380"/>
      <c r="C133" s="141"/>
      <c r="D133" s="284"/>
      <c r="E133" s="285"/>
      <c r="F133" s="286"/>
      <c r="G133" s="286"/>
      <c r="H133" s="286"/>
      <c r="I133" s="286"/>
      <c r="J133" s="286"/>
      <c r="K133" s="286"/>
      <c r="L133" s="295"/>
      <c r="M133" s="267">
        <f>SUM(D133-E133)</f>
        <v>0</v>
      </c>
      <c r="N133" s="269">
        <f t="shared" si="110"/>
        <v>0</v>
      </c>
      <c r="O133" s="269"/>
      <c r="P133" s="294"/>
      <c r="Q133" s="147"/>
    </row>
    <row r="134" spans="1:20" ht="15.6" thickTop="1" thickBot="1">
      <c r="A134" s="73"/>
      <c r="B134" s="380"/>
      <c r="C134" s="141"/>
      <c r="D134" s="266"/>
      <c r="E134" s="267"/>
      <c r="F134" s="268"/>
      <c r="G134" s="268"/>
      <c r="H134" s="268"/>
      <c r="I134" s="268"/>
      <c r="J134" s="268"/>
      <c r="K134" s="268"/>
      <c r="L134" s="289"/>
      <c r="M134" s="267">
        <f t="shared" ref="M134:M137" si="111">SUM(D134-E134)</f>
        <v>0</v>
      </c>
      <c r="N134" s="269">
        <f t="shared" si="110"/>
        <v>0</v>
      </c>
      <c r="O134" s="269"/>
      <c r="P134" s="290"/>
      <c r="Q134" s="142"/>
    </row>
    <row r="135" spans="1:20" ht="15.6" thickTop="1" thickBot="1">
      <c r="A135" s="73"/>
      <c r="B135" s="380"/>
      <c r="C135" s="143"/>
      <c r="D135" s="266"/>
      <c r="E135" s="267"/>
      <c r="F135" s="268"/>
      <c r="G135" s="268"/>
      <c r="H135" s="268"/>
      <c r="I135" s="268"/>
      <c r="J135" s="268"/>
      <c r="K135" s="268"/>
      <c r="L135" s="289"/>
      <c r="M135" s="267">
        <f t="shared" si="111"/>
        <v>0</v>
      </c>
      <c r="N135" s="269">
        <f t="shared" si="110"/>
        <v>0</v>
      </c>
      <c r="O135" s="269"/>
      <c r="P135" s="290"/>
      <c r="Q135" s="142"/>
    </row>
    <row r="136" spans="1:20" ht="15.6" thickTop="1" thickBot="1">
      <c r="A136" s="73"/>
      <c r="B136" s="380"/>
      <c r="C136" s="143"/>
      <c r="D136" s="266"/>
      <c r="E136" s="267"/>
      <c r="F136" s="268"/>
      <c r="G136" s="268"/>
      <c r="H136" s="268"/>
      <c r="I136" s="268"/>
      <c r="J136" s="268"/>
      <c r="K136" s="268"/>
      <c r="L136" s="289"/>
      <c r="M136" s="267">
        <f t="shared" si="111"/>
        <v>0</v>
      </c>
      <c r="N136" s="269">
        <f t="shared" si="110"/>
        <v>0</v>
      </c>
      <c r="O136" s="269"/>
      <c r="P136" s="290"/>
      <c r="Q136" s="142"/>
    </row>
    <row r="137" spans="1:20" ht="15.6" thickTop="1" thickBot="1">
      <c r="A137" s="73"/>
      <c r="B137" s="380"/>
      <c r="C137" s="143"/>
      <c r="D137" s="276"/>
      <c r="E137" s="277"/>
      <c r="F137" s="278"/>
      <c r="G137" s="278"/>
      <c r="H137" s="278"/>
      <c r="I137" s="278"/>
      <c r="J137" s="278"/>
      <c r="K137" s="278"/>
      <c r="L137" s="291"/>
      <c r="M137" s="267">
        <f t="shared" si="111"/>
        <v>0</v>
      </c>
      <c r="N137" s="280">
        <f t="shared" si="110"/>
        <v>0</v>
      </c>
      <c r="O137" s="280"/>
      <c r="P137" s="293"/>
      <c r="Q137" s="148"/>
    </row>
    <row r="138" spans="1:20" ht="15.6" thickTop="1" thickBot="1">
      <c r="A138" s="73"/>
      <c r="B138" s="380"/>
      <c r="C138" s="144" t="s">
        <v>69</v>
      </c>
      <c r="D138" s="266">
        <f>SUM(D132:D137)</f>
        <v>0</v>
      </c>
      <c r="E138" s="267">
        <f>SUM(E132:E137)</f>
        <v>0</v>
      </c>
      <c r="F138" s="268">
        <f>SUM(F132:F137)</f>
        <v>0</v>
      </c>
      <c r="G138" s="268">
        <f t="shared" ref="G138" si="112">SUM(G132:G137)</f>
        <v>0</v>
      </c>
      <c r="H138" s="268">
        <f t="shared" ref="H138" si="113">SUM(H132:H137)</f>
        <v>0</v>
      </c>
      <c r="I138" s="268">
        <f t="shared" ref="I138" si="114">SUM(I132:I137)</f>
        <v>0</v>
      </c>
      <c r="J138" s="268">
        <f t="shared" ref="J138" si="115">SUM(J132:J137)</f>
        <v>0</v>
      </c>
      <c r="K138" s="268">
        <f t="shared" ref="K138" si="116">SUM(K132:K137)</f>
        <v>0</v>
      </c>
      <c r="L138" s="273"/>
      <c r="M138" s="267">
        <f>SUM(M132:M137)</f>
        <v>0</v>
      </c>
      <c r="N138" s="280">
        <f>SUM(N132:N137)</f>
        <v>0</v>
      </c>
      <c r="O138" s="280"/>
      <c r="P138" s="293"/>
      <c r="Q138" s="148"/>
    </row>
    <row r="139" spans="1:20" ht="15.6" thickTop="1" thickBot="1">
      <c r="A139" s="73"/>
      <c r="B139" s="380"/>
      <c r="C139" s="124" t="s">
        <v>45</v>
      </c>
      <c r="D139" s="272">
        <f>SUM(D132:D137)</f>
        <v>0</v>
      </c>
      <c r="E139" s="272">
        <f>SUM(E132:E137)</f>
        <v>0</v>
      </c>
      <c r="F139" s="381">
        <f>SUM(F138:K138)</f>
        <v>0</v>
      </c>
      <c r="G139" s="382"/>
      <c r="H139" s="382"/>
      <c r="I139" s="382"/>
      <c r="J139" s="382"/>
      <c r="K139" s="383"/>
      <c r="L139" s="274">
        <f>L138</f>
        <v>0</v>
      </c>
      <c r="M139" s="272">
        <f>SUM(M132:M137)</f>
        <v>0</v>
      </c>
      <c r="N139" s="272">
        <f>SUM(N132:N137)</f>
        <v>0</v>
      </c>
      <c r="O139" s="272">
        <f>SUM(O138)</f>
        <v>0</v>
      </c>
      <c r="P139" s="275">
        <f>SUM(P138)</f>
        <v>0</v>
      </c>
      <c r="Q139" s="125"/>
      <c r="T139" s="145" t="e">
        <f>$V$3+L11+L19+L27+L35+L43+L51+L59+L67+L75+L83+L91+L99+L107+L115+L123+L131+L139</f>
        <v>#REF!</v>
      </c>
    </row>
    <row r="140" spans="1:20" ht="15.6" thickTop="1" thickBot="1">
      <c r="A140" s="73" t="str">
        <f ca="1">OFFSET('0'!$B$112,($A$1-1)*10,$B140-1)</f>
        <v>--</v>
      </c>
      <c r="B140" s="380">
        <f ca="1">OFFSET('0'!$B$111,($A$1-1)*10,17)</f>
        <v>18</v>
      </c>
      <c r="C140" s="137"/>
      <c r="D140" s="156"/>
      <c r="E140" s="67"/>
      <c r="F140" s="157"/>
      <c r="G140" s="157"/>
      <c r="H140" s="157"/>
      <c r="I140" s="157"/>
      <c r="J140" s="157"/>
      <c r="K140" s="157"/>
      <c r="L140" s="153"/>
      <c r="M140" s="67">
        <f>SUM(D140-E140)</f>
        <v>0</v>
      </c>
      <c r="N140" s="58">
        <f t="shared" ref="N140:N145" si="117">SUM(E140,M140)</f>
        <v>0</v>
      </c>
      <c r="O140" s="138"/>
      <c r="P140" s="139"/>
      <c r="Q140" s="140"/>
    </row>
    <row r="141" spans="1:20" ht="15.6" thickTop="1" thickBot="1">
      <c r="A141" s="73"/>
      <c r="B141" s="380"/>
      <c r="C141" s="141"/>
      <c r="D141" s="284"/>
      <c r="E141" s="285"/>
      <c r="F141" s="286"/>
      <c r="G141" s="286"/>
      <c r="H141" s="286"/>
      <c r="I141" s="286"/>
      <c r="J141" s="286"/>
      <c r="K141" s="286"/>
      <c r="L141" s="295"/>
      <c r="M141" s="267">
        <f>SUM(D141-E141)</f>
        <v>0</v>
      </c>
      <c r="N141" s="269">
        <f t="shared" si="117"/>
        <v>0</v>
      </c>
      <c r="O141" s="269"/>
      <c r="P141" s="294"/>
      <c r="Q141" s="147"/>
    </row>
    <row r="142" spans="1:20" ht="15.6" thickTop="1" thickBot="1">
      <c r="A142" s="73"/>
      <c r="B142" s="380"/>
      <c r="C142" s="141"/>
      <c r="D142" s="284"/>
      <c r="E142" s="285"/>
      <c r="F142" s="286"/>
      <c r="G142" s="286"/>
      <c r="H142" s="286"/>
      <c r="I142" s="286"/>
      <c r="J142" s="286"/>
      <c r="K142" s="286"/>
      <c r="L142" s="295"/>
      <c r="M142" s="267">
        <f t="shared" ref="M142:M145" si="118">SUM(D142-E142)</f>
        <v>0</v>
      </c>
      <c r="N142" s="269">
        <f t="shared" si="117"/>
        <v>0</v>
      </c>
      <c r="O142" s="269"/>
      <c r="P142" s="294"/>
      <c r="Q142" s="147"/>
    </row>
    <row r="143" spans="1:20" ht="15.6" thickTop="1" thickBot="1">
      <c r="A143" s="73"/>
      <c r="B143" s="380"/>
      <c r="C143" s="143"/>
      <c r="D143" s="266"/>
      <c r="E143" s="267"/>
      <c r="F143" s="268"/>
      <c r="G143" s="268"/>
      <c r="H143" s="268"/>
      <c r="I143" s="268"/>
      <c r="J143" s="268"/>
      <c r="K143" s="268"/>
      <c r="L143" s="289"/>
      <c r="M143" s="267">
        <f t="shared" si="118"/>
        <v>0</v>
      </c>
      <c r="N143" s="269">
        <f t="shared" si="117"/>
        <v>0</v>
      </c>
      <c r="O143" s="269"/>
      <c r="P143" s="290"/>
      <c r="Q143" s="142"/>
    </row>
    <row r="144" spans="1:20" s="120" customFormat="1" ht="15.6" thickTop="1" thickBot="1">
      <c r="A144" s="74"/>
      <c r="B144" s="380"/>
      <c r="C144" s="143"/>
      <c r="D144" s="266"/>
      <c r="E144" s="267"/>
      <c r="F144" s="268"/>
      <c r="G144" s="268"/>
      <c r="H144" s="268"/>
      <c r="I144" s="268"/>
      <c r="J144" s="268"/>
      <c r="K144" s="268"/>
      <c r="L144" s="289"/>
      <c r="M144" s="267">
        <f t="shared" si="118"/>
        <v>0</v>
      </c>
      <c r="N144" s="269">
        <f t="shared" si="117"/>
        <v>0</v>
      </c>
      <c r="O144" s="269"/>
      <c r="P144" s="290"/>
      <c r="Q144" s="142"/>
    </row>
    <row r="145" spans="1:20" s="120" customFormat="1" ht="15.6" thickTop="1" thickBot="1">
      <c r="A145" s="74"/>
      <c r="B145" s="380"/>
      <c r="C145" s="143"/>
      <c r="D145" s="266"/>
      <c r="E145" s="267"/>
      <c r="F145" s="268"/>
      <c r="G145" s="268"/>
      <c r="H145" s="268"/>
      <c r="I145" s="268"/>
      <c r="J145" s="268"/>
      <c r="K145" s="268"/>
      <c r="L145" s="291"/>
      <c r="M145" s="267">
        <f t="shared" si="118"/>
        <v>0</v>
      </c>
      <c r="N145" s="269">
        <f t="shared" si="117"/>
        <v>0</v>
      </c>
      <c r="O145" s="269"/>
      <c r="P145" s="290"/>
      <c r="Q145" s="142"/>
    </row>
    <row r="146" spans="1:20" ht="15.6" thickTop="1" thickBot="1">
      <c r="A146" s="73"/>
      <c r="B146" s="380"/>
      <c r="C146" s="144" t="s">
        <v>69</v>
      </c>
      <c r="D146" s="266">
        <f>SUM(D140:D145)</f>
        <v>0</v>
      </c>
      <c r="E146" s="267">
        <f>SUM(E140:E145)</f>
        <v>0</v>
      </c>
      <c r="F146" s="268">
        <f>SUM(F140:F145)</f>
        <v>0</v>
      </c>
      <c r="G146" s="268">
        <f t="shared" ref="G146" si="119">SUM(G140:G145)</f>
        <v>0</v>
      </c>
      <c r="H146" s="268">
        <f t="shared" ref="H146" si="120">SUM(H140:H145)</f>
        <v>0</v>
      </c>
      <c r="I146" s="268">
        <f t="shared" ref="I146" si="121">SUM(I140:I145)</f>
        <v>0</v>
      </c>
      <c r="J146" s="268">
        <f t="shared" ref="J146" si="122">SUM(J140:J145)</f>
        <v>0</v>
      </c>
      <c r="K146" s="268">
        <f t="shared" ref="K146" si="123">SUM(K140:K145)</f>
        <v>0</v>
      </c>
      <c r="L146" s="273"/>
      <c r="M146" s="267">
        <f>SUM(M140:M145)</f>
        <v>0</v>
      </c>
      <c r="N146" s="269">
        <f>SUM(N140:N145)</f>
        <v>0</v>
      </c>
      <c r="O146" s="269"/>
      <c r="P146" s="290"/>
      <c r="Q146" s="142"/>
    </row>
    <row r="147" spans="1:20" ht="15.6" thickTop="1" thickBot="1">
      <c r="A147" s="73"/>
      <c r="B147" s="380"/>
      <c r="C147" s="124" t="s">
        <v>45</v>
      </c>
      <c r="D147" s="272">
        <f>SUM(D140:D145)</f>
        <v>0</v>
      </c>
      <c r="E147" s="272">
        <f>SUM(E140:E145)</f>
        <v>0</v>
      </c>
      <c r="F147" s="381">
        <f>SUM(F146:K146)</f>
        <v>0</v>
      </c>
      <c r="G147" s="382"/>
      <c r="H147" s="382"/>
      <c r="I147" s="382"/>
      <c r="J147" s="382"/>
      <c r="K147" s="383"/>
      <c r="L147" s="274">
        <f>L146</f>
        <v>0</v>
      </c>
      <c r="M147" s="272">
        <f>SUM(M140:M145)</f>
        <v>0</v>
      </c>
      <c r="N147" s="272">
        <f>SUM(N140:N145)</f>
        <v>0</v>
      </c>
      <c r="O147" s="272">
        <f>SUM(O146)</f>
        <v>0</v>
      </c>
      <c r="P147" s="275">
        <f>SUM(P146)</f>
        <v>0</v>
      </c>
      <c r="Q147" s="125"/>
      <c r="T147" s="145" t="e">
        <f>$V$3+L11+L19+L27+L35+L43+L51+L59+L67+L75+L83+L91+L99+L107+L115+L123+L131+L139+L147</f>
        <v>#REF!</v>
      </c>
    </row>
    <row r="148" spans="1:20" ht="15.6" thickTop="1" thickBot="1">
      <c r="A148" s="73" t="str">
        <f ca="1">OFFSET('0'!$B$112,($A$1-1)*10,$B148-1)</f>
        <v>SS</v>
      </c>
      <c r="B148" s="380">
        <f ca="1">OFFSET('0'!$B$111,($A$1-1)*10,18)</f>
        <v>19</v>
      </c>
      <c r="C148" s="137"/>
      <c r="D148" s="156"/>
      <c r="E148" s="67"/>
      <c r="F148" s="157"/>
      <c r="G148" s="157"/>
      <c r="H148" s="157"/>
      <c r="I148" s="157"/>
      <c r="J148" s="157"/>
      <c r="K148" s="157"/>
      <c r="L148" s="153"/>
      <c r="M148" s="67">
        <f>SUM(D148-E148)</f>
        <v>0</v>
      </c>
      <c r="N148" s="58">
        <f t="shared" ref="N148:N153" si="124">SUM(E148,M148)</f>
        <v>0</v>
      </c>
      <c r="O148" s="138"/>
      <c r="P148" s="152"/>
      <c r="Q148" s="140"/>
    </row>
    <row r="149" spans="1:20" s="120" customFormat="1" ht="15.6" thickTop="1" thickBot="1">
      <c r="A149" s="74"/>
      <c r="B149" s="380"/>
      <c r="C149" s="141"/>
      <c r="D149" s="284"/>
      <c r="E149" s="285"/>
      <c r="F149" s="286"/>
      <c r="G149" s="286"/>
      <c r="H149" s="286"/>
      <c r="I149" s="286"/>
      <c r="J149" s="286"/>
      <c r="K149" s="286"/>
      <c r="L149" s="295"/>
      <c r="M149" s="267">
        <f>SUM(D149-E149)</f>
        <v>0</v>
      </c>
      <c r="N149" s="269">
        <f t="shared" si="124"/>
        <v>0</v>
      </c>
      <c r="O149" s="269"/>
      <c r="P149" s="296"/>
      <c r="Q149" s="147"/>
    </row>
    <row r="150" spans="1:20" ht="15.6" thickTop="1" thickBot="1">
      <c r="A150" s="73"/>
      <c r="B150" s="380"/>
      <c r="C150" s="141"/>
      <c r="D150" s="284"/>
      <c r="E150" s="285"/>
      <c r="F150" s="286"/>
      <c r="G150" s="286"/>
      <c r="H150" s="286"/>
      <c r="I150" s="286"/>
      <c r="J150" s="286"/>
      <c r="K150" s="286"/>
      <c r="L150" s="295"/>
      <c r="M150" s="267">
        <f t="shared" ref="M150:M153" si="125">SUM(D150-E150)</f>
        <v>0</v>
      </c>
      <c r="N150" s="269">
        <f t="shared" si="124"/>
        <v>0</v>
      </c>
      <c r="O150" s="269"/>
      <c r="P150" s="294"/>
      <c r="Q150" s="147"/>
    </row>
    <row r="151" spans="1:20" ht="15.6" thickTop="1" thickBot="1">
      <c r="A151" s="73"/>
      <c r="B151" s="380"/>
      <c r="C151" s="143"/>
      <c r="D151" s="266"/>
      <c r="E151" s="267"/>
      <c r="F151" s="268"/>
      <c r="G151" s="268"/>
      <c r="H151" s="268"/>
      <c r="I151" s="268"/>
      <c r="J151" s="268"/>
      <c r="K151" s="268"/>
      <c r="L151" s="289"/>
      <c r="M151" s="267">
        <f t="shared" si="125"/>
        <v>0</v>
      </c>
      <c r="N151" s="269">
        <f t="shared" si="124"/>
        <v>0</v>
      </c>
      <c r="O151" s="269"/>
      <c r="P151" s="290"/>
      <c r="Q151" s="142"/>
    </row>
    <row r="152" spans="1:20" ht="15.6" thickTop="1" thickBot="1">
      <c r="A152" s="73"/>
      <c r="B152" s="380"/>
      <c r="C152" s="143"/>
      <c r="D152" s="266"/>
      <c r="E152" s="267"/>
      <c r="F152" s="268"/>
      <c r="G152" s="268"/>
      <c r="H152" s="268"/>
      <c r="I152" s="268"/>
      <c r="J152" s="268"/>
      <c r="K152" s="268"/>
      <c r="L152" s="289"/>
      <c r="M152" s="267">
        <f t="shared" si="125"/>
        <v>0</v>
      </c>
      <c r="N152" s="269">
        <f t="shared" si="124"/>
        <v>0</v>
      </c>
      <c r="O152" s="269"/>
      <c r="P152" s="290"/>
      <c r="Q152" s="142"/>
    </row>
    <row r="153" spans="1:20" ht="15.6" thickTop="1" thickBot="1">
      <c r="A153" s="73"/>
      <c r="B153" s="380"/>
      <c r="C153" s="143"/>
      <c r="D153" s="266"/>
      <c r="E153" s="267"/>
      <c r="F153" s="268"/>
      <c r="G153" s="268"/>
      <c r="H153" s="268"/>
      <c r="I153" s="268"/>
      <c r="J153" s="268"/>
      <c r="K153" s="268"/>
      <c r="L153" s="291"/>
      <c r="M153" s="267">
        <f t="shared" si="125"/>
        <v>0</v>
      </c>
      <c r="N153" s="269">
        <f t="shared" si="124"/>
        <v>0</v>
      </c>
      <c r="O153" s="269"/>
      <c r="P153" s="290"/>
      <c r="Q153" s="142"/>
    </row>
    <row r="154" spans="1:20" ht="15.6" thickTop="1" thickBot="1">
      <c r="A154" s="73"/>
      <c r="B154" s="380"/>
      <c r="C154" s="144" t="s">
        <v>69</v>
      </c>
      <c r="D154" s="266">
        <f>SUM(D148:D153)</f>
        <v>0</v>
      </c>
      <c r="E154" s="267">
        <f>SUM(E148:E153)</f>
        <v>0</v>
      </c>
      <c r="F154" s="268">
        <f>SUM(F148:F153)</f>
        <v>0</v>
      </c>
      <c r="G154" s="268">
        <f t="shared" ref="G154" si="126">SUM(G148:G153)</f>
        <v>0</v>
      </c>
      <c r="H154" s="268">
        <f t="shared" ref="H154" si="127">SUM(H148:H153)</f>
        <v>0</v>
      </c>
      <c r="I154" s="268">
        <f t="shared" ref="I154" si="128">SUM(I148:I153)</f>
        <v>0</v>
      </c>
      <c r="J154" s="268">
        <f t="shared" ref="J154" si="129">SUM(J148:J153)</f>
        <v>0</v>
      </c>
      <c r="K154" s="268">
        <f t="shared" ref="K154" si="130">SUM(K148:K153)</f>
        <v>0</v>
      </c>
      <c r="L154" s="273"/>
      <c r="M154" s="267">
        <f>SUM(M148:M153)</f>
        <v>0</v>
      </c>
      <c r="N154" s="269">
        <f>SUM(N148:N153)</f>
        <v>0</v>
      </c>
      <c r="O154" s="269"/>
      <c r="P154" s="290"/>
      <c r="Q154" s="142"/>
    </row>
    <row r="155" spans="1:20" ht="15.6" thickTop="1" thickBot="1">
      <c r="A155" s="73"/>
      <c r="B155" s="380"/>
      <c r="C155" s="124" t="s">
        <v>45</v>
      </c>
      <c r="D155" s="272">
        <f>SUM(D148:D153)</f>
        <v>0</v>
      </c>
      <c r="E155" s="272">
        <f>SUM(E148:E153)</f>
        <v>0</v>
      </c>
      <c r="F155" s="381">
        <f>SUM(F154:K154)</f>
        <v>0</v>
      </c>
      <c r="G155" s="382"/>
      <c r="H155" s="382"/>
      <c r="I155" s="382"/>
      <c r="J155" s="382"/>
      <c r="K155" s="383"/>
      <c r="L155" s="274">
        <f>L154</f>
        <v>0</v>
      </c>
      <c r="M155" s="272">
        <f>SUM(M148:M153)</f>
        <v>0</v>
      </c>
      <c r="N155" s="272">
        <f>SUM(N148:N153)</f>
        <v>0</v>
      </c>
      <c r="O155" s="272">
        <f>SUM(O154)</f>
        <v>0</v>
      </c>
      <c r="P155" s="275">
        <f>SUM(P154)</f>
        <v>0</v>
      </c>
      <c r="Q155" s="125"/>
      <c r="T155" s="145" t="e">
        <f>$V$3+L11+L19+L27+L35+L43+L51+L59+L67+L75+L83+L91+L99+L107+L115+L123+L131+L139+L147+L155</f>
        <v>#REF!</v>
      </c>
    </row>
    <row r="156" spans="1:20" ht="15.6" thickTop="1" thickBot="1">
      <c r="A156" s="73" t="str">
        <f ca="1">OFFSET('0'!$B$112,($A$1-1)*10,$B156-1)</f>
        <v>SV</v>
      </c>
      <c r="B156" s="380">
        <f ca="1">OFFSET('0'!$B$111,($A$1-1)*10,19)</f>
        <v>20</v>
      </c>
      <c r="C156" s="137"/>
      <c r="D156" s="156"/>
      <c r="E156" s="67"/>
      <c r="F156" s="157"/>
      <c r="G156" s="157"/>
      <c r="H156" s="157"/>
      <c r="I156" s="157"/>
      <c r="J156" s="157"/>
      <c r="K156" s="157"/>
      <c r="L156" s="153"/>
      <c r="M156" s="67">
        <f>SUM(D156-E156)</f>
        <v>0</v>
      </c>
      <c r="N156" s="58">
        <f t="shared" ref="N156:N161" si="131">SUM(E156,M156)</f>
        <v>0</v>
      </c>
      <c r="O156" s="138"/>
      <c r="P156" s="152"/>
      <c r="Q156" s="140"/>
    </row>
    <row r="157" spans="1:20" ht="15.6" thickTop="1" thickBot="1">
      <c r="A157" s="73"/>
      <c r="B157" s="380"/>
      <c r="C157" s="141"/>
      <c r="D157" s="284"/>
      <c r="E157" s="285"/>
      <c r="F157" s="286"/>
      <c r="G157" s="286"/>
      <c r="H157" s="286"/>
      <c r="I157" s="286"/>
      <c r="J157" s="286"/>
      <c r="K157" s="286"/>
      <c r="L157" s="295"/>
      <c r="M157" s="267">
        <f>SUM(D157-E157)</f>
        <v>0</v>
      </c>
      <c r="N157" s="269">
        <f t="shared" si="131"/>
        <v>0</v>
      </c>
      <c r="O157" s="269"/>
      <c r="P157" s="296"/>
      <c r="Q157" s="147"/>
    </row>
    <row r="158" spans="1:20" s="120" customFormat="1" ht="15.6" thickTop="1" thickBot="1">
      <c r="A158" s="74"/>
      <c r="B158" s="380"/>
      <c r="C158" s="141"/>
      <c r="D158" s="284"/>
      <c r="E158" s="285"/>
      <c r="F158" s="286"/>
      <c r="G158" s="286"/>
      <c r="H158" s="286"/>
      <c r="I158" s="286"/>
      <c r="J158" s="286"/>
      <c r="K158" s="286"/>
      <c r="L158" s="295"/>
      <c r="M158" s="267">
        <f t="shared" ref="M158:M161" si="132">SUM(D158-E158)</f>
        <v>0</v>
      </c>
      <c r="N158" s="269">
        <f t="shared" si="131"/>
        <v>0</v>
      </c>
      <c r="O158" s="269"/>
      <c r="P158" s="296"/>
      <c r="Q158" s="147"/>
    </row>
    <row r="159" spans="1:20" ht="15.6" thickTop="1" thickBot="1">
      <c r="A159" s="73"/>
      <c r="B159" s="380"/>
      <c r="C159" s="143"/>
      <c r="D159" s="266"/>
      <c r="E159" s="267"/>
      <c r="F159" s="268"/>
      <c r="G159" s="268"/>
      <c r="H159" s="268"/>
      <c r="I159" s="268"/>
      <c r="J159" s="268"/>
      <c r="K159" s="268"/>
      <c r="L159" s="289"/>
      <c r="M159" s="267">
        <f t="shared" si="132"/>
        <v>0</v>
      </c>
      <c r="N159" s="269">
        <f t="shared" si="131"/>
        <v>0</v>
      </c>
      <c r="O159" s="269"/>
      <c r="P159" s="296"/>
      <c r="Q159" s="142"/>
    </row>
    <row r="160" spans="1:20" ht="15.6" thickTop="1" thickBot="1">
      <c r="A160" s="73"/>
      <c r="B160" s="380"/>
      <c r="C160" s="143"/>
      <c r="D160" s="266"/>
      <c r="E160" s="267"/>
      <c r="F160" s="268"/>
      <c r="G160" s="268"/>
      <c r="H160" s="268"/>
      <c r="I160" s="268"/>
      <c r="J160" s="268"/>
      <c r="K160" s="268"/>
      <c r="L160" s="289"/>
      <c r="M160" s="267">
        <f t="shared" si="132"/>
        <v>0</v>
      </c>
      <c r="N160" s="269">
        <f t="shared" si="131"/>
        <v>0</v>
      </c>
      <c r="O160" s="269"/>
      <c r="P160" s="290"/>
      <c r="Q160" s="142"/>
    </row>
    <row r="161" spans="1:20" ht="15.6" thickTop="1" thickBot="1">
      <c r="A161" s="73"/>
      <c r="B161" s="380"/>
      <c r="C161" s="143"/>
      <c r="D161" s="266"/>
      <c r="E161" s="267"/>
      <c r="F161" s="268"/>
      <c r="G161" s="268"/>
      <c r="H161" s="268"/>
      <c r="I161" s="268"/>
      <c r="J161" s="268"/>
      <c r="K161" s="268"/>
      <c r="L161" s="291"/>
      <c r="M161" s="267">
        <f t="shared" si="132"/>
        <v>0</v>
      </c>
      <c r="N161" s="269">
        <f t="shared" si="131"/>
        <v>0</v>
      </c>
      <c r="O161" s="269"/>
      <c r="P161" s="290"/>
      <c r="Q161" s="142"/>
    </row>
    <row r="162" spans="1:20" ht="15.6" thickTop="1" thickBot="1">
      <c r="A162" s="73"/>
      <c r="B162" s="380"/>
      <c r="C162" s="144" t="s">
        <v>69</v>
      </c>
      <c r="D162" s="266">
        <f>SUM(D156:D161)</f>
        <v>0</v>
      </c>
      <c r="E162" s="267">
        <f>SUM(E156:E161)</f>
        <v>0</v>
      </c>
      <c r="F162" s="268">
        <f>SUM(F156:F161)</f>
        <v>0</v>
      </c>
      <c r="G162" s="268">
        <f t="shared" ref="G162" si="133">SUM(G156:G161)</f>
        <v>0</v>
      </c>
      <c r="H162" s="268">
        <f t="shared" ref="H162" si="134">SUM(H156:H161)</f>
        <v>0</v>
      </c>
      <c r="I162" s="268">
        <f t="shared" ref="I162" si="135">SUM(I156:I161)</f>
        <v>0</v>
      </c>
      <c r="J162" s="268">
        <f t="shared" ref="J162" si="136">SUM(J156:J161)</f>
        <v>0</v>
      </c>
      <c r="K162" s="268">
        <f t="shared" ref="K162" si="137">SUM(K156:K161)</f>
        <v>0</v>
      </c>
      <c r="L162" s="273"/>
      <c r="M162" s="267">
        <f>SUM(M156:M161)</f>
        <v>0</v>
      </c>
      <c r="N162" s="269">
        <f>SUM(N156:N161)</f>
        <v>0</v>
      </c>
      <c r="O162" s="269"/>
      <c r="P162" s="290"/>
      <c r="Q162" s="142"/>
    </row>
    <row r="163" spans="1:20" ht="15.6" thickTop="1" thickBot="1">
      <c r="A163" s="73"/>
      <c r="B163" s="380"/>
      <c r="C163" s="124" t="s">
        <v>45</v>
      </c>
      <c r="D163" s="272">
        <f>SUM(D156:D161)</f>
        <v>0</v>
      </c>
      <c r="E163" s="272">
        <f>SUM(E156:E161)</f>
        <v>0</v>
      </c>
      <c r="F163" s="381">
        <f>SUM(F162:K162)</f>
        <v>0</v>
      </c>
      <c r="G163" s="382"/>
      <c r="H163" s="382"/>
      <c r="I163" s="382"/>
      <c r="J163" s="382"/>
      <c r="K163" s="383"/>
      <c r="L163" s="274">
        <f>L162</f>
        <v>0</v>
      </c>
      <c r="M163" s="272">
        <f>SUM(M156:M161)</f>
        <v>0</v>
      </c>
      <c r="N163" s="272">
        <f>SUM(N156:N161)</f>
        <v>0</v>
      </c>
      <c r="O163" s="272">
        <f>SUM(O162)</f>
        <v>0</v>
      </c>
      <c r="P163" s="275">
        <f>SUM(P162)</f>
        <v>0</v>
      </c>
      <c r="Q163" s="125"/>
      <c r="T163" s="145" t="e">
        <f>$V$3+L11+L19+L27+L35+L43+L51+L59+L67+L75+L83+L91+L99+L107+L115+L123+L131+L139+L147+L155+L163</f>
        <v>#REF!</v>
      </c>
    </row>
    <row r="164" spans="1:20" ht="15.6" thickTop="1" thickBot="1">
      <c r="A164" s="73" t="str">
        <f ca="1">OFFSET('0'!$B$112,($A$1-1)*10,$B164-1)</f>
        <v>--</v>
      </c>
      <c r="B164" s="380">
        <f ca="1">OFFSET('0'!$B$111,($A$1-1)*10,20)</f>
        <v>21</v>
      </c>
      <c r="C164" s="137"/>
      <c r="D164" s="156"/>
      <c r="E164" s="67"/>
      <c r="F164" s="157"/>
      <c r="G164" s="157"/>
      <c r="H164" s="157"/>
      <c r="I164" s="157"/>
      <c r="J164" s="157"/>
      <c r="K164" s="157"/>
      <c r="L164" s="153"/>
      <c r="M164" s="67">
        <f>SUM(D164-E164)</f>
        <v>0</v>
      </c>
      <c r="N164" s="58">
        <f t="shared" ref="N164:N169" si="138">SUM(E164,M164)</f>
        <v>0</v>
      </c>
      <c r="O164" s="138"/>
      <c r="P164" s="152"/>
      <c r="Q164" s="140"/>
    </row>
    <row r="165" spans="1:20" ht="15.6" thickTop="1" thickBot="1">
      <c r="A165" s="73"/>
      <c r="B165" s="380"/>
      <c r="C165" s="141"/>
      <c r="D165" s="284"/>
      <c r="E165" s="285"/>
      <c r="F165" s="286"/>
      <c r="G165" s="286"/>
      <c r="H165" s="286"/>
      <c r="I165" s="286"/>
      <c r="J165" s="286"/>
      <c r="K165" s="286"/>
      <c r="L165" s="295"/>
      <c r="M165" s="267">
        <f>SUM(D165-E165)</f>
        <v>0</v>
      </c>
      <c r="N165" s="269">
        <f t="shared" si="138"/>
        <v>0</v>
      </c>
      <c r="O165" s="269"/>
      <c r="P165" s="296"/>
      <c r="Q165" s="147"/>
    </row>
    <row r="166" spans="1:20" s="120" customFormat="1" ht="15.6" thickTop="1" thickBot="1">
      <c r="A166" s="74"/>
      <c r="B166" s="380"/>
      <c r="C166" s="141"/>
      <c r="D166" s="284"/>
      <c r="E166" s="285"/>
      <c r="F166" s="286"/>
      <c r="G166" s="286"/>
      <c r="H166" s="286"/>
      <c r="I166" s="286"/>
      <c r="J166" s="286"/>
      <c r="K166" s="286"/>
      <c r="L166" s="295"/>
      <c r="M166" s="267">
        <f t="shared" ref="M166:M169" si="139">SUM(D166-E166)</f>
        <v>0</v>
      </c>
      <c r="N166" s="269">
        <f t="shared" si="138"/>
        <v>0</v>
      </c>
      <c r="O166" s="269"/>
      <c r="P166" s="294"/>
      <c r="Q166" s="147"/>
    </row>
    <row r="167" spans="1:20" ht="15.6" thickTop="1" thickBot="1">
      <c r="A167" s="73"/>
      <c r="B167" s="380"/>
      <c r="C167" s="143"/>
      <c r="D167" s="266"/>
      <c r="E167" s="267"/>
      <c r="F167" s="268"/>
      <c r="G167" s="268"/>
      <c r="H167" s="268"/>
      <c r="I167" s="268"/>
      <c r="J167" s="268"/>
      <c r="K167" s="268"/>
      <c r="L167" s="289"/>
      <c r="M167" s="267">
        <f t="shared" si="139"/>
        <v>0</v>
      </c>
      <c r="N167" s="269">
        <f t="shared" si="138"/>
        <v>0</v>
      </c>
      <c r="O167" s="269"/>
      <c r="P167" s="290"/>
      <c r="Q167" s="142"/>
    </row>
    <row r="168" spans="1:20" ht="15.6" thickTop="1" thickBot="1">
      <c r="A168" s="73"/>
      <c r="B168" s="380"/>
      <c r="C168" s="143"/>
      <c r="D168" s="266"/>
      <c r="E168" s="267"/>
      <c r="F168" s="268"/>
      <c r="G168" s="268"/>
      <c r="H168" s="268"/>
      <c r="I168" s="268"/>
      <c r="J168" s="268"/>
      <c r="K168" s="268"/>
      <c r="L168" s="289"/>
      <c r="M168" s="267">
        <f t="shared" si="139"/>
        <v>0</v>
      </c>
      <c r="N168" s="269">
        <f t="shared" si="138"/>
        <v>0</v>
      </c>
      <c r="O168" s="269"/>
      <c r="P168" s="290"/>
      <c r="Q168" s="142"/>
    </row>
    <row r="169" spans="1:20" ht="15.6" thickTop="1" thickBot="1">
      <c r="A169" s="73"/>
      <c r="B169" s="380"/>
      <c r="C169" s="143"/>
      <c r="D169" s="266"/>
      <c r="E169" s="267"/>
      <c r="F169" s="268"/>
      <c r="G169" s="268"/>
      <c r="H169" s="268"/>
      <c r="I169" s="268"/>
      <c r="J169" s="268"/>
      <c r="K169" s="268"/>
      <c r="L169" s="291"/>
      <c r="M169" s="267">
        <f t="shared" si="139"/>
        <v>0</v>
      </c>
      <c r="N169" s="269">
        <f t="shared" si="138"/>
        <v>0</v>
      </c>
      <c r="O169" s="269"/>
      <c r="P169" s="290"/>
      <c r="Q169" s="142"/>
    </row>
    <row r="170" spans="1:20" ht="15.6" thickTop="1" thickBot="1">
      <c r="A170" s="73"/>
      <c r="B170" s="380"/>
      <c r="C170" s="144" t="s">
        <v>69</v>
      </c>
      <c r="D170" s="266">
        <f>SUM(D164:D169)</f>
        <v>0</v>
      </c>
      <c r="E170" s="267">
        <f>SUM(E164:E169)</f>
        <v>0</v>
      </c>
      <c r="F170" s="268">
        <f>SUM(F164:F169)</f>
        <v>0</v>
      </c>
      <c r="G170" s="268">
        <f t="shared" ref="G170" si="140">SUM(G164:G169)</f>
        <v>0</v>
      </c>
      <c r="H170" s="268">
        <f t="shared" ref="H170" si="141">SUM(H164:H169)</f>
        <v>0</v>
      </c>
      <c r="I170" s="268">
        <f t="shared" ref="I170" si="142">SUM(I164:I169)</f>
        <v>0</v>
      </c>
      <c r="J170" s="268">
        <f t="shared" ref="J170" si="143">SUM(J164:J169)</f>
        <v>0</v>
      </c>
      <c r="K170" s="268">
        <f t="shared" ref="K170" si="144">SUM(K164:K169)</f>
        <v>0</v>
      </c>
      <c r="L170" s="273"/>
      <c r="M170" s="267">
        <f>SUM(M164:M169)</f>
        <v>0</v>
      </c>
      <c r="N170" s="269">
        <f>SUM(N164:N169)</f>
        <v>0</v>
      </c>
      <c r="O170" s="269"/>
      <c r="P170" s="290"/>
      <c r="Q170" s="142"/>
    </row>
    <row r="171" spans="1:20" ht="15.6" thickTop="1" thickBot="1">
      <c r="A171" s="73"/>
      <c r="B171" s="380"/>
      <c r="C171" s="124" t="s">
        <v>45</v>
      </c>
      <c r="D171" s="272">
        <f>SUM(D164:D169)</f>
        <v>0</v>
      </c>
      <c r="E171" s="272">
        <f>SUM(E164:E169)</f>
        <v>0</v>
      </c>
      <c r="F171" s="381">
        <f>SUM(F170:K170)</f>
        <v>0</v>
      </c>
      <c r="G171" s="382"/>
      <c r="H171" s="382"/>
      <c r="I171" s="382"/>
      <c r="J171" s="382"/>
      <c r="K171" s="383"/>
      <c r="L171" s="274">
        <f>L170</f>
        <v>0</v>
      </c>
      <c r="M171" s="272">
        <f>SUM(M164:M169)</f>
        <v>0</v>
      </c>
      <c r="N171" s="272">
        <f>SUM(N164:N169)</f>
        <v>0</v>
      </c>
      <c r="O171" s="272">
        <f>SUM(O170)</f>
        <v>0</v>
      </c>
      <c r="P171" s="275">
        <f>SUM(P170)</f>
        <v>0</v>
      </c>
      <c r="Q171" s="125"/>
      <c r="T171" s="145" t="e">
        <f>$V$3+L11+L19+L27+L35+L43+L51+L59+L67+L75+L83+L91+L99+L107+L115+L123+L131+L139+L147+L155+L163+L171</f>
        <v>#REF!</v>
      </c>
    </row>
    <row r="172" spans="1:20" ht="15.6" thickTop="1" thickBot="1">
      <c r="A172" s="73" t="str">
        <f ca="1">OFFSET('0'!$B$112,($A$1-1)*10,$B172-1)</f>
        <v>--</v>
      </c>
      <c r="B172" s="380">
        <f ca="1">OFFSET('0'!$B$111,($A$1-1)*10,21)</f>
        <v>22</v>
      </c>
      <c r="C172" s="137"/>
      <c r="D172" s="156"/>
      <c r="E172" s="67"/>
      <c r="F172" s="157"/>
      <c r="G172" s="157"/>
      <c r="H172" s="157"/>
      <c r="I172" s="157"/>
      <c r="J172" s="157"/>
      <c r="K172" s="157"/>
      <c r="L172" s="153"/>
      <c r="M172" s="67">
        <f>SUM(D172-E172)</f>
        <v>0</v>
      </c>
      <c r="N172" s="58">
        <f t="shared" ref="N172:N177" si="145">SUM(E172,M172)</f>
        <v>0</v>
      </c>
      <c r="O172" s="138"/>
      <c r="P172" s="139"/>
      <c r="Q172" s="140"/>
    </row>
    <row r="173" spans="1:20" ht="15.6" thickTop="1" thickBot="1">
      <c r="A173" s="73"/>
      <c r="B173" s="380"/>
      <c r="C173" s="141"/>
      <c r="D173" s="266"/>
      <c r="E173" s="267"/>
      <c r="F173" s="268"/>
      <c r="G173" s="268"/>
      <c r="H173" s="268"/>
      <c r="I173" s="268"/>
      <c r="J173" s="268"/>
      <c r="K173" s="268"/>
      <c r="L173" s="289"/>
      <c r="M173" s="267">
        <f>SUM(D173-E173)</f>
        <v>0</v>
      </c>
      <c r="N173" s="269">
        <f t="shared" si="145"/>
        <v>0</v>
      </c>
      <c r="O173" s="269"/>
      <c r="P173" s="290"/>
      <c r="Q173" s="142"/>
    </row>
    <row r="174" spans="1:20" s="120" customFormat="1" ht="15.6" thickTop="1" thickBot="1">
      <c r="A174" s="74"/>
      <c r="B174" s="380"/>
      <c r="C174" s="141"/>
      <c r="D174" s="266"/>
      <c r="E174" s="267"/>
      <c r="F174" s="268"/>
      <c r="G174" s="268"/>
      <c r="H174" s="268"/>
      <c r="I174" s="268"/>
      <c r="J174" s="268"/>
      <c r="K174" s="268"/>
      <c r="L174" s="289"/>
      <c r="M174" s="267">
        <f t="shared" ref="M174:M177" si="146">SUM(D174-E174)</f>
        <v>0</v>
      </c>
      <c r="N174" s="269">
        <f t="shared" si="145"/>
        <v>0</v>
      </c>
      <c r="O174" s="269"/>
      <c r="P174" s="290"/>
      <c r="Q174" s="142"/>
    </row>
    <row r="175" spans="1:20" ht="15.6" thickTop="1" thickBot="1">
      <c r="A175" s="73"/>
      <c r="B175" s="380"/>
      <c r="C175" s="143"/>
      <c r="D175" s="266"/>
      <c r="E175" s="267"/>
      <c r="F175" s="268"/>
      <c r="G175" s="268"/>
      <c r="H175" s="268"/>
      <c r="I175" s="268"/>
      <c r="J175" s="268"/>
      <c r="K175" s="268"/>
      <c r="L175" s="289"/>
      <c r="M175" s="267">
        <f t="shared" si="146"/>
        <v>0</v>
      </c>
      <c r="N175" s="269">
        <f t="shared" si="145"/>
        <v>0</v>
      </c>
      <c r="O175" s="269"/>
      <c r="P175" s="290"/>
      <c r="Q175" s="142"/>
    </row>
    <row r="176" spans="1:20" ht="15.6" thickTop="1" thickBot="1">
      <c r="A176" s="73"/>
      <c r="B176" s="380"/>
      <c r="C176" s="143"/>
      <c r="D176" s="266"/>
      <c r="E176" s="267"/>
      <c r="F176" s="268"/>
      <c r="G176" s="268"/>
      <c r="H176" s="268"/>
      <c r="I176" s="268"/>
      <c r="J176" s="268"/>
      <c r="K176" s="268"/>
      <c r="L176" s="289"/>
      <c r="M176" s="267">
        <f t="shared" si="146"/>
        <v>0</v>
      </c>
      <c r="N176" s="269">
        <f t="shared" si="145"/>
        <v>0</v>
      </c>
      <c r="O176" s="269"/>
      <c r="P176" s="290"/>
      <c r="Q176" s="142"/>
    </row>
    <row r="177" spans="1:20" ht="15.6" thickTop="1" thickBot="1">
      <c r="A177" s="73"/>
      <c r="B177" s="380"/>
      <c r="C177" s="143"/>
      <c r="D177" s="266"/>
      <c r="E177" s="267"/>
      <c r="F177" s="268"/>
      <c r="G177" s="268"/>
      <c r="H177" s="268"/>
      <c r="I177" s="268"/>
      <c r="J177" s="268"/>
      <c r="K177" s="268"/>
      <c r="L177" s="291"/>
      <c r="M177" s="267">
        <f t="shared" si="146"/>
        <v>0</v>
      </c>
      <c r="N177" s="269">
        <f t="shared" si="145"/>
        <v>0</v>
      </c>
      <c r="O177" s="269"/>
      <c r="P177" s="290"/>
      <c r="Q177" s="142"/>
    </row>
    <row r="178" spans="1:20" ht="15.6" thickTop="1" thickBot="1">
      <c r="A178" s="73"/>
      <c r="B178" s="380"/>
      <c r="C178" s="144" t="s">
        <v>69</v>
      </c>
      <c r="D178" s="266">
        <f>SUM(D172:D177)</f>
        <v>0</v>
      </c>
      <c r="E178" s="267">
        <f>SUM(E172:E177)</f>
        <v>0</v>
      </c>
      <c r="F178" s="268">
        <f>SUM(F172:F177)</f>
        <v>0</v>
      </c>
      <c r="G178" s="268">
        <f t="shared" ref="G178" si="147">SUM(G172:G177)</f>
        <v>0</v>
      </c>
      <c r="H178" s="268">
        <f t="shared" ref="H178" si="148">SUM(H172:H177)</f>
        <v>0</v>
      </c>
      <c r="I178" s="268">
        <f t="shared" ref="I178" si="149">SUM(I172:I177)</f>
        <v>0</v>
      </c>
      <c r="J178" s="268">
        <f t="shared" ref="J178" si="150">SUM(J172:J177)</f>
        <v>0</v>
      </c>
      <c r="K178" s="268">
        <f t="shared" ref="K178" si="151">SUM(K172:K177)</f>
        <v>0</v>
      </c>
      <c r="L178" s="273"/>
      <c r="M178" s="267">
        <f>SUM(M172:M177)</f>
        <v>0</v>
      </c>
      <c r="N178" s="269">
        <f>SUM(N172:N177)</f>
        <v>0</v>
      </c>
      <c r="O178" s="269"/>
      <c r="P178" s="290"/>
      <c r="Q178" s="142"/>
    </row>
    <row r="179" spans="1:20" ht="15.6" thickTop="1" thickBot="1">
      <c r="A179" s="73"/>
      <c r="B179" s="380"/>
      <c r="C179" s="124" t="s">
        <v>45</v>
      </c>
      <c r="D179" s="272">
        <f>SUM(D172:D177)</f>
        <v>0</v>
      </c>
      <c r="E179" s="272">
        <f>SUM(E172:E177)</f>
        <v>0</v>
      </c>
      <c r="F179" s="381">
        <f>SUM(F178:K178)</f>
        <v>0</v>
      </c>
      <c r="G179" s="382"/>
      <c r="H179" s="382"/>
      <c r="I179" s="382"/>
      <c r="J179" s="382"/>
      <c r="K179" s="383"/>
      <c r="L179" s="274">
        <f>L178</f>
        <v>0</v>
      </c>
      <c r="M179" s="272">
        <f>SUM(M172:M177)</f>
        <v>0</v>
      </c>
      <c r="N179" s="272">
        <f>SUM(N172:N177)</f>
        <v>0</v>
      </c>
      <c r="O179" s="272">
        <f>SUM(O178)</f>
        <v>0</v>
      </c>
      <c r="P179" s="275">
        <f>SUM(P178)</f>
        <v>0</v>
      </c>
      <c r="Q179" s="125"/>
      <c r="T179" s="145" t="e">
        <f>$V$3+L11+L19+L27+L35+L43+L51+L59+L67+L75+L83+L91+L99+L107+L115+L123+L131+L139+L147+L155+L163+L171+L179</f>
        <v>#REF!</v>
      </c>
    </row>
    <row r="180" spans="1:20" ht="15.6" thickTop="1" thickBot="1">
      <c r="A180" s="73" t="str">
        <f ca="1">OFFSET('0'!$B$112,($A$1-1)*10,$B180-1)</f>
        <v>--</v>
      </c>
      <c r="B180" s="380">
        <f ca="1">OFFSET('0'!$B$111,($A$1-1)*10,22)</f>
        <v>23</v>
      </c>
      <c r="C180" s="137"/>
      <c r="D180" s="156"/>
      <c r="E180" s="67"/>
      <c r="F180" s="157"/>
      <c r="G180" s="157"/>
      <c r="H180" s="157"/>
      <c r="I180" s="157"/>
      <c r="J180" s="157"/>
      <c r="K180" s="157"/>
      <c r="L180" s="154"/>
      <c r="M180" s="67">
        <f>SUM(D180-E180)</f>
        <v>0</v>
      </c>
      <c r="N180" s="58">
        <f t="shared" ref="N180:N185" si="152">SUM(E180,M180)</f>
        <v>0</v>
      </c>
      <c r="O180" s="138"/>
      <c r="P180" s="152"/>
      <c r="Q180" s="140"/>
    </row>
    <row r="181" spans="1:20" s="120" customFormat="1" ht="15.6" thickTop="1" thickBot="1">
      <c r="A181" s="74"/>
      <c r="B181" s="380"/>
      <c r="C181" s="141"/>
      <c r="D181" s="284"/>
      <c r="E181" s="285"/>
      <c r="F181" s="286"/>
      <c r="G181" s="286"/>
      <c r="H181" s="286"/>
      <c r="I181" s="286"/>
      <c r="J181" s="286"/>
      <c r="K181" s="286"/>
      <c r="L181" s="295"/>
      <c r="M181" s="267">
        <f>SUM(D181-E181)</f>
        <v>0</v>
      </c>
      <c r="N181" s="269">
        <f t="shared" si="152"/>
        <v>0</v>
      </c>
      <c r="O181" s="269"/>
      <c r="P181" s="296"/>
      <c r="Q181" s="147"/>
    </row>
    <row r="182" spans="1:20" ht="15.6" thickTop="1" thickBot="1">
      <c r="A182" s="73"/>
      <c r="B182" s="380"/>
      <c r="C182" s="141"/>
      <c r="D182" s="266"/>
      <c r="E182" s="267"/>
      <c r="F182" s="268"/>
      <c r="G182" s="268"/>
      <c r="H182" s="268"/>
      <c r="I182" s="268"/>
      <c r="J182" s="268"/>
      <c r="K182" s="268"/>
      <c r="L182" s="289"/>
      <c r="M182" s="267">
        <f t="shared" ref="M182:M185" si="153">SUM(D182-E182)</f>
        <v>0</v>
      </c>
      <c r="N182" s="269">
        <f t="shared" si="152"/>
        <v>0</v>
      </c>
      <c r="O182" s="269"/>
      <c r="P182" s="296"/>
      <c r="Q182" s="142"/>
    </row>
    <row r="183" spans="1:20" ht="15.6" thickTop="1" thickBot="1">
      <c r="A183" s="73"/>
      <c r="B183" s="380"/>
      <c r="C183" s="143"/>
      <c r="D183" s="266"/>
      <c r="E183" s="267"/>
      <c r="F183" s="268"/>
      <c r="G183" s="268"/>
      <c r="H183" s="268"/>
      <c r="I183" s="268"/>
      <c r="J183" s="268"/>
      <c r="K183" s="268"/>
      <c r="L183" s="289"/>
      <c r="M183" s="267">
        <f t="shared" si="153"/>
        <v>0</v>
      </c>
      <c r="N183" s="269">
        <f t="shared" si="152"/>
        <v>0</v>
      </c>
      <c r="O183" s="269"/>
      <c r="P183" s="290"/>
      <c r="Q183" s="142"/>
    </row>
    <row r="184" spans="1:20" ht="15.6" thickTop="1" thickBot="1">
      <c r="A184" s="73"/>
      <c r="B184" s="380"/>
      <c r="C184" s="143"/>
      <c r="D184" s="266"/>
      <c r="E184" s="267"/>
      <c r="F184" s="268"/>
      <c r="G184" s="268"/>
      <c r="H184" s="268"/>
      <c r="I184" s="268"/>
      <c r="J184" s="268"/>
      <c r="K184" s="268"/>
      <c r="L184" s="289"/>
      <c r="M184" s="267">
        <f t="shared" si="153"/>
        <v>0</v>
      </c>
      <c r="N184" s="269">
        <f t="shared" si="152"/>
        <v>0</v>
      </c>
      <c r="O184" s="269"/>
      <c r="P184" s="290"/>
      <c r="Q184" s="142"/>
    </row>
    <row r="185" spans="1:20" ht="15.6" thickTop="1" thickBot="1">
      <c r="A185" s="73"/>
      <c r="B185" s="380"/>
      <c r="C185" s="143"/>
      <c r="D185" s="266"/>
      <c r="E185" s="267"/>
      <c r="F185" s="268"/>
      <c r="G185" s="268"/>
      <c r="H185" s="268"/>
      <c r="I185" s="268"/>
      <c r="J185" s="268"/>
      <c r="K185" s="268"/>
      <c r="L185" s="291"/>
      <c r="M185" s="267">
        <f t="shared" si="153"/>
        <v>0</v>
      </c>
      <c r="N185" s="269">
        <f t="shared" si="152"/>
        <v>0</v>
      </c>
      <c r="O185" s="269"/>
      <c r="P185" s="290"/>
      <c r="Q185" s="142"/>
    </row>
    <row r="186" spans="1:20" ht="15.6" thickTop="1" thickBot="1">
      <c r="A186" s="73"/>
      <c r="B186" s="380"/>
      <c r="C186" s="144" t="s">
        <v>69</v>
      </c>
      <c r="D186" s="266">
        <f>SUM(D180:D185)</f>
        <v>0</v>
      </c>
      <c r="E186" s="267">
        <f>SUM(E180:E185)</f>
        <v>0</v>
      </c>
      <c r="F186" s="268">
        <f>SUM(F180:F185)</f>
        <v>0</v>
      </c>
      <c r="G186" s="268">
        <f t="shared" ref="G186" si="154">SUM(G180:G185)</f>
        <v>0</v>
      </c>
      <c r="H186" s="268">
        <f t="shared" ref="H186" si="155">SUM(H180:H185)</f>
        <v>0</v>
      </c>
      <c r="I186" s="268">
        <f t="shared" ref="I186" si="156">SUM(I180:I185)</f>
        <v>0</v>
      </c>
      <c r="J186" s="268">
        <f t="shared" ref="J186" si="157">SUM(J180:J185)</f>
        <v>0</v>
      </c>
      <c r="K186" s="268">
        <f t="shared" ref="K186" si="158">SUM(K180:K185)</f>
        <v>0</v>
      </c>
      <c r="L186" s="273"/>
      <c r="M186" s="267">
        <f>SUM(M180:M185)</f>
        <v>0</v>
      </c>
      <c r="N186" s="269">
        <f>SUM(N180:N185)</f>
        <v>0</v>
      </c>
      <c r="O186" s="269"/>
      <c r="P186" s="290"/>
      <c r="Q186" s="142"/>
    </row>
    <row r="187" spans="1:20" ht="15.6" thickTop="1" thickBot="1">
      <c r="A187" s="73"/>
      <c r="B187" s="380"/>
      <c r="C187" s="124" t="s">
        <v>45</v>
      </c>
      <c r="D187" s="272">
        <f>SUM(D180:D185)</f>
        <v>0</v>
      </c>
      <c r="E187" s="272">
        <f>SUM(E180:E185)</f>
        <v>0</v>
      </c>
      <c r="F187" s="381">
        <f>SUM(F186:K186)</f>
        <v>0</v>
      </c>
      <c r="G187" s="382"/>
      <c r="H187" s="382"/>
      <c r="I187" s="382"/>
      <c r="J187" s="382"/>
      <c r="K187" s="383"/>
      <c r="L187" s="274">
        <f>L186</f>
        <v>0</v>
      </c>
      <c r="M187" s="272">
        <f>SUM(M180:M185)</f>
        <v>0</v>
      </c>
      <c r="N187" s="272">
        <f>SUM(N180:N185)</f>
        <v>0</v>
      </c>
      <c r="O187" s="272">
        <f>SUM(O186)</f>
        <v>0</v>
      </c>
      <c r="P187" s="275">
        <f>SUM(P186)</f>
        <v>0</v>
      </c>
      <c r="Q187" s="125"/>
      <c r="T187" s="145" t="e">
        <f>$V$3+L11+L19+L27+L35+L43+L51+L59+L67+L75+L83+L91+L99+L107+L115+L123+L131+L139+L147+L155+L163+L171+L179+L187</f>
        <v>#REF!</v>
      </c>
    </row>
    <row r="188" spans="1:20" ht="15.6" thickTop="1" thickBot="1">
      <c r="A188" s="73" t="str">
        <f ca="1">OFFSET('0'!$B$112,($A$1-1)*10,$B188-1)</f>
        <v>--</v>
      </c>
      <c r="B188" s="380">
        <f ca="1">OFFSET('0'!$B$111,($A$1-1)*10,23)</f>
        <v>24</v>
      </c>
      <c r="C188" s="137"/>
      <c r="D188" s="156"/>
      <c r="E188" s="67"/>
      <c r="F188" s="157"/>
      <c r="G188" s="157"/>
      <c r="H188" s="157"/>
      <c r="I188" s="157"/>
      <c r="J188" s="157"/>
      <c r="K188" s="157"/>
      <c r="L188" s="153"/>
      <c r="M188" s="67">
        <f>SUM(D188-E188)</f>
        <v>0</v>
      </c>
      <c r="N188" s="58">
        <f t="shared" ref="N188:N193" si="159">SUM(E188,M188)</f>
        <v>0</v>
      </c>
      <c r="O188" s="138"/>
      <c r="P188" s="139"/>
      <c r="Q188" s="140"/>
    </row>
    <row r="189" spans="1:20" ht="15.6" thickTop="1" thickBot="1">
      <c r="A189" s="73"/>
      <c r="B189" s="380"/>
      <c r="C189" s="141"/>
      <c r="D189" s="266"/>
      <c r="E189" s="267"/>
      <c r="F189" s="268"/>
      <c r="G189" s="268"/>
      <c r="H189" s="268"/>
      <c r="I189" s="268"/>
      <c r="J189" s="268"/>
      <c r="K189" s="268"/>
      <c r="L189" s="289"/>
      <c r="M189" s="267">
        <f>SUM(D189-E189)</f>
        <v>0</v>
      </c>
      <c r="N189" s="269">
        <f t="shared" si="159"/>
        <v>0</v>
      </c>
      <c r="O189" s="269"/>
      <c r="P189" s="290"/>
      <c r="Q189" s="142"/>
    </row>
    <row r="190" spans="1:20" s="120" customFormat="1" ht="15.6" thickTop="1" thickBot="1">
      <c r="A190" s="74"/>
      <c r="B190" s="380"/>
      <c r="C190" s="141"/>
      <c r="D190" s="266"/>
      <c r="E190" s="267"/>
      <c r="F190" s="268"/>
      <c r="G190" s="268"/>
      <c r="H190" s="268"/>
      <c r="I190" s="268"/>
      <c r="J190" s="268"/>
      <c r="K190" s="268"/>
      <c r="L190" s="289"/>
      <c r="M190" s="267">
        <f t="shared" ref="M190:M193" si="160">SUM(D190-E190)</f>
        <v>0</v>
      </c>
      <c r="N190" s="269">
        <f t="shared" si="159"/>
        <v>0</v>
      </c>
      <c r="O190" s="269"/>
      <c r="P190" s="290"/>
      <c r="Q190" s="142"/>
    </row>
    <row r="191" spans="1:20" ht="15.6" thickTop="1" thickBot="1">
      <c r="A191" s="73"/>
      <c r="B191" s="380"/>
      <c r="C191" s="143"/>
      <c r="D191" s="266"/>
      <c r="E191" s="267"/>
      <c r="F191" s="268"/>
      <c r="G191" s="268"/>
      <c r="H191" s="268"/>
      <c r="I191" s="268"/>
      <c r="J191" s="268"/>
      <c r="K191" s="268"/>
      <c r="L191" s="289"/>
      <c r="M191" s="267">
        <f t="shared" si="160"/>
        <v>0</v>
      </c>
      <c r="N191" s="269">
        <f t="shared" si="159"/>
        <v>0</v>
      </c>
      <c r="O191" s="269"/>
      <c r="P191" s="290"/>
      <c r="Q191" s="142"/>
    </row>
    <row r="192" spans="1:20" ht="15.6" thickTop="1" thickBot="1">
      <c r="A192" s="73"/>
      <c r="B192" s="380"/>
      <c r="C192" s="143"/>
      <c r="D192" s="266"/>
      <c r="E192" s="267"/>
      <c r="F192" s="268"/>
      <c r="G192" s="268"/>
      <c r="H192" s="268"/>
      <c r="I192" s="268"/>
      <c r="J192" s="268"/>
      <c r="K192" s="268"/>
      <c r="L192" s="289"/>
      <c r="M192" s="267">
        <f t="shared" si="160"/>
        <v>0</v>
      </c>
      <c r="N192" s="269">
        <f t="shared" si="159"/>
        <v>0</v>
      </c>
      <c r="O192" s="269"/>
      <c r="P192" s="290"/>
      <c r="Q192" s="142"/>
    </row>
    <row r="193" spans="1:20" ht="15.6" thickTop="1" thickBot="1">
      <c r="A193" s="73"/>
      <c r="B193" s="380"/>
      <c r="C193" s="143"/>
      <c r="D193" s="266"/>
      <c r="E193" s="267"/>
      <c r="F193" s="268"/>
      <c r="G193" s="268"/>
      <c r="H193" s="268"/>
      <c r="I193" s="268"/>
      <c r="J193" s="268"/>
      <c r="K193" s="268"/>
      <c r="L193" s="291"/>
      <c r="M193" s="267">
        <f t="shared" si="160"/>
        <v>0</v>
      </c>
      <c r="N193" s="269">
        <f t="shared" si="159"/>
        <v>0</v>
      </c>
      <c r="O193" s="269"/>
      <c r="P193" s="290"/>
      <c r="Q193" s="142"/>
    </row>
    <row r="194" spans="1:20" ht="15.6" thickTop="1" thickBot="1">
      <c r="A194" s="73"/>
      <c r="B194" s="380"/>
      <c r="C194" s="144" t="s">
        <v>69</v>
      </c>
      <c r="D194" s="266">
        <f>SUM(D188:D193)</f>
        <v>0</v>
      </c>
      <c r="E194" s="267">
        <f>SUM(E188:E193)</f>
        <v>0</v>
      </c>
      <c r="F194" s="268">
        <f>SUM(F188:F193)</f>
        <v>0</v>
      </c>
      <c r="G194" s="268">
        <f t="shared" ref="G194" si="161">SUM(G188:G193)</f>
        <v>0</v>
      </c>
      <c r="H194" s="268">
        <f t="shared" ref="H194" si="162">SUM(H188:H193)</f>
        <v>0</v>
      </c>
      <c r="I194" s="268">
        <f t="shared" ref="I194" si="163">SUM(I188:I193)</f>
        <v>0</v>
      </c>
      <c r="J194" s="268">
        <f t="shared" ref="J194" si="164">SUM(J188:J193)</f>
        <v>0</v>
      </c>
      <c r="K194" s="268">
        <f t="shared" ref="K194" si="165">SUM(K188:K193)</f>
        <v>0</v>
      </c>
      <c r="L194" s="273"/>
      <c r="M194" s="267">
        <f>SUM(M188:M193)</f>
        <v>0</v>
      </c>
      <c r="N194" s="269">
        <f>SUM(N188:N193)</f>
        <v>0</v>
      </c>
      <c r="O194" s="269"/>
      <c r="P194" s="290"/>
      <c r="Q194" s="142"/>
    </row>
    <row r="195" spans="1:20" ht="15.6" thickTop="1" thickBot="1">
      <c r="A195" s="73"/>
      <c r="B195" s="380"/>
      <c r="C195" s="124" t="s">
        <v>45</v>
      </c>
      <c r="D195" s="272">
        <f>SUM(D188:D193)</f>
        <v>0</v>
      </c>
      <c r="E195" s="272">
        <f>SUM(E188:E193)</f>
        <v>0</v>
      </c>
      <c r="F195" s="381">
        <f>SUM(F194:K194)</f>
        <v>0</v>
      </c>
      <c r="G195" s="382"/>
      <c r="H195" s="382"/>
      <c r="I195" s="382"/>
      <c r="J195" s="382"/>
      <c r="K195" s="383"/>
      <c r="L195" s="274">
        <f>L194</f>
        <v>0</v>
      </c>
      <c r="M195" s="272">
        <f>SUM(M188:M193)</f>
        <v>0</v>
      </c>
      <c r="N195" s="272">
        <f>SUM(N188:N193)</f>
        <v>0</v>
      </c>
      <c r="O195" s="272">
        <f>SUM(O194)</f>
        <v>0</v>
      </c>
      <c r="P195" s="275">
        <f>SUM(P194)</f>
        <v>0</v>
      </c>
      <c r="Q195" s="125"/>
      <c r="T195" s="145" t="e">
        <f>$V$3+L11+L19+L27+L35+L43+L51+L59+L67+L75+L83+L91+L99+L107+L115+L123+L131+L139+L147+L155+L163+L171+L179+L187+L195</f>
        <v>#REF!</v>
      </c>
    </row>
    <row r="196" spans="1:20" ht="15.6" thickTop="1" thickBot="1">
      <c r="A196" s="73" t="str">
        <f ca="1">OFFSET('0'!$B$112,($A$1-1)*10,$B196-1)</f>
        <v>--</v>
      </c>
      <c r="B196" s="380">
        <f ca="1">OFFSET('0'!$B$111,($A$1-1)*10,24)</f>
        <v>25</v>
      </c>
      <c r="C196" s="137"/>
      <c r="D196" s="156"/>
      <c r="E196" s="67"/>
      <c r="F196" s="157"/>
      <c r="G196" s="157"/>
      <c r="H196" s="157"/>
      <c r="I196" s="157"/>
      <c r="J196" s="157"/>
      <c r="K196" s="157"/>
      <c r="L196" s="153"/>
      <c r="M196" s="67">
        <f>SUM(D196-E196)</f>
        <v>0</v>
      </c>
      <c r="N196" s="58">
        <f t="shared" ref="N196:N201" si="166">SUM(E196,M196)</f>
        <v>0</v>
      </c>
      <c r="O196" s="138"/>
      <c r="P196" s="139"/>
      <c r="Q196" s="140"/>
    </row>
    <row r="197" spans="1:20" ht="15.6" thickTop="1" thickBot="1">
      <c r="A197" s="73"/>
      <c r="B197" s="380"/>
      <c r="C197" s="141"/>
      <c r="D197" s="266"/>
      <c r="E197" s="267"/>
      <c r="F197" s="268"/>
      <c r="G197" s="268"/>
      <c r="H197" s="268"/>
      <c r="I197" s="268"/>
      <c r="J197" s="268"/>
      <c r="K197" s="268"/>
      <c r="L197" s="289"/>
      <c r="M197" s="267">
        <f>SUM(D197-E197)</f>
        <v>0</v>
      </c>
      <c r="N197" s="269">
        <f t="shared" si="166"/>
        <v>0</v>
      </c>
      <c r="O197" s="269"/>
      <c r="P197" s="290"/>
      <c r="Q197" s="142"/>
    </row>
    <row r="198" spans="1:20" ht="15.6" thickTop="1" thickBot="1">
      <c r="A198" s="73"/>
      <c r="B198" s="380"/>
      <c r="C198" s="141"/>
      <c r="D198" s="266"/>
      <c r="E198" s="267"/>
      <c r="F198" s="268"/>
      <c r="G198" s="268"/>
      <c r="H198" s="268"/>
      <c r="I198" s="268"/>
      <c r="J198" s="268"/>
      <c r="K198" s="268"/>
      <c r="L198" s="289"/>
      <c r="M198" s="267">
        <f t="shared" ref="M198:M201" si="167">SUM(D198-E198)</f>
        <v>0</v>
      </c>
      <c r="N198" s="269">
        <f t="shared" si="166"/>
        <v>0</v>
      </c>
      <c r="O198" s="269"/>
      <c r="P198" s="290"/>
      <c r="Q198" s="142"/>
    </row>
    <row r="199" spans="1:20" ht="15.6" thickTop="1" thickBot="1">
      <c r="A199" s="73"/>
      <c r="B199" s="380"/>
      <c r="C199" s="143"/>
      <c r="D199" s="266"/>
      <c r="E199" s="267"/>
      <c r="F199" s="268"/>
      <c r="G199" s="268"/>
      <c r="H199" s="268"/>
      <c r="I199" s="268"/>
      <c r="J199" s="268"/>
      <c r="K199" s="270"/>
      <c r="L199" s="289"/>
      <c r="M199" s="267">
        <f t="shared" si="167"/>
        <v>0</v>
      </c>
      <c r="N199" s="269">
        <f t="shared" si="166"/>
        <v>0</v>
      </c>
      <c r="O199" s="269"/>
      <c r="P199" s="290"/>
      <c r="Q199" s="142"/>
    </row>
    <row r="200" spans="1:20" ht="15.6" thickTop="1" thickBot="1">
      <c r="A200" s="73"/>
      <c r="B200" s="380"/>
      <c r="C200" s="143"/>
      <c r="D200" s="266"/>
      <c r="E200" s="267"/>
      <c r="F200" s="268"/>
      <c r="G200" s="268"/>
      <c r="H200" s="268"/>
      <c r="I200" s="268"/>
      <c r="J200" s="268"/>
      <c r="K200" s="270"/>
      <c r="L200" s="289"/>
      <c r="M200" s="267">
        <f t="shared" si="167"/>
        <v>0</v>
      </c>
      <c r="N200" s="269">
        <f t="shared" si="166"/>
        <v>0</v>
      </c>
      <c r="O200" s="269"/>
      <c r="P200" s="290"/>
      <c r="Q200" s="142"/>
    </row>
    <row r="201" spans="1:20" ht="15.6" thickTop="1" thickBot="1">
      <c r="A201" s="73"/>
      <c r="B201" s="380"/>
      <c r="C201" s="143"/>
      <c r="D201" s="266"/>
      <c r="E201" s="267"/>
      <c r="F201" s="268"/>
      <c r="G201" s="268"/>
      <c r="H201" s="268"/>
      <c r="I201" s="268"/>
      <c r="J201" s="268"/>
      <c r="K201" s="270"/>
      <c r="L201" s="291"/>
      <c r="M201" s="267">
        <f t="shared" si="167"/>
        <v>0</v>
      </c>
      <c r="N201" s="279">
        <f t="shared" si="166"/>
        <v>0</v>
      </c>
      <c r="O201" s="279"/>
      <c r="P201" s="294"/>
      <c r="Q201" s="142"/>
    </row>
    <row r="202" spans="1:20" ht="15.6" thickTop="1" thickBot="1">
      <c r="A202" s="73"/>
      <c r="B202" s="380"/>
      <c r="C202" s="136" t="s">
        <v>69</v>
      </c>
      <c r="D202" s="266">
        <f>SUM(D196:D201)</f>
        <v>0</v>
      </c>
      <c r="E202" s="267">
        <f>SUM(E196:E201)</f>
        <v>0</v>
      </c>
      <c r="F202" s="268">
        <f>SUM(F196:F201)</f>
        <v>0</v>
      </c>
      <c r="G202" s="268">
        <f t="shared" ref="G202" si="168">SUM(G196:G201)</f>
        <v>0</v>
      </c>
      <c r="H202" s="268">
        <f t="shared" ref="H202" si="169">SUM(H196:H201)</f>
        <v>0</v>
      </c>
      <c r="I202" s="268">
        <f t="shared" ref="I202" si="170">SUM(I196:I201)</f>
        <v>0</v>
      </c>
      <c r="J202" s="268">
        <f t="shared" ref="J202" si="171">SUM(J196:J201)</f>
        <v>0</v>
      </c>
      <c r="K202" s="268">
        <f t="shared" ref="K202" si="172">SUM(K196:K201)</f>
        <v>0</v>
      </c>
      <c r="L202" s="273"/>
      <c r="M202" s="267">
        <f>SUM(M196:M201)</f>
        <v>0</v>
      </c>
      <c r="N202" s="269">
        <f>SUM(N196:N201)</f>
        <v>0</v>
      </c>
      <c r="O202" s="269"/>
      <c r="P202" s="290"/>
      <c r="Q202" s="142"/>
    </row>
    <row r="203" spans="1:20" ht="15.6" thickTop="1" thickBot="1">
      <c r="A203" s="73"/>
      <c r="B203" s="380"/>
      <c r="C203" s="124" t="s">
        <v>45</v>
      </c>
      <c r="D203" s="272">
        <f>SUM(D196:D201)</f>
        <v>0</v>
      </c>
      <c r="E203" s="272">
        <f>SUM(E196:E201)</f>
        <v>0</v>
      </c>
      <c r="F203" s="381">
        <f>SUM(F202:K202)</f>
        <v>0</v>
      </c>
      <c r="G203" s="382"/>
      <c r="H203" s="382"/>
      <c r="I203" s="382"/>
      <c r="J203" s="382"/>
      <c r="K203" s="383"/>
      <c r="L203" s="274">
        <f>L202</f>
        <v>0</v>
      </c>
      <c r="M203" s="272">
        <f>SUM(M196:M201)</f>
        <v>0</v>
      </c>
      <c r="N203" s="272">
        <f>SUM(N196:N201)</f>
        <v>0</v>
      </c>
      <c r="O203" s="272">
        <f>SUM(O202)</f>
        <v>0</v>
      </c>
      <c r="P203" s="275">
        <f>SUM(P202)</f>
        <v>0</v>
      </c>
      <c r="Q203" s="125"/>
      <c r="T203" s="145" t="e">
        <f>$V$3+L11+L19+L27+L35+L43+L51+L59+L67+L75+L83+L91+L99+L107+L115+L123+L131+L139+L147+L155+L163+L171+L179+L187+L195+L203</f>
        <v>#REF!</v>
      </c>
    </row>
    <row r="204" spans="1:20" ht="15.6" thickTop="1" thickBot="1">
      <c r="A204" s="73" t="str">
        <f ca="1">OFFSET('0'!$B$112,($A$1-1)*10,$B204-1)</f>
        <v>SS</v>
      </c>
      <c r="B204" s="380">
        <f ca="1">OFFSET('0'!$B$111,($A$1-1)*10,25)</f>
        <v>26</v>
      </c>
      <c r="C204" s="137"/>
      <c r="D204" s="156"/>
      <c r="E204" s="67"/>
      <c r="F204" s="157"/>
      <c r="G204" s="157"/>
      <c r="H204" s="157"/>
      <c r="I204" s="157"/>
      <c r="J204" s="157"/>
      <c r="K204" s="157"/>
      <c r="L204" s="153"/>
      <c r="M204" s="67">
        <f>SUM(D204-E204)</f>
        <v>0</v>
      </c>
      <c r="N204" s="123">
        <f t="shared" ref="N204:N209" si="173">SUM(E204,M204)</f>
        <v>0</v>
      </c>
      <c r="O204" s="127"/>
      <c r="P204" s="128"/>
      <c r="Q204" s="140"/>
    </row>
    <row r="205" spans="1:20" s="120" customFormat="1" ht="15.6" thickTop="1" thickBot="1">
      <c r="A205" s="74"/>
      <c r="B205" s="380"/>
      <c r="C205" s="141"/>
      <c r="D205" s="284"/>
      <c r="E205" s="285"/>
      <c r="F205" s="286"/>
      <c r="G205" s="286"/>
      <c r="H205" s="286"/>
      <c r="I205" s="286"/>
      <c r="J205" s="286"/>
      <c r="K205" s="286"/>
      <c r="L205" s="295"/>
      <c r="M205" s="267">
        <f>SUM(D205-E205)</f>
        <v>0</v>
      </c>
      <c r="N205" s="279">
        <f t="shared" si="173"/>
        <v>0</v>
      </c>
      <c r="O205" s="279"/>
      <c r="P205" s="294"/>
      <c r="Q205" s="147"/>
    </row>
    <row r="206" spans="1:20" ht="15.6" thickTop="1" thickBot="1">
      <c r="A206" s="73"/>
      <c r="B206" s="380"/>
      <c r="C206" s="141"/>
      <c r="D206" s="266"/>
      <c r="E206" s="267"/>
      <c r="F206" s="268"/>
      <c r="G206" s="268"/>
      <c r="H206" s="268"/>
      <c r="I206" s="268"/>
      <c r="J206" s="268"/>
      <c r="K206" s="268"/>
      <c r="L206" s="289"/>
      <c r="M206" s="267">
        <f t="shared" ref="M206:M209" si="174">SUM(D206-E206)</f>
        <v>0</v>
      </c>
      <c r="N206" s="269">
        <f t="shared" si="173"/>
        <v>0</v>
      </c>
      <c r="O206" s="269"/>
      <c r="P206" s="290"/>
      <c r="Q206" s="142"/>
    </row>
    <row r="207" spans="1:20" ht="15.6" thickTop="1" thickBot="1">
      <c r="A207" s="73"/>
      <c r="B207" s="380"/>
      <c r="C207" s="143"/>
      <c r="D207" s="266"/>
      <c r="E207" s="267"/>
      <c r="F207" s="268"/>
      <c r="G207" s="268"/>
      <c r="H207" s="268"/>
      <c r="I207" s="268"/>
      <c r="J207" s="268"/>
      <c r="K207" s="268"/>
      <c r="L207" s="289"/>
      <c r="M207" s="267">
        <f t="shared" si="174"/>
        <v>0</v>
      </c>
      <c r="N207" s="269">
        <f t="shared" si="173"/>
        <v>0</v>
      </c>
      <c r="O207" s="269"/>
      <c r="P207" s="290"/>
      <c r="Q207" s="142"/>
    </row>
    <row r="208" spans="1:20" ht="15.6" thickTop="1" thickBot="1">
      <c r="A208" s="73"/>
      <c r="B208" s="380"/>
      <c r="C208" s="143"/>
      <c r="D208" s="266"/>
      <c r="E208" s="267"/>
      <c r="F208" s="268"/>
      <c r="G208" s="268"/>
      <c r="H208" s="268"/>
      <c r="I208" s="268"/>
      <c r="J208" s="268"/>
      <c r="K208" s="268"/>
      <c r="L208" s="289"/>
      <c r="M208" s="267">
        <f t="shared" si="174"/>
        <v>0</v>
      </c>
      <c r="N208" s="269">
        <f t="shared" si="173"/>
        <v>0</v>
      </c>
      <c r="O208" s="269"/>
      <c r="P208" s="290"/>
      <c r="Q208" s="142"/>
    </row>
    <row r="209" spans="1:20" ht="15.6" thickTop="1" thickBot="1">
      <c r="A209" s="73"/>
      <c r="B209" s="380"/>
      <c r="C209" s="143"/>
      <c r="D209" s="266"/>
      <c r="E209" s="267"/>
      <c r="F209" s="268"/>
      <c r="G209" s="268"/>
      <c r="H209" s="268"/>
      <c r="I209" s="268"/>
      <c r="J209" s="268"/>
      <c r="K209" s="270"/>
      <c r="L209" s="297"/>
      <c r="M209" s="267">
        <f t="shared" si="174"/>
        <v>0</v>
      </c>
      <c r="N209" s="269">
        <f t="shared" si="173"/>
        <v>0</v>
      </c>
      <c r="O209" s="269"/>
      <c r="P209" s="290"/>
      <c r="Q209" s="142"/>
    </row>
    <row r="210" spans="1:20" ht="15.6" thickTop="1" thickBot="1">
      <c r="A210" s="73"/>
      <c r="B210" s="380"/>
      <c r="C210" s="136" t="s">
        <v>69</v>
      </c>
      <c r="D210" s="266">
        <f>SUM(D204:D209)</f>
        <v>0</v>
      </c>
      <c r="E210" s="267">
        <f>SUM(E204:E209)</f>
        <v>0</v>
      </c>
      <c r="F210" s="268">
        <f>SUM(F204:F209)</f>
        <v>0</v>
      </c>
      <c r="G210" s="268">
        <f t="shared" ref="G210" si="175">SUM(G204:G209)</f>
        <v>0</v>
      </c>
      <c r="H210" s="268">
        <f t="shared" ref="H210" si="176">SUM(H204:H209)</f>
        <v>0</v>
      </c>
      <c r="I210" s="268">
        <f t="shared" ref="I210" si="177">SUM(I204:I209)</f>
        <v>0</v>
      </c>
      <c r="J210" s="268">
        <f t="shared" ref="J210" si="178">SUM(J204:J209)</f>
        <v>0</v>
      </c>
      <c r="K210" s="268">
        <f t="shared" ref="K210" si="179">SUM(K204:K209)</f>
        <v>0</v>
      </c>
      <c r="L210" s="273"/>
      <c r="M210" s="267">
        <f>SUM(M204:M209)</f>
        <v>0</v>
      </c>
      <c r="N210" s="269">
        <f>SUM(N204:N209)</f>
        <v>0</v>
      </c>
      <c r="O210" s="269"/>
      <c r="P210" s="290"/>
      <c r="Q210" s="142"/>
    </row>
    <row r="211" spans="1:20" ht="15.6" thickTop="1" thickBot="1">
      <c r="A211" s="73"/>
      <c r="B211" s="380"/>
      <c r="C211" s="124" t="s">
        <v>45</v>
      </c>
      <c r="D211" s="272">
        <f>SUM(D204:D209)</f>
        <v>0</v>
      </c>
      <c r="E211" s="272">
        <f>SUM(E204:E209)</f>
        <v>0</v>
      </c>
      <c r="F211" s="381">
        <f>SUM(F210:K210)</f>
        <v>0</v>
      </c>
      <c r="G211" s="382"/>
      <c r="H211" s="382"/>
      <c r="I211" s="382"/>
      <c r="J211" s="382"/>
      <c r="K211" s="383"/>
      <c r="L211" s="274">
        <f>L210</f>
        <v>0</v>
      </c>
      <c r="M211" s="272">
        <f>SUM(M204:M209)</f>
        <v>0</v>
      </c>
      <c r="N211" s="272">
        <f>SUM(N204:N209)</f>
        <v>0</v>
      </c>
      <c r="O211" s="272">
        <f>SUM(O210)</f>
        <v>0</v>
      </c>
      <c r="P211" s="275">
        <f>SUM(P210)</f>
        <v>0</v>
      </c>
      <c r="Q211" s="125"/>
      <c r="T211" s="145" t="e">
        <f>$V$3+L11+L19+L27+L35+L43+L51+L59+L67+L75+L83+L91+L99+L107+L115+L123+L131+L139+L147+L155+L163+L171+L179+L187+L195+L203+L211</f>
        <v>#REF!</v>
      </c>
    </row>
    <row r="212" spans="1:20" ht="15.6" thickTop="1" thickBot="1">
      <c r="A212" s="73" t="str">
        <f ca="1">OFFSET('0'!$B$112,($A$1-1)*10,$B212-1)</f>
        <v>SK</v>
      </c>
      <c r="B212" s="380">
        <f ca="1">OFFSET('0'!$B$111,($A$1-1)*10,26)</f>
        <v>27</v>
      </c>
      <c r="C212" s="137"/>
      <c r="D212" s="156"/>
      <c r="E212" s="67"/>
      <c r="F212" s="157"/>
      <c r="G212" s="157"/>
      <c r="H212" s="157"/>
      <c r="I212" s="157"/>
      <c r="J212" s="157"/>
      <c r="K212" s="157"/>
      <c r="L212" s="153"/>
      <c r="M212" s="67">
        <f>SUM(D212-E212)</f>
        <v>0</v>
      </c>
      <c r="N212" s="123">
        <f t="shared" ref="N212:N217" si="180">SUM(E212,M212)</f>
        <v>0</v>
      </c>
      <c r="O212" s="127"/>
      <c r="P212" s="128"/>
      <c r="Q212" s="140"/>
    </row>
    <row r="213" spans="1:20" ht="15.6" thickTop="1" thickBot="1">
      <c r="A213" s="73"/>
      <c r="B213" s="380"/>
      <c r="C213" s="141"/>
      <c r="D213" s="266"/>
      <c r="E213" s="267"/>
      <c r="F213" s="268"/>
      <c r="G213" s="268"/>
      <c r="H213" s="268"/>
      <c r="I213" s="268"/>
      <c r="J213" s="268"/>
      <c r="K213" s="268"/>
      <c r="L213" s="289"/>
      <c r="M213" s="267">
        <f>SUM(D213-E213)</f>
        <v>0</v>
      </c>
      <c r="N213" s="269">
        <f t="shared" si="180"/>
        <v>0</v>
      </c>
      <c r="O213" s="269"/>
      <c r="P213" s="290"/>
      <c r="Q213" s="142"/>
    </row>
    <row r="214" spans="1:20" s="120" customFormat="1" ht="15.6" thickTop="1" thickBot="1">
      <c r="A214" s="74"/>
      <c r="B214" s="380"/>
      <c r="C214" s="141"/>
      <c r="D214" s="266"/>
      <c r="E214" s="267"/>
      <c r="F214" s="268"/>
      <c r="G214" s="268"/>
      <c r="H214" s="268"/>
      <c r="I214" s="268"/>
      <c r="J214" s="268"/>
      <c r="K214" s="268"/>
      <c r="L214" s="289"/>
      <c r="M214" s="267">
        <f t="shared" ref="M214:M217" si="181">SUM(D214-E214)</f>
        <v>0</v>
      </c>
      <c r="N214" s="269">
        <f t="shared" si="180"/>
        <v>0</v>
      </c>
      <c r="O214" s="269"/>
      <c r="P214" s="290"/>
      <c r="Q214" s="142"/>
    </row>
    <row r="215" spans="1:20" s="120" customFormat="1" ht="15.6" thickTop="1" thickBot="1">
      <c r="A215" s="74"/>
      <c r="B215" s="380"/>
      <c r="C215" s="143"/>
      <c r="D215" s="266"/>
      <c r="E215" s="267"/>
      <c r="F215" s="268"/>
      <c r="G215" s="268"/>
      <c r="H215" s="268"/>
      <c r="I215" s="268"/>
      <c r="J215" s="268"/>
      <c r="K215" s="268"/>
      <c r="L215" s="289"/>
      <c r="M215" s="267">
        <f t="shared" si="181"/>
        <v>0</v>
      </c>
      <c r="N215" s="269">
        <f t="shared" si="180"/>
        <v>0</v>
      </c>
      <c r="O215" s="269"/>
      <c r="P215" s="290"/>
      <c r="Q215" s="142"/>
    </row>
    <row r="216" spans="1:20" ht="15.6" thickTop="1" thickBot="1">
      <c r="A216" s="73"/>
      <c r="B216" s="380"/>
      <c r="C216" s="143"/>
      <c r="D216" s="266"/>
      <c r="E216" s="267"/>
      <c r="F216" s="268"/>
      <c r="G216" s="268"/>
      <c r="H216" s="268"/>
      <c r="I216" s="268"/>
      <c r="J216" s="268"/>
      <c r="K216" s="268"/>
      <c r="L216" s="289"/>
      <c r="M216" s="267">
        <f t="shared" si="181"/>
        <v>0</v>
      </c>
      <c r="N216" s="269">
        <f t="shared" si="180"/>
        <v>0</v>
      </c>
      <c r="O216" s="269"/>
      <c r="P216" s="290"/>
      <c r="Q216" s="142"/>
    </row>
    <row r="217" spans="1:20" ht="15.6" thickTop="1" thickBot="1">
      <c r="A217" s="73"/>
      <c r="B217" s="380"/>
      <c r="C217" s="143"/>
      <c r="D217" s="266"/>
      <c r="E217" s="267"/>
      <c r="F217" s="268"/>
      <c r="G217" s="268"/>
      <c r="H217" s="268"/>
      <c r="I217" s="268"/>
      <c r="J217" s="268"/>
      <c r="K217" s="268"/>
      <c r="L217" s="291"/>
      <c r="M217" s="267">
        <f t="shared" si="181"/>
        <v>0</v>
      </c>
      <c r="N217" s="269">
        <f t="shared" si="180"/>
        <v>0</v>
      </c>
      <c r="O217" s="269"/>
      <c r="P217" s="290"/>
      <c r="Q217" s="142"/>
    </row>
    <row r="218" spans="1:20" ht="15.6" thickTop="1" thickBot="1">
      <c r="A218" s="73"/>
      <c r="B218" s="380"/>
      <c r="C218" s="136" t="s">
        <v>69</v>
      </c>
      <c r="D218" s="266">
        <f>SUM(D212:D217)</f>
        <v>0</v>
      </c>
      <c r="E218" s="267">
        <f>SUM(E212:E217)</f>
        <v>0</v>
      </c>
      <c r="F218" s="268">
        <f>SUM(F212:F217)</f>
        <v>0</v>
      </c>
      <c r="G218" s="268">
        <f t="shared" ref="G218" si="182">SUM(G212:G217)</f>
        <v>0</v>
      </c>
      <c r="H218" s="268">
        <f t="shared" ref="H218" si="183">SUM(H212:H217)</f>
        <v>0</v>
      </c>
      <c r="I218" s="268">
        <f t="shared" ref="I218" si="184">SUM(I212:I217)</f>
        <v>0</v>
      </c>
      <c r="J218" s="268">
        <f t="shared" ref="J218" si="185">SUM(J212:J217)</f>
        <v>0</v>
      </c>
      <c r="K218" s="268">
        <f t="shared" ref="K218" si="186">SUM(K212:K217)</f>
        <v>0</v>
      </c>
      <c r="L218" s="273"/>
      <c r="M218" s="267">
        <f>SUM(M212:M217)</f>
        <v>0</v>
      </c>
      <c r="N218" s="269">
        <f>SUM(N212:N217)</f>
        <v>0</v>
      </c>
      <c r="O218" s="269"/>
      <c r="P218" s="290"/>
      <c r="Q218" s="142"/>
    </row>
    <row r="219" spans="1:20" ht="15.6" thickTop="1" thickBot="1">
      <c r="A219" s="73"/>
      <c r="B219" s="380"/>
      <c r="C219" s="124" t="s">
        <v>45</v>
      </c>
      <c r="D219" s="272">
        <f>SUM(D212:D217)</f>
        <v>0</v>
      </c>
      <c r="E219" s="272">
        <f>SUM(E212:E217)</f>
        <v>0</v>
      </c>
      <c r="F219" s="381">
        <f>SUM(F218:K218)</f>
        <v>0</v>
      </c>
      <c r="G219" s="382"/>
      <c r="H219" s="382"/>
      <c r="I219" s="382"/>
      <c r="J219" s="382"/>
      <c r="K219" s="383"/>
      <c r="L219" s="274">
        <f>L218</f>
        <v>0</v>
      </c>
      <c r="M219" s="272">
        <f>SUM(M212:M217)</f>
        <v>0</v>
      </c>
      <c r="N219" s="272">
        <f>SUM(N212:N217)</f>
        <v>0</v>
      </c>
      <c r="O219" s="272">
        <f>SUM(O218)</f>
        <v>0</v>
      </c>
      <c r="P219" s="275">
        <f>SUM(P218)</f>
        <v>0</v>
      </c>
      <c r="Q219" s="125"/>
      <c r="T219" s="145" t="e">
        <f>$V$3+L11+L19+L27+L35+L43+L51+L59+L67+L75+L83+L91+L99+L107+L115+L123+L131+L139+L147+L155+L163+L171+L179+L187+L195+L203+L211+L219</f>
        <v>#REF!</v>
      </c>
    </row>
    <row r="220" spans="1:20" ht="15.6" thickTop="1" thickBot="1">
      <c r="A220" s="73" t="str">
        <f ca="1">OFFSET('0'!$B$112,($A$1-1)*10,$B220-1)</f>
        <v>--</v>
      </c>
      <c r="B220" s="380">
        <f ca="1">OFFSET('0'!$B$111,($A$1-1)*10,27)</f>
        <v>28</v>
      </c>
      <c r="C220" s="137"/>
      <c r="D220" s="156"/>
      <c r="E220" s="67"/>
      <c r="F220" s="157"/>
      <c r="G220" s="157"/>
      <c r="H220" s="157"/>
      <c r="I220" s="157"/>
      <c r="J220" s="157"/>
      <c r="K220" s="157"/>
      <c r="L220" s="153"/>
      <c r="M220" s="67">
        <f>SUM(D220-E220)</f>
        <v>0</v>
      </c>
      <c r="N220" s="58">
        <f t="shared" ref="N220:N225" si="187">SUM(E220,M220)</f>
        <v>0</v>
      </c>
      <c r="O220" s="138"/>
      <c r="P220" s="152"/>
      <c r="Q220" s="140"/>
    </row>
    <row r="221" spans="1:20" s="120" customFormat="1" ht="15.6" thickTop="1" thickBot="1">
      <c r="A221" s="74"/>
      <c r="B221" s="380"/>
      <c r="C221" s="141"/>
      <c r="D221" s="284"/>
      <c r="E221" s="285"/>
      <c r="F221" s="286"/>
      <c r="G221" s="286"/>
      <c r="H221" s="286"/>
      <c r="I221" s="286"/>
      <c r="J221" s="286"/>
      <c r="K221" s="286"/>
      <c r="L221" s="295"/>
      <c r="M221" s="267">
        <f>SUM(D221-E221)</f>
        <v>0</v>
      </c>
      <c r="N221" s="269">
        <f t="shared" si="187"/>
        <v>0</v>
      </c>
      <c r="O221" s="269"/>
      <c r="P221" s="296"/>
      <c r="Q221" s="147"/>
    </row>
    <row r="222" spans="1:20" ht="15.6" thickTop="1" thickBot="1">
      <c r="A222" s="73"/>
      <c r="B222" s="380"/>
      <c r="C222" s="141"/>
      <c r="D222" s="266"/>
      <c r="E222" s="267"/>
      <c r="F222" s="268"/>
      <c r="G222" s="268"/>
      <c r="H222" s="268"/>
      <c r="I222" s="268"/>
      <c r="J222" s="268"/>
      <c r="K222" s="268"/>
      <c r="L222" s="289"/>
      <c r="M222" s="267">
        <f t="shared" ref="M222:M225" si="188">SUM(D222-E222)</f>
        <v>0</v>
      </c>
      <c r="N222" s="269">
        <f t="shared" si="187"/>
        <v>0</v>
      </c>
      <c r="O222" s="269"/>
      <c r="P222" s="290"/>
      <c r="Q222" s="142"/>
    </row>
    <row r="223" spans="1:20" s="120" customFormat="1" ht="15.6" thickTop="1" thickBot="1">
      <c r="A223" s="74"/>
      <c r="B223" s="380"/>
      <c r="C223" s="143"/>
      <c r="D223" s="266"/>
      <c r="E223" s="267"/>
      <c r="F223" s="268"/>
      <c r="G223" s="268"/>
      <c r="H223" s="268"/>
      <c r="I223" s="268"/>
      <c r="J223" s="268"/>
      <c r="K223" s="268"/>
      <c r="L223" s="289"/>
      <c r="M223" s="267">
        <f t="shared" si="188"/>
        <v>0</v>
      </c>
      <c r="N223" s="269">
        <f t="shared" si="187"/>
        <v>0</v>
      </c>
      <c r="O223" s="269"/>
      <c r="P223" s="290"/>
      <c r="Q223" s="142"/>
    </row>
    <row r="224" spans="1:20" ht="15.6" thickTop="1" thickBot="1">
      <c r="A224" s="73"/>
      <c r="B224" s="380"/>
      <c r="C224" s="143"/>
      <c r="D224" s="266"/>
      <c r="E224" s="267"/>
      <c r="F224" s="268"/>
      <c r="G224" s="268"/>
      <c r="H224" s="268"/>
      <c r="I224" s="268"/>
      <c r="J224" s="268"/>
      <c r="K224" s="268"/>
      <c r="L224" s="289"/>
      <c r="M224" s="267">
        <f t="shared" si="188"/>
        <v>0</v>
      </c>
      <c r="N224" s="269">
        <f t="shared" si="187"/>
        <v>0</v>
      </c>
      <c r="O224" s="269"/>
      <c r="P224" s="290"/>
      <c r="Q224" s="142"/>
    </row>
    <row r="225" spans="1:20" ht="15.6" thickTop="1" thickBot="1">
      <c r="A225" s="73"/>
      <c r="B225" s="380"/>
      <c r="C225" s="143"/>
      <c r="D225" s="266"/>
      <c r="E225" s="267"/>
      <c r="F225" s="268"/>
      <c r="G225" s="268"/>
      <c r="H225" s="268"/>
      <c r="I225" s="268"/>
      <c r="J225" s="268"/>
      <c r="K225" s="268"/>
      <c r="L225" s="291"/>
      <c r="M225" s="267">
        <f t="shared" si="188"/>
        <v>0</v>
      </c>
      <c r="N225" s="279">
        <f t="shared" si="187"/>
        <v>0</v>
      </c>
      <c r="O225" s="279"/>
      <c r="P225" s="294"/>
      <c r="Q225" s="142"/>
    </row>
    <row r="226" spans="1:20" ht="15.6" thickTop="1" thickBot="1">
      <c r="A226" s="73"/>
      <c r="B226" s="380"/>
      <c r="C226" s="136" t="s">
        <v>69</v>
      </c>
      <c r="D226" s="266">
        <f>SUM(D220:D225)</f>
        <v>0</v>
      </c>
      <c r="E226" s="267">
        <f>SUM(E220:E225)</f>
        <v>0</v>
      </c>
      <c r="F226" s="268">
        <f>SUM(F220:F225)</f>
        <v>0</v>
      </c>
      <c r="G226" s="268">
        <f t="shared" ref="G226" si="189">SUM(G220:G225)</f>
        <v>0</v>
      </c>
      <c r="H226" s="268">
        <f t="shared" ref="H226" si="190">SUM(H220:H225)</f>
        <v>0</v>
      </c>
      <c r="I226" s="268">
        <f t="shared" ref="I226" si="191">SUM(I220:I225)</f>
        <v>0</v>
      </c>
      <c r="J226" s="268">
        <f t="shared" ref="J226" si="192">SUM(J220:J225)</f>
        <v>0</v>
      </c>
      <c r="K226" s="268">
        <f t="shared" ref="K226" si="193">SUM(K220:K225)</f>
        <v>0</v>
      </c>
      <c r="L226" s="273"/>
      <c r="M226" s="267">
        <f>SUM(M220:M225)</f>
        <v>0</v>
      </c>
      <c r="N226" s="269">
        <f>SUM(N220:N225)</f>
        <v>0</v>
      </c>
      <c r="O226" s="269"/>
      <c r="P226" s="290"/>
      <c r="Q226" s="142"/>
    </row>
    <row r="227" spans="1:20" ht="15.6" thickTop="1" thickBot="1">
      <c r="A227" s="73"/>
      <c r="B227" s="380"/>
      <c r="C227" s="124" t="s">
        <v>45</v>
      </c>
      <c r="D227" s="272">
        <f>SUM(D220:D225)</f>
        <v>0</v>
      </c>
      <c r="E227" s="272">
        <f>SUM(E220:E225)</f>
        <v>0</v>
      </c>
      <c r="F227" s="381">
        <f>SUM(F226:K226)</f>
        <v>0</v>
      </c>
      <c r="G227" s="382"/>
      <c r="H227" s="382"/>
      <c r="I227" s="382"/>
      <c r="J227" s="382"/>
      <c r="K227" s="383"/>
      <c r="L227" s="274">
        <f>L226</f>
        <v>0</v>
      </c>
      <c r="M227" s="272">
        <f>SUM(M220:M225)</f>
        <v>0</v>
      </c>
      <c r="N227" s="272">
        <f>SUM(N220:N225)</f>
        <v>0</v>
      </c>
      <c r="O227" s="272">
        <f>SUM(O226)</f>
        <v>0</v>
      </c>
      <c r="P227" s="275">
        <f>SUM(P226)</f>
        <v>0</v>
      </c>
      <c r="Q227" s="125"/>
      <c r="T227" s="145" t="e">
        <f>$V$3+L11+L19+L27+L35+L43+L51+L59+L67+L75+L83+L91+L99+L107+L115+L123+L131+L139+L147+L155+L163+L171+L179+L187+L195+L203+L211+L219+L227</f>
        <v>#REF!</v>
      </c>
    </row>
    <row r="228" spans="1:20" ht="15.6" thickTop="1" thickBot="1">
      <c r="A228" s="73" t="str">
        <f ca="1">OFFSET('0'!$B$112,($A$1-1)*10,$B228-1)</f>
        <v>--</v>
      </c>
      <c r="B228" s="380">
        <f ca="1">OFFSET('0'!$B$111,($A$1-1)*10,28)</f>
        <v>29</v>
      </c>
      <c r="C228" s="137"/>
      <c r="D228" s="156"/>
      <c r="E228" s="67"/>
      <c r="F228" s="157"/>
      <c r="G228" s="157"/>
      <c r="H228" s="157"/>
      <c r="I228" s="157"/>
      <c r="J228" s="157"/>
      <c r="K228" s="157"/>
      <c r="L228" s="153"/>
      <c r="M228" s="67">
        <f>SUM(D228-E228)</f>
        <v>0</v>
      </c>
      <c r="N228" s="58">
        <f t="shared" ref="N228:N233" si="194">SUM(E228,M228)</f>
        <v>0</v>
      </c>
      <c r="O228" s="138"/>
      <c r="P228" s="152"/>
      <c r="Q228" s="140"/>
    </row>
    <row r="229" spans="1:20" ht="15.6" thickTop="1" thickBot="1">
      <c r="A229" s="73"/>
      <c r="B229" s="380"/>
      <c r="C229" s="141"/>
      <c r="D229" s="284"/>
      <c r="E229" s="285"/>
      <c r="F229" s="286"/>
      <c r="G229" s="286"/>
      <c r="H229" s="286"/>
      <c r="I229" s="286"/>
      <c r="J229" s="286"/>
      <c r="K229" s="286"/>
      <c r="L229" s="295"/>
      <c r="M229" s="267">
        <f>SUM(D229-E229)</f>
        <v>0</v>
      </c>
      <c r="N229" s="269">
        <f t="shared" si="194"/>
        <v>0</v>
      </c>
      <c r="O229" s="269"/>
      <c r="P229" s="296"/>
      <c r="Q229" s="147"/>
    </row>
    <row r="230" spans="1:20" ht="15.6" thickTop="1" thickBot="1">
      <c r="A230" s="73"/>
      <c r="B230" s="380"/>
      <c r="C230" s="141"/>
      <c r="D230" s="266"/>
      <c r="E230" s="267"/>
      <c r="F230" s="268"/>
      <c r="G230" s="268"/>
      <c r="H230" s="268"/>
      <c r="I230" s="268"/>
      <c r="J230" s="268"/>
      <c r="K230" s="268"/>
      <c r="L230" s="289"/>
      <c r="M230" s="267">
        <f t="shared" ref="M230:M233" si="195">SUM(D230-E230)</f>
        <v>0</v>
      </c>
      <c r="N230" s="269">
        <f t="shared" si="194"/>
        <v>0</v>
      </c>
      <c r="O230" s="269"/>
      <c r="P230" s="290"/>
      <c r="Q230" s="142"/>
    </row>
    <row r="231" spans="1:20" s="120" customFormat="1" ht="15.6" thickTop="1" thickBot="1">
      <c r="A231" s="74"/>
      <c r="B231" s="380"/>
      <c r="C231" s="143"/>
      <c r="D231" s="266"/>
      <c r="E231" s="267"/>
      <c r="F231" s="268"/>
      <c r="G231" s="268"/>
      <c r="H231" s="268"/>
      <c r="I231" s="268"/>
      <c r="J231" s="268"/>
      <c r="K231" s="268"/>
      <c r="L231" s="289"/>
      <c r="M231" s="267">
        <f t="shared" si="195"/>
        <v>0</v>
      </c>
      <c r="N231" s="269">
        <f t="shared" si="194"/>
        <v>0</v>
      </c>
      <c r="O231" s="269"/>
      <c r="P231" s="290"/>
      <c r="Q231" s="142"/>
    </row>
    <row r="232" spans="1:20" s="120" customFormat="1" ht="15.6" thickTop="1" thickBot="1">
      <c r="A232" s="74"/>
      <c r="B232" s="380"/>
      <c r="C232" s="143"/>
      <c r="D232" s="266"/>
      <c r="E232" s="267"/>
      <c r="F232" s="268"/>
      <c r="G232" s="268"/>
      <c r="H232" s="268"/>
      <c r="I232" s="268"/>
      <c r="J232" s="268"/>
      <c r="K232" s="268"/>
      <c r="L232" s="289"/>
      <c r="M232" s="267">
        <f t="shared" si="195"/>
        <v>0</v>
      </c>
      <c r="N232" s="269">
        <f t="shared" si="194"/>
        <v>0</v>
      </c>
      <c r="O232" s="269"/>
      <c r="P232" s="290"/>
      <c r="Q232" s="142"/>
    </row>
    <row r="233" spans="1:20" ht="15.6" thickTop="1" thickBot="1">
      <c r="A233" s="73"/>
      <c r="B233" s="380"/>
      <c r="C233" s="143"/>
      <c r="D233" s="266"/>
      <c r="E233" s="267"/>
      <c r="F233" s="268"/>
      <c r="G233" s="268"/>
      <c r="H233" s="268"/>
      <c r="I233" s="268"/>
      <c r="J233" s="268"/>
      <c r="K233" s="268"/>
      <c r="L233" s="291"/>
      <c r="M233" s="267">
        <f t="shared" si="195"/>
        <v>0</v>
      </c>
      <c r="N233" s="269">
        <f t="shared" si="194"/>
        <v>0</v>
      </c>
      <c r="O233" s="269"/>
      <c r="P233" s="290"/>
      <c r="Q233" s="142"/>
    </row>
    <row r="234" spans="1:20" ht="15.6" thickTop="1" thickBot="1">
      <c r="A234" s="73"/>
      <c r="B234" s="380"/>
      <c r="C234" s="136" t="s">
        <v>69</v>
      </c>
      <c r="D234" s="266">
        <f>SUM(D228:D233)</f>
        <v>0</v>
      </c>
      <c r="E234" s="267">
        <f>SUM(E228:E233)</f>
        <v>0</v>
      </c>
      <c r="F234" s="268">
        <f>SUM(F228:F233)</f>
        <v>0</v>
      </c>
      <c r="G234" s="268">
        <f t="shared" ref="G234" si="196">SUM(G228:G233)</f>
        <v>0</v>
      </c>
      <c r="H234" s="268">
        <f t="shared" ref="H234" si="197">SUM(H228:H233)</f>
        <v>0</v>
      </c>
      <c r="I234" s="268">
        <f t="shared" ref="I234" si="198">SUM(I228:I233)</f>
        <v>0</v>
      </c>
      <c r="J234" s="268">
        <f t="shared" ref="J234" si="199">SUM(J228:J233)</f>
        <v>0</v>
      </c>
      <c r="K234" s="268">
        <f t="shared" ref="K234" si="200">SUM(K228:K233)</f>
        <v>0</v>
      </c>
      <c r="L234" s="273"/>
      <c r="M234" s="267">
        <f>SUM(M228:M233)</f>
        <v>0</v>
      </c>
      <c r="N234" s="269">
        <f>SUM(N228:N233)</f>
        <v>0</v>
      </c>
      <c r="O234" s="269"/>
      <c r="P234" s="290"/>
      <c r="Q234" s="142"/>
    </row>
    <row r="235" spans="1:20" ht="15.6" thickTop="1" thickBot="1">
      <c r="A235" s="73"/>
      <c r="B235" s="380"/>
      <c r="C235" s="124" t="s">
        <v>45</v>
      </c>
      <c r="D235" s="272">
        <f>SUM(D228:D233)</f>
        <v>0</v>
      </c>
      <c r="E235" s="272">
        <f>SUM(E228:E233)</f>
        <v>0</v>
      </c>
      <c r="F235" s="381">
        <f>SUM(F234:K234)</f>
        <v>0</v>
      </c>
      <c r="G235" s="382"/>
      <c r="H235" s="382"/>
      <c r="I235" s="382"/>
      <c r="J235" s="382"/>
      <c r="K235" s="383"/>
      <c r="L235" s="274">
        <f>L234</f>
        <v>0</v>
      </c>
      <c r="M235" s="272">
        <f>SUM(M228:M233)</f>
        <v>0</v>
      </c>
      <c r="N235" s="272">
        <f>SUM(N228:N233)</f>
        <v>0</v>
      </c>
      <c r="O235" s="272">
        <f>SUM(O234)</f>
        <v>0</v>
      </c>
      <c r="P235" s="275">
        <f>SUM(P234)</f>
        <v>0</v>
      </c>
      <c r="Q235" s="125"/>
      <c r="T235" s="145" t="e">
        <f>$V$3+L11+L19+L27+L35+L43+L51+L59+L67+L75+L83+L91+L99+L107+L115+L123+L131+L139+L147+L155+L163+L171+L179+L187+L195+L203+L211+L219+L227+L235</f>
        <v>#REF!</v>
      </c>
    </row>
    <row r="236" spans="1:20" ht="15.6" thickTop="1" thickBot="1">
      <c r="A236" s="73" t="str">
        <f ca="1">OFFSET('0'!$B$112,($A$1-1)*10,$B236-1)</f>
        <v>--</v>
      </c>
      <c r="B236" s="380">
        <f ca="1">OFFSET('0'!$B$111,($A$1-1)*10,29)</f>
        <v>30</v>
      </c>
      <c r="C236" s="137"/>
      <c r="D236" s="156"/>
      <c r="E236" s="67"/>
      <c r="F236" s="157"/>
      <c r="G236" s="157"/>
      <c r="H236" s="157"/>
      <c r="I236" s="157"/>
      <c r="J236" s="157"/>
      <c r="K236" s="157"/>
      <c r="L236" s="153"/>
      <c r="M236" s="67">
        <f>SUM(D236-E236)</f>
        <v>0</v>
      </c>
      <c r="N236" s="58">
        <f t="shared" ref="N236:N241" si="201">SUM(E236,M236)</f>
        <v>0</v>
      </c>
      <c r="O236" s="138"/>
      <c r="P236" s="152"/>
      <c r="Q236" s="140"/>
    </row>
    <row r="237" spans="1:20" ht="15.6" thickTop="1" thickBot="1">
      <c r="A237" s="73"/>
      <c r="B237" s="380"/>
      <c r="C237" s="141"/>
      <c r="D237" s="284"/>
      <c r="E237" s="285"/>
      <c r="F237" s="286"/>
      <c r="G237" s="286"/>
      <c r="H237" s="286"/>
      <c r="I237" s="286"/>
      <c r="J237" s="286"/>
      <c r="K237" s="286"/>
      <c r="L237" s="295"/>
      <c r="M237" s="267">
        <f>SUM(D237-E237)</f>
        <v>0</v>
      </c>
      <c r="N237" s="269">
        <f t="shared" si="201"/>
        <v>0</v>
      </c>
      <c r="O237" s="269"/>
      <c r="P237" s="296"/>
      <c r="Q237" s="147"/>
    </row>
    <row r="238" spans="1:20" s="120" customFormat="1" ht="15.6" thickTop="1" thickBot="1">
      <c r="A238" s="74"/>
      <c r="B238" s="380"/>
      <c r="C238" s="141"/>
      <c r="D238" s="284"/>
      <c r="E238" s="285"/>
      <c r="F238" s="286"/>
      <c r="G238" s="286"/>
      <c r="H238" s="286"/>
      <c r="I238" s="286"/>
      <c r="J238" s="286"/>
      <c r="K238" s="286"/>
      <c r="L238" s="295"/>
      <c r="M238" s="267">
        <f t="shared" ref="M238:M241" si="202">SUM(D238-E238)</f>
        <v>0</v>
      </c>
      <c r="N238" s="269">
        <f t="shared" si="201"/>
        <v>0</v>
      </c>
      <c r="O238" s="269"/>
      <c r="P238" s="294"/>
      <c r="Q238" s="147"/>
    </row>
    <row r="239" spans="1:20" s="120" customFormat="1" ht="15.6" thickTop="1" thickBot="1">
      <c r="A239" s="74"/>
      <c r="B239" s="380"/>
      <c r="C239" s="143"/>
      <c r="D239" s="284"/>
      <c r="E239" s="285"/>
      <c r="F239" s="286"/>
      <c r="G239" s="286"/>
      <c r="H239" s="286"/>
      <c r="I239" s="286"/>
      <c r="J239" s="286"/>
      <c r="K239" s="286"/>
      <c r="L239" s="295"/>
      <c r="M239" s="267">
        <f t="shared" si="202"/>
        <v>0</v>
      </c>
      <c r="N239" s="269">
        <f t="shared" si="201"/>
        <v>0</v>
      </c>
      <c r="O239" s="269"/>
      <c r="P239" s="294"/>
      <c r="Q239" s="147"/>
    </row>
    <row r="240" spans="1:20" ht="15.6" thickTop="1" thickBot="1">
      <c r="A240" s="73"/>
      <c r="B240" s="380"/>
      <c r="C240" s="143"/>
      <c r="D240" s="266"/>
      <c r="E240" s="267"/>
      <c r="F240" s="268"/>
      <c r="G240" s="268"/>
      <c r="H240" s="268"/>
      <c r="I240" s="268"/>
      <c r="J240" s="268"/>
      <c r="K240" s="268"/>
      <c r="L240" s="289"/>
      <c r="M240" s="267">
        <f t="shared" si="202"/>
        <v>0</v>
      </c>
      <c r="N240" s="269">
        <f t="shared" si="201"/>
        <v>0</v>
      </c>
      <c r="O240" s="269"/>
      <c r="P240" s="290"/>
      <c r="Q240" s="142"/>
    </row>
    <row r="241" spans="1:20" ht="15.6" thickTop="1" thickBot="1">
      <c r="A241" s="73"/>
      <c r="B241" s="380"/>
      <c r="C241" s="143"/>
      <c r="D241" s="266"/>
      <c r="E241" s="267"/>
      <c r="F241" s="268"/>
      <c r="G241" s="268"/>
      <c r="H241" s="268"/>
      <c r="I241" s="268"/>
      <c r="J241" s="268"/>
      <c r="K241" s="268"/>
      <c r="L241" s="291"/>
      <c r="M241" s="267">
        <f t="shared" si="202"/>
        <v>0</v>
      </c>
      <c r="N241" s="269">
        <f t="shared" si="201"/>
        <v>0</v>
      </c>
      <c r="O241" s="269"/>
      <c r="P241" s="290"/>
      <c r="Q241" s="142"/>
    </row>
    <row r="242" spans="1:20" ht="15.6" thickTop="1" thickBot="1">
      <c r="A242" s="73"/>
      <c r="B242" s="380"/>
      <c r="C242" s="136" t="s">
        <v>69</v>
      </c>
      <c r="D242" s="266">
        <f>SUM(D236:D241)</f>
        <v>0</v>
      </c>
      <c r="E242" s="267">
        <f>SUM(E236:E241)</f>
        <v>0</v>
      </c>
      <c r="F242" s="268">
        <f>SUM(F236:F241)</f>
        <v>0</v>
      </c>
      <c r="G242" s="268">
        <f t="shared" ref="G242" si="203">SUM(G236:G241)</f>
        <v>0</v>
      </c>
      <c r="H242" s="268">
        <f t="shared" ref="H242" si="204">SUM(H236:H241)</f>
        <v>0</v>
      </c>
      <c r="I242" s="268">
        <f t="shared" ref="I242" si="205">SUM(I236:I241)</f>
        <v>0</v>
      </c>
      <c r="J242" s="268">
        <f t="shared" ref="J242" si="206">SUM(J236:J241)</f>
        <v>0</v>
      </c>
      <c r="K242" s="268">
        <f t="shared" ref="K242" si="207">SUM(K236:K241)</f>
        <v>0</v>
      </c>
      <c r="L242" s="273"/>
      <c r="M242" s="267">
        <f>SUM(M236:M241)</f>
        <v>0</v>
      </c>
      <c r="N242" s="269">
        <f>SUM(N236:N241)</f>
        <v>0</v>
      </c>
      <c r="O242" s="269"/>
      <c r="P242" s="290"/>
      <c r="Q242" s="142"/>
    </row>
    <row r="243" spans="1:20" ht="15.6" thickTop="1" thickBot="1">
      <c r="A243" s="73"/>
      <c r="B243" s="380"/>
      <c r="C243" s="124" t="s">
        <v>45</v>
      </c>
      <c r="D243" s="272">
        <f>SUM(D236:D241)</f>
        <v>0</v>
      </c>
      <c r="E243" s="272">
        <f>SUM(E236:E241)</f>
        <v>0</v>
      </c>
      <c r="F243" s="381">
        <f>SUM(F242:K242)</f>
        <v>0</v>
      </c>
      <c r="G243" s="394"/>
      <c r="H243" s="394"/>
      <c r="I243" s="394"/>
      <c r="J243" s="394"/>
      <c r="K243" s="395"/>
      <c r="L243" s="274">
        <f>L242</f>
        <v>0</v>
      </c>
      <c r="M243" s="272">
        <f>SUM(M236:M241)</f>
        <v>0</v>
      </c>
      <c r="N243" s="272">
        <f>SUM(N236:N241)</f>
        <v>0</v>
      </c>
      <c r="O243" s="272">
        <f>SUM(O242)</f>
        <v>0</v>
      </c>
      <c r="P243" s="275">
        <f>SUM(P242)</f>
        <v>0</v>
      </c>
      <c r="Q243" s="125"/>
      <c r="T243" s="145" t="e">
        <f>$V$3+L11+L19+L27+L35+L43+L51+L59+L67+L75+L83+L91+L99+L107+L115+L123+L131+L139+L147+L155+L163+L171+L179+L187+L195+L203+L211+L219+L227+L235+L243</f>
        <v>#REF!</v>
      </c>
    </row>
    <row r="244" spans="1:20" ht="15.6" thickTop="1" thickBot="1">
      <c r="A244" s="73" t="e">
        <f ca="1">OFFSET('0'!$B$112,($A$1-1)*10,$B244-1)</f>
        <v>#REF!</v>
      </c>
      <c r="B244" s="380">
        <f ca="1">OFFSET('0'!$B$111,($A$1-1)*10,30)</f>
        <v>-29</v>
      </c>
      <c r="C244" s="137"/>
      <c r="D244" s="156"/>
      <c r="E244" s="67"/>
      <c r="F244" s="157"/>
      <c r="G244" s="157"/>
      <c r="H244" s="157"/>
      <c r="I244" s="157"/>
      <c r="J244" s="157"/>
      <c r="K244" s="157"/>
      <c r="L244" s="153"/>
      <c r="M244" s="67">
        <f>SUM(D244-E244)</f>
        <v>0</v>
      </c>
      <c r="N244" s="58">
        <f t="shared" ref="N244:N249" si="208">SUM(E244,M244)</f>
        <v>0</v>
      </c>
      <c r="O244" s="138"/>
      <c r="P244" s="152"/>
      <c r="Q244" s="140"/>
    </row>
    <row r="245" spans="1:20" s="120" customFormat="1" ht="15.6" thickTop="1" thickBot="1">
      <c r="A245" s="74"/>
      <c r="B245" s="380"/>
      <c r="C245" s="141"/>
      <c r="D245" s="284"/>
      <c r="E245" s="285"/>
      <c r="F245" s="286"/>
      <c r="G245" s="286"/>
      <c r="H245" s="286"/>
      <c r="I245" s="286"/>
      <c r="J245" s="286"/>
      <c r="K245" s="286"/>
      <c r="L245" s="295"/>
      <c r="M245" s="267">
        <f>SUM(D245-E245)</f>
        <v>0</v>
      </c>
      <c r="N245" s="269">
        <f t="shared" si="208"/>
        <v>0</v>
      </c>
      <c r="O245" s="269"/>
      <c r="P245" s="296"/>
      <c r="Q245" s="147"/>
    </row>
    <row r="246" spans="1:20" s="120" customFormat="1" ht="15.6" thickTop="1" thickBot="1">
      <c r="A246" s="74"/>
      <c r="B246" s="380"/>
      <c r="C246" s="141"/>
      <c r="D246" s="284"/>
      <c r="E246" s="285"/>
      <c r="F246" s="286"/>
      <c r="G246" s="286"/>
      <c r="H246" s="286"/>
      <c r="I246" s="286"/>
      <c r="J246" s="286"/>
      <c r="K246" s="286"/>
      <c r="L246" s="295"/>
      <c r="M246" s="267">
        <f t="shared" ref="M246:M249" si="209">SUM(D246-E246)</f>
        <v>0</v>
      </c>
      <c r="N246" s="269">
        <f t="shared" si="208"/>
        <v>0</v>
      </c>
      <c r="O246" s="269"/>
      <c r="P246" s="294"/>
      <c r="Q246" s="147"/>
    </row>
    <row r="247" spans="1:20" s="120" customFormat="1" ht="15.6" thickTop="1" thickBot="1">
      <c r="A247" s="74"/>
      <c r="B247" s="380"/>
      <c r="C247" s="143"/>
      <c r="D247" s="284"/>
      <c r="E247" s="285"/>
      <c r="F247" s="286"/>
      <c r="G247" s="286"/>
      <c r="H247" s="286"/>
      <c r="I247" s="286"/>
      <c r="J247" s="286"/>
      <c r="K247" s="286"/>
      <c r="L247" s="295"/>
      <c r="M247" s="267">
        <f t="shared" si="209"/>
        <v>0</v>
      </c>
      <c r="N247" s="269">
        <f t="shared" si="208"/>
        <v>0</v>
      </c>
      <c r="O247" s="269"/>
      <c r="P247" s="294"/>
      <c r="Q247" s="147"/>
    </row>
    <row r="248" spans="1:20" ht="15.6" thickTop="1" thickBot="1">
      <c r="A248" s="73"/>
      <c r="B248" s="380"/>
      <c r="C248" s="143"/>
      <c r="D248" s="266"/>
      <c r="E248" s="267"/>
      <c r="F248" s="268"/>
      <c r="G248" s="268"/>
      <c r="H248" s="268"/>
      <c r="I248" s="268"/>
      <c r="J248" s="268"/>
      <c r="K248" s="268"/>
      <c r="L248" s="289"/>
      <c r="M248" s="267">
        <f t="shared" si="209"/>
        <v>0</v>
      </c>
      <c r="N248" s="269">
        <f t="shared" si="208"/>
        <v>0</v>
      </c>
      <c r="O248" s="269"/>
      <c r="P248" s="290"/>
      <c r="Q248" s="142"/>
    </row>
    <row r="249" spans="1:20" ht="15.6" thickTop="1" thickBot="1">
      <c r="A249" s="73"/>
      <c r="B249" s="380"/>
      <c r="C249" s="143"/>
      <c r="D249" s="266"/>
      <c r="E249" s="267"/>
      <c r="F249" s="268"/>
      <c r="G249" s="268"/>
      <c r="H249" s="268"/>
      <c r="I249" s="268"/>
      <c r="J249" s="268"/>
      <c r="K249" s="268"/>
      <c r="L249" s="291"/>
      <c r="M249" s="267">
        <f t="shared" si="209"/>
        <v>0</v>
      </c>
      <c r="N249" s="269">
        <f t="shared" si="208"/>
        <v>0</v>
      </c>
      <c r="O249" s="269"/>
      <c r="P249" s="290"/>
      <c r="Q249" s="142"/>
    </row>
    <row r="250" spans="1:20" ht="15.6" thickTop="1" thickBot="1">
      <c r="A250" s="73"/>
      <c r="B250" s="380"/>
      <c r="C250" s="136" t="s">
        <v>69</v>
      </c>
      <c r="D250" s="266">
        <f>SUM(D244:D249)</f>
        <v>0</v>
      </c>
      <c r="E250" s="267">
        <f>SUM(E244:E249)</f>
        <v>0</v>
      </c>
      <c r="F250" s="268">
        <f>SUM(F244:F249)</f>
        <v>0</v>
      </c>
      <c r="G250" s="268">
        <f t="shared" ref="G250" si="210">SUM(G244:G249)</f>
        <v>0</v>
      </c>
      <c r="H250" s="268">
        <f t="shared" ref="H250" si="211">SUM(H244:H249)</f>
        <v>0</v>
      </c>
      <c r="I250" s="268">
        <f t="shared" ref="I250" si="212">SUM(I244:I249)</f>
        <v>0</v>
      </c>
      <c r="J250" s="268">
        <f t="shared" ref="J250" si="213">SUM(J244:J249)</f>
        <v>0</v>
      </c>
      <c r="K250" s="268">
        <f t="shared" ref="K250" si="214">SUM(K244:K249)</f>
        <v>0</v>
      </c>
      <c r="L250" s="273"/>
      <c r="M250" s="267">
        <f>SUM(M244:M249)</f>
        <v>0</v>
      </c>
      <c r="N250" s="269">
        <f>SUM(N244:N249)</f>
        <v>0</v>
      </c>
      <c r="O250" s="269"/>
      <c r="P250" s="290"/>
      <c r="Q250" s="142"/>
    </row>
    <row r="251" spans="1:20" ht="15.6" thickTop="1" thickBot="1">
      <c r="A251" s="73"/>
      <c r="B251" s="380"/>
      <c r="C251" s="124" t="s">
        <v>45</v>
      </c>
      <c r="D251" s="272">
        <f>SUM(D244:D249)</f>
        <v>0</v>
      </c>
      <c r="E251" s="272">
        <f>SUM(E244:E249)</f>
        <v>0</v>
      </c>
      <c r="F251" s="381">
        <f>SUM(F250:K250)</f>
        <v>0</v>
      </c>
      <c r="G251" s="382"/>
      <c r="H251" s="382"/>
      <c r="I251" s="382"/>
      <c r="J251" s="382"/>
      <c r="K251" s="383"/>
      <c r="L251" s="274">
        <f>L250</f>
        <v>0</v>
      </c>
      <c r="M251" s="272">
        <f>SUM(M244:M249)</f>
        <v>0</v>
      </c>
      <c r="N251" s="272">
        <f>SUM(N244:N249)</f>
        <v>0</v>
      </c>
      <c r="O251" s="272">
        <f>SUM(O250)</f>
        <v>0</v>
      </c>
      <c r="P251" s="275">
        <f>SUM(P250)</f>
        <v>0</v>
      </c>
      <c r="Q251" s="125"/>
      <c r="T251" s="145" t="e">
        <f>$V$3+L11+L19+L27+L35+L43+L51+L59+L67+L75+L83+L91+L99+L107+L115+L123+L131+L139+L147+L155+L163+L171+L179+L187+L195+L203+L211+L219+L227+L235+L243+L251</f>
        <v>#REF!</v>
      </c>
    </row>
    <row r="252" spans="1:20" ht="15" thickTop="1">
      <c r="A252" s="72"/>
    </row>
    <row r="253" spans="1:20">
      <c r="C253" s="169" t="s">
        <v>31</v>
      </c>
      <c r="D253" s="117">
        <f t="shared" ref="D253:P253" si="215">SUM(D250,D242,D234,D226,D218,D210,D202,D194,D186,D178,D170,D162,D154,D146,D138,D130,D122,D114,D106,D98,D90,D82,D74,D66,D58,D50,D42,D34,D26,D18,D10)</f>
        <v>0</v>
      </c>
      <c r="E253" s="298">
        <f t="shared" si="215"/>
        <v>0</v>
      </c>
      <c r="F253" s="299">
        <f t="shared" si="215"/>
        <v>0</v>
      </c>
      <c r="G253" s="299">
        <f t="shared" si="215"/>
        <v>0</v>
      </c>
      <c r="H253" s="299">
        <f t="shared" si="215"/>
        <v>0</v>
      </c>
      <c r="I253" s="299">
        <f t="shared" si="215"/>
        <v>0</v>
      </c>
      <c r="J253" s="299">
        <f t="shared" si="215"/>
        <v>0</v>
      </c>
      <c r="K253" s="299">
        <f t="shared" si="215"/>
        <v>0</v>
      </c>
      <c r="L253" s="300">
        <f t="shared" si="215"/>
        <v>0</v>
      </c>
      <c r="M253" s="298">
        <f t="shared" si="215"/>
        <v>0</v>
      </c>
      <c r="N253" s="117">
        <f t="shared" si="215"/>
        <v>0</v>
      </c>
      <c r="O253" s="117">
        <f t="shared" si="215"/>
        <v>0</v>
      </c>
      <c r="P253" s="117">
        <f t="shared" si="215"/>
        <v>0</v>
      </c>
    </row>
    <row r="254" spans="1:20">
      <c r="C254" s="126" t="s">
        <v>57</v>
      </c>
      <c r="D254" s="287">
        <f>D253</f>
        <v>0</v>
      </c>
      <c r="E254" s="287">
        <f>E253</f>
        <v>0</v>
      </c>
      <c r="F254" s="377">
        <f>SUM(F251,F243,F235,F227,F219,F211,F203,F195,F187,F179,F171,F163,F155,F147,F139,F131,F123,F115,F107,F99,F91,F83,F75,F67,F59,F51,F43,F35,F27,F19,F11)</f>
        <v>0</v>
      </c>
      <c r="G254" s="378"/>
      <c r="H254" s="378"/>
      <c r="I254" s="378"/>
      <c r="J254" s="378"/>
      <c r="K254" s="379"/>
      <c r="L254" s="288">
        <f>L253</f>
        <v>0</v>
      </c>
    </row>
  </sheetData>
  <mergeCells count="75">
    <mergeCell ref="F254:K254"/>
    <mergeCell ref="B220:B227"/>
    <mergeCell ref="F227:K227"/>
    <mergeCell ref="B228:B235"/>
    <mergeCell ref="F235:K235"/>
    <mergeCell ref="B236:B243"/>
    <mergeCell ref="F243:K243"/>
    <mergeCell ref="B204:B211"/>
    <mergeCell ref="F211:K211"/>
    <mergeCell ref="B212:B219"/>
    <mergeCell ref="F219:K219"/>
    <mergeCell ref="B244:B251"/>
    <mergeCell ref="F251:K251"/>
    <mergeCell ref="B180:B187"/>
    <mergeCell ref="F187:K187"/>
    <mergeCell ref="B188:B195"/>
    <mergeCell ref="F195:K195"/>
    <mergeCell ref="B196:B203"/>
    <mergeCell ref="F203:K203"/>
    <mergeCell ref="B156:B163"/>
    <mergeCell ref="F163:K163"/>
    <mergeCell ref="B164:B171"/>
    <mergeCell ref="F171:K171"/>
    <mergeCell ref="B172:B179"/>
    <mergeCell ref="F179:K179"/>
    <mergeCell ref="B132:B139"/>
    <mergeCell ref="F139:K139"/>
    <mergeCell ref="B140:B147"/>
    <mergeCell ref="F147:K147"/>
    <mergeCell ref="B148:B155"/>
    <mergeCell ref="F155:K155"/>
    <mergeCell ref="B108:B115"/>
    <mergeCell ref="F115:K115"/>
    <mergeCell ref="B116:B123"/>
    <mergeCell ref="F123:K123"/>
    <mergeCell ref="B124:B131"/>
    <mergeCell ref="F131:K131"/>
    <mergeCell ref="B84:B91"/>
    <mergeCell ref="F91:K91"/>
    <mergeCell ref="B92:B99"/>
    <mergeCell ref="F99:K99"/>
    <mergeCell ref="B100:B107"/>
    <mergeCell ref="F107:K107"/>
    <mergeCell ref="B60:B67"/>
    <mergeCell ref="F67:K67"/>
    <mergeCell ref="B68:B75"/>
    <mergeCell ref="F75:K75"/>
    <mergeCell ref="B76:B83"/>
    <mergeCell ref="F83:K83"/>
    <mergeCell ref="B36:B43"/>
    <mergeCell ref="F43:K43"/>
    <mergeCell ref="B44:B51"/>
    <mergeCell ref="F51:K51"/>
    <mergeCell ref="B52:B59"/>
    <mergeCell ref="F59:K59"/>
    <mergeCell ref="B12:B19"/>
    <mergeCell ref="F19:K19"/>
    <mergeCell ref="B20:B27"/>
    <mergeCell ref="F27:K27"/>
    <mergeCell ref="B28:B35"/>
    <mergeCell ref="F35:K35"/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</mergeCells>
  <conditionalFormatting sqref="B4:B19">
    <cfRule type="expression" dxfId="32" priority="32">
      <formula>$A4&lt;&gt;"--"</formula>
    </cfRule>
  </conditionalFormatting>
  <conditionalFormatting sqref="B20:B27">
    <cfRule type="expression" dxfId="31" priority="31">
      <formula>$A20&lt;&gt;"--"</formula>
    </cfRule>
  </conditionalFormatting>
  <conditionalFormatting sqref="B28:B35">
    <cfRule type="expression" dxfId="30" priority="30">
      <formula>$A28&lt;&gt;"--"</formula>
    </cfRule>
  </conditionalFormatting>
  <conditionalFormatting sqref="B36:B43">
    <cfRule type="expression" dxfId="29" priority="29">
      <formula>$A36&lt;&gt;"--"</formula>
    </cfRule>
  </conditionalFormatting>
  <conditionalFormatting sqref="B44:B51">
    <cfRule type="expression" dxfId="28" priority="28">
      <formula>$A44&lt;&gt;"--"</formula>
    </cfRule>
  </conditionalFormatting>
  <conditionalFormatting sqref="B52:B59">
    <cfRule type="expression" dxfId="27" priority="27">
      <formula>$A52&lt;&gt;"--"</formula>
    </cfRule>
  </conditionalFormatting>
  <conditionalFormatting sqref="B60:B67">
    <cfRule type="expression" dxfId="26" priority="26">
      <formula>$A60&lt;&gt;"--"</formula>
    </cfRule>
  </conditionalFormatting>
  <conditionalFormatting sqref="B68:B75">
    <cfRule type="expression" dxfId="25" priority="25">
      <formula>$A68&lt;&gt;"--"</formula>
    </cfRule>
  </conditionalFormatting>
  <conditionalFormatting sqref="B76:B83">
    <cfRule type="expression" dxfId="24" priority="24">
      <formula>$A76&lt;&gt;"--"</formula>
    </cfRule>
  </conditionalFormatting>
  <conditionalFormatting sqref="B84:B91">
    <cfRule type="expression" dxfId="23" priority="23">
      <formula>$A84&lt;&gt;"--"</formula>
    </cfRule>
  </conditionalFormatting>
  <conditionalFormatting sqref="B92:B99">
    <cfRule type="expression" dxfId="22" priority="22">
      <formula>$A92&lt;&gt;"--"</formula>
    </cfRule>
  </conditionalFormatting>
  <conditionalFormatting sqref="B100:B107">
    <cfRule type="expression" dxfId="21" priority="21">
      <formula>$A100&lt;&gt;"--"</formula>
    </cfRule>
  </conditionalFormatting>
  <conditionalFormatting sqref="B108:B115">
    <cfRule type="expression" dxfId="20" priority="20">
      <formula>$A108&lt;&gt;"--"</formula>
    </cfRule>
  </conditionalFormatting>
  <conditionalFormatting sqref="B116:B123">
    <cfRule type="expression" dxfId="19" priority="19">
      <formula>$A116&lt;&gt;"--"</formula>
    </cfRule>
  </conditionalFormatting>
  <conditionalFormatting sqref="B124:B131">
    <cfRule type="expression" dxfId="18" priority="18">
      <formula>$A124&lt;&gt;"--"</formula>
    </cfRule>
  </conditionalFormatting>
  <conditionalFormatting sqref="B132:B139">
    <cfRule type="expression" dxfId="17" priority="17">
      <formula>$A132&lt;&gt;"--"</formula>
    </cfRule>
  </conditionalFormatting>
  <conditionalFormatting sqref="B140:B147">
    <cfRule type="expression" dxfId="16" priority="16">
      <formula>$A140&lt;&gt;"--"</formula>
    </cfRule>
  </conditionalFormatting>
  <conditionalFormatting sqref="B148:B155">
    <cfRule type="expression" dxfId="15" priority="15">
      <formula>$A148&lt;&gt;"--"</formula>
    </cfRule>
  </conditionalFormatting>
  <conditionalFormatting sqref="B156:B163">
    <cfRule type="expression" dxfId="14" priority="14">
      <formula>$A156&lt;&gt;"--"</formula>
    </cfRule>
  </conditionalFormatting>
  <conditionalFormatting sqref="B164:B171">
    <cfRule type="expression" dxfId="13" priority="13">
      <formula>$A164&lt;&gt;"--"</formula>
    </cfRule>
  </conditionalFormatting>
  <conditionalFormatting sqref="B172:B179">
    <cfRule type="expression" dxfId="12" priority="12">
      <formula>$A172&lt;&gt;"--"</formula>
    </cfRule>
  </conditionalFormatting>
  <conditionalFormatting sqref="B180:B187">
    <cfRule type="expression" dxfId="11" priority="11">
      <formula>$A180&lt;&gt;"--"</formula>
    </cfRule>
  </conditionalFormatting>
  <conditionalFormatting sqref="B188:B195">
    <cfRule type="expression" dxfId="10" priority="10">
      <formula>$A188&lt;&gt;"--"</formula>
    </cfRule>
  </conditionalFormatting>
  <conditionalFormatting sqref="B196:B203">
    <cfRule type="expression" dxfId="9" priority="9">
      <formula>$A196&lt;&gt;"--"</formula>
    </cfRule>
  </conditionalFormatting>
  <conditionalFormatting sqref="B204:B211">
    <cfRule type="expression" dxfId="8" priority="8">
      <formula>$A204&lt;&gt;"--"</formula>
    </cfRule>
  </conditionalFormatting>
  <conditionalFormatting sqref="B212:B219">
    <cfRule type="expression" dxfId="7" priority="7">
      <formula>$A212&lt;&gt;"--"</formula>
    </cfRule>
  </conditionalFormatting>
  <conditionalFormatting sqref="B220:B227">
    <cfRule type="expression" dxfId="6" priority="6">
      <formula>$A220&lt;&gt;"--"</formula>
    </cfRule>
  </conditionalFormatting>
  <conditionalFormatting sqref="B228:B251">
    <cfRule type="expression" dxfId="5" priority="5">
      <formula>$A228&lt;&gt;"--"</formula>
    </cfRule>
  </conditionalFormatting>
  <conditionalFormatting sqref="B236:B243">
    <cfRule type="expression" dxfId="4" priority="4">
      <formula>$A236&lt;&gt;"--"</formula>
    </cfRule>
  </conditionalFormatting>
  <conditionalFormatting sqref="B244:B251">
    <cfRule type="expression" dxfId="3" priority="3">
      <formula>$A244&lt;&gt;"--"</formula>
    </cfRule>
  </conditionalFormatting>
  <conditionalFormatting sqref="B228:B251">
    <cfRule type="cellIs" dxfId="2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G157"/>
  <sheetViews>
    <sheetView topLeftCell="A19" workbookViewId="0">
      <selection activeCell="B1" sqref="B1"/>
    </sheetView>
  </sheetViews>
  <sheetFormatPr defaultColWidth="15.109375" defaultRowHeight="14.4"/>
  <cols>
    <col min="1" max="1" width="8.5546875" style="1" customWidth="1"/>
    <col min="2" max="2" width="11.6640625" style="1" customWidth="1"/>
    <col min="3" max="4" width="11.5546875" style="1" customWidth="1"/>
    <col min="5" max="5" width="7.88671875" style="1" customWidth="1"/>
    <col min="6" max="6" width="8.5546875" style="1" customWidth="1"/>
    <col min="7" max="7" width="7.88671875" style="1" customWidth="1"/>
    <col min="8" max="8" width="10.33203125" style="1" customWidth="1"/>
    <col min="9" max="9" width="9.109375" style="1" customWidth="1"/>
    <col min="10" max="10" width="9" style="1" customWidth="1"/>
    <col min="11" max="11" width="7.88671875" style="1" customWidth="1"/>
    <col min="12" max="12" width="8.44140625" style="1" customWidth="1"/>
    <col min="13" max="14" width="7.88671875" style="1" customWidth="1"/>
    <col min="15" max="15" width="8.5546875" style="1" customWidth="1"/>
    <col min="16" max="16" width="9.109375" style="1" customWidth="1"/>
    <col min="17" max="17" width="11.5546875" style="1" customWidth="1"/>
    <col min="18" max="18" width="8.88671875" style="1" customWidth="1"/>
    <col min="19" max="19" width="7.88671875" style="1" customWidth="1"/>
    <col min="20" max="21" width="9" style="1" customWidth="1"/>
    <col min="22" max="22" width="11.5546875" style="1" customWidth="1"/>
    <col min="23" max="25" width="8.6640625" style="1" customWidth="1"/>
    <col min="26" max="26" width="8.5546875" style="1" customWidth="1"/>
    <col min="27" max="27" width="8.44140625" style="1" customWidth="1"/>
    <col min="28" max="29" width="11.5546875" style="1" customWidth="1"/>
    <col min="30" max="30" width="8.44140625" style="1" customWidth="1"/>
    <col min="31" max="31" width="9" style="1" customWidth="1"/>
    <col min="32" max="32" width="11.5546875" style="1" customWidth="1"/>
    <col min="33" max="33" width="10.33203125" style="1" customWidth="1"/>
  </cols>
  <sheetData>
    <row r="1" spans="1:33">
      <c r="A1" s="1" t="s">
        <v>138</v>
      </c>
      <c r="B1" s="1">
        <v>2025</v>
      </c>
    </row>
    <row r="2" spans="1:33">
      <c r="A2" s="34"/>
      <c r="B2" s="35" t="s">
        <v>78</v>
      </c>
      <c r="C2" s="35" t="s">
        <v>79</v>
      </c>
      <c r="D2" s="35" t="s">
        <v>80</v>
      </c>
      <c r="E2" s="36" t="s">
        <v>81</v>
      </c>
      <c r="F2" s="36" t="s">
        <v>82</v>
      </c>
      <c r="G2" s="35" t="s">
        <v>83</v>
      </c>
      <c r="H2" s="35" t="s">
        <v>84</v>
      </c>
      <c r="I2" s="35" t="s">
        <v>85</v>
      </c>
      <c r="J2" s="35" t="s">
        <v>86</v>
      </c>
      <c r="K2" s="35" t="s">
        <v>87</v>
      </c>
      <c r="L2" s="36" t="s">
        <v>88</v>
      </c>
      <c r="M2" s="36" t="s">
        <v>89</v>
      </c>
      <c r="N2" s="35" t="s">
        <v>90</v>
      </c>
      <c r="O2" s="35" t="s">
        <v>91</v>
      </c>
      <c r="P2" s="35" t="s">
        <v>92</v>
      </c>
      <c r="Q2" s="35" t="s">
        <v>93</v>
      </c>
      <c r="R2" s="35" t="s">
        <v>94</v>
      </c>
      <c r="S2" s="36" t="s">
        <v>95</v>
      </c>
      <c r="T2" s="36" t="s">
        <v>96</v>
      </c>
      <c r="U2" s="35" t="s">
        <v>97</v>
      </c>
      <c r="V2" s="35" t="s">
        <v>98</v>
      </c>
      <c r="W2" s="35" t="s">
        <v>99</v>
      </c>
      <c r="X2" s="35" t="s">
        <v>100</v>
      </c>
      <c r="Y2" s="35" t="s">
        <v>101</v>
      </c>
      <c r="Z2" s="36" t="s">
        <v>102</v>
      </c>
      <c r="AA2" s="36" t="s">
        <v>103</v>
      </c>
      <c r="AB2" s="35" t="s">
        <v>104</v>
      </c>
      <c r="AC2" s="35" t="s">
        <v>105</v>
      </c>
      <c r="AD2" s="35" t="s">
        <v>106</v>
      </c>
      <c r="AE2" s="35" t="s">
        <v>107</v>
      </c>
      <c r="AF2" s="35" t="s">
        <v>108</v>
      </c>
      <c r="AG2" s="37" t="s">
        <v>109</v>
      </c>
    </row>
    <row r="3" spans="1:33">
      <c r="A3" s="38" t="s">
        <v>19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 t="e">
        <f>#REF!</f>
        <v>#REF!</v>
      </c>
      <c r="AC3" s="39" t="e">
        <f>#REF!</f>
        <v>#REF!</v>
      </c>
      <c r="AD3" s="39" t="e">
        <f>#REF!</f>
        <v>#REF!</v>
      </c>
      <c r="AE3" s="39" t="e">
        <f>#REF!</f>
        <v>#REF!</v>
      </c>
      <c r="AF3" s="39" t="e">
        <f>#REF!</f>
        <v>#REF!</v>
      </c>
      <c r="AG3" s="40" t="e">
        <f>SUM(B3:AF3)</f>
        <v>#REF!</v>
      </c>
    </row>
    <row r="4" spans="1:33">
      <c r="A4" s="38" t="s">
        <v>19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41" t="e">
        <f>#REF!</f>
        <v>#REF!</v>
      </c>
      <c r="AC4" s="41" t="e">
        <f>#REF!</f>
        <v>#REF!</v>
      </c>
      <c r="AD4" s="41" t="e">
        <f>#REF!</f>
        <v>#REF!</v>
      </c>
      <c r="AE4" s="41" t="e">
        <f>#REF!</f>
        <v>#REF!</v>
      </c>
      <c r="AF4" s="41" t="e">
        <f>#REF!</f>
        <v>#REF!</v>
      </c>
      <c r="AG4" s="42" t="e">
        <f>SUM(B4:AF4)</f>
        <v>#REF!</v>
      </c>
    </row>
    <row r="28" spans="1:33">
      <c r="A28" s="34"/>
      <c r="B28" s="36" t="s">
        <v>78</v>
      </c>
      <c r="C28" s="36" t="s">
        <v>79</v>
      </c>
      <c r="D28" s="35" t="s">
        <v>80</v>
      </c>
      <c r="E28" s="35" t="s">
        <v>81</v>
      </c>
      <c r="F28" s="35" t="s">
        <v>82</v>
      </c>
      <c r="G28" s="35" t="s">
        <v>83</v>
      </c>
      <c r="H28" s="35" t="s">
        <v>84</v>
      </c>
      <c r="I28" s="36" t="s">
        <v>85</v>
      </c>
      <c r="J28" s="36" t="s">
        <v>86</v>
      </c>
      <c r="K28" s="35" t="s">
        <v>87</v>
      </c>
      <c r="L28" s="35" t="s">
        <v>88</v>
      </c>
      <c r="M28" s="35" t="s">
        <v>89</v>
      </c>
      <c r="N28" s="35" t="s">
        <v>90</v>
      </c>
      <c r="O28" s="35" t="s">
        <v>91</v>
      </c>
      <c r="P28" s="36" t="s">
        <v>92</v>
      </c>
      <c r="Q28" s="36" t="s">
        <v>93</v>
      </c>
      <c r="R28" s="35" t="s">
        <v>94</v>
      </c>
      <c r="S28" s="35" t="s">
        <v>95</v>
      </c>
      <c r="T28" s="35" t="s">
        <v>96</v>
      </c>
      <c r="U28" s="35" t="s">
        <v>97</v>
      </c>
      <c r="V28" s="35" t="s">
        <v>98</v>
      </c>
      <c r="W28" s="36" t="s">
        <v>99</v>
      </c>
      <c r="X28" s="36" t="s">
        <v>100</v>
      </c>
      <c r="Y28" s="35" t="s">
        <v>101</v>
      </c>
      <c r="Z28" s="35" t="s">
        <v>102</v>
      </c>
      <c r="AA28" s="35" t="s">
        <v>103</v>
      </c>
      <c r="AB28" s="35" t="s">
        <v>104</v>
      </c>
      <c r="AC28" s="35" t="s">
        <v>105</v>
      </c>
      <c r="AD28" s="35"/>
      <c r="AE28" s="35"/>
      <c r="AF28" s="35"/>
      <c r="AG28" s="37" t="s">
        <v>109</v>
      </c>
    </row>
    <row r="29" spans="1:33">
      <c r="A29" s="38" t="s">
        <v>20</v>
      </c>
      <c r="B29" s="39">
        <v>0</v>
      </c>
      <c r="C29" s="39" t="e">
        <f>#REF!</f>
        <v>#REF!</v>
      </c>
      <c r="D29" s="39" t="e">
        <f>#REF!</f>
        <v>#REF!</v>
      </c>
      <c r="E29" s="39" t="e">
        <f>#REF!</f>
        <v>#REF!</v>
      </c>
      <c r="F29" s="39" t="e">
        <f>#REF!</f>
        <v>#REF!</v>
      </c>
      <c r="G29" s="39" t="e">
        <f>#REF!</f>
        <v>#REF!</v>
      </c>
      <c r="H29" s="39" t="e">
        <f>#REF!</f>
        <v>#REF!</v>
      </c>
      <c r="I29" s="39" t="e">
        <f>#REF!</f>
        <v>#REF!</v>
      </c>
      <c r="J29" s="39" t="e">
        <f>#REF!</f>
        <v>#REF!</v>
      </c>
      <c r="K29" s="39" t="e">
        <f>#REF!</f>
        <v>#REF!</v>
      </c>
      <c r="L29" s="39" t="e">
        <f>#REF!</f>
        <v>#REF!</v>
      </c>
      <c r="M29" s="39" t="e">
        <f>#REF!</f>
        <v>#REF!</v>
      </c>
      <c r="N29" s="39" t="e">
        <f>#REF!</f>
        <v>#REF!</v>
      </c>
      <c r="O29" s="39" t="e">
        <f>#REF!</f>
        <v>#REF!</v>
      </c>
      <c r="P29" s="39" t="e">
        <f>#REF!</f>
        <v>#REF!</v>
      </c>
      <c r="Q29" s="39" t="e">
        <f>#REF!</f>
        <v>#REF!</v>
      </c>
      <c r="R29" s="39" t="e">
        <f>#REF!</f>
        <v>#REF!</v>
      </c>
      <c r="S29" s="39" t="e">
        <f>#REF!</f>
        <v>#REF!</v>
      </c>
      <c r="T29" s="39" t="e">
        <f>#REF!</f>
        <v>#REF!</v>
      </c>
      <c r="U29" s="43" t="e">
        <f>#REF!</f>
        <v>#REF!</v>
      </c>
      <c r="V29" s="39" t="e">
        <f>#REF!</f>
        <v>#REF!</v>
      </c>
      <c r="W29" s="39" t="e">
        <f>#REF!</f>
        <v>#REF!</v>
      </c>
      <c r="X29" s="43" t="e">
        <f>#REF!</f>
        <v>#REF!</v>
      </c>
      <c r="Y29" s="39" t="e">
        <f>#REF!</f>
        <v>#REF!</v>
      </c>
      <c r="Z29" s="39" t="e">
        <f>#REF!</f>
        <v>#REF!</v>
      </c>
      <c r="AA29" s="39" t="e">
        <f>#REF!</f>
        <v>#REF!</v>
      </c>
      <c r="AB29" s="39" t="e">
        <f>#REF!</f>
        <v>#REF!</v>
      </c>
      <c r="AC29" s="39" t="e">
        <f>#REF!</f>
        <v>#REF!</v>
      </c>
      <c r="AD29" s="39" t="e">
        <f>#REF!</f>
        <v>#REF!</v>
      </c>
      <c r="AE29" s="39" t="e">
        <f>#REF!</f>
        <v>#REF!</v>
      </c>
      <c r="AF29" s="39" t="e">
        <f>#REF!</f>
        <v>#REF!</v>
      </c>
      <c r="AG29" s="40" t="e">
        <f>SUM(B29:AF29)</f>
        <v>#REF!</v>
      </c>
    </row>
    <row r="30" spans="1:33">
      <c r="A30" s="44" t="s">
        <v>20</v>
      </c>
      <c r="B30" s="41" t="e">
        <f>#REF!</f>
        <v>#REF!</v>
      </c>
      <c r="C30" s="41" t="e">
        <f>#REF!</f>
        <v>#REF!</v>
      </c>
      <c r="D30" s="41" t="e">
        <f>#REF!</f>
        <v>#REF!</v>
      </c>
      <c r="E30" s="41" t="e">
        <f>#REF!</f>
        <v>#REF!</v>
      </c>
      <c r="F30" s="41" t="e">
        <f>#REF!</f>
        <v>#REF!</v>
      </c>
      <c r="G30" s="41" t="e">
        <f>#REF!</f>
        <v>#REF!</v>
      </c>
      <c r="H30" s="41" t="e">
        <f>#REF!</f>
        <v>#REF!</v>
      </c>
      <c r="I30" s="41" t="e">
        <f>#REF!</f>
        <v>#REF!</v>
      </c>
      <c r="J30" s="41" t="e">
        <f>#REF!</f>
        <v>#REF!</v>
      </c>
      <c r="K30" s="41" t="e">
        <f>#REF!</f>
        <v>#REF!</v>
      </c>
      <c r="L30" s="41" t="e">
        <f>#REF!</f>
        <v>#REF!</v>
      </c>
      <c r="M30" s="41" t="e">
        <f>#REF!</f>
        <v>#REF!</v>
      </c>
      <c r="N30" s="41" t="e">
        <f>#REF!</f>
        <v>#REF!</v>
      </c>
      <c r="O30" s="41" t="e">
        <f>#REF!</f>
        <v>#REF!</v>
      </c>
      <c r="P30" s="41" t="e">
        <f>#REF!</f>
        <v>#REF!</v>
      </c>
      <c r="Q30" s="41" t="e">
        <f>#REF!</f>
        <v>#REF!</v>
      </c>
      <c r="R30" s="41" t="e">
        <f>#REF!</f>
        <v>#REF!</v>
      </c>
      <c r="S30" s="41" t="e">
        <f>#REF!</f>
        <v>#REF!</v>
      </c>
      <c r="T30" s="41" t="e">
        <f>#REF!</f>
        <v>#REF!</v>
      </c>
      <c r="U30" s="41" t="e">
        <f>#REF!</f>
        <v>#REF!</v>
      </c>
      <c r="V30" s="41" t="e">
        <f>#REF!</f>
        <v>#REF!</v>
      </c>
      <c r="W30" s="41" t="e">
        <f>#REF!</f>
        <v>#REF!</v>
      </c>
      <c r="X30" s="41" t="e">
        <f>#REF!</f>
        <v>#REF!</v>
      </c>
      <c r="Y30" s="41" t="e">
        <f>#REF!</f>
        <v>#REF!</v>
      </c>
      <c r="Z30" s="41" t="e">
        <f>#REF!</f>
        <v>#REF!</v>
      </c>
      <c r="AA30" s="41" t="e">
        <f>#REF!</f>
        <v>#REF!</v>
      </c>
      <c r="AB30" s="41" t="e">
        <f>#REF!</f>
        <v>#REF!</v>
      </c>
      <c r="AC30" s="41" t="e">
        <f>#REF!</f>
        <v>#REF!</v>
      </c>
      <c r="AD30" s="41" t="e">
        <f>#REF!</f>
        <v>#REF!</v>
      </c>
      <c r="AE30" s="41" t="e">
        <f>#REF!</f>
        <v>#REF!</v>
      </c>
      <c r="AF30" s="41" t="e">
        <f>#REF!</f>
        <v>#REF!</v>
      </c>
      <c r="AG30" s="42" t="e">
        <f>SUM(B30:AF30)</f>
        <v>#REF!</v>
      </c>
    </row>
    <row r="38" spans="1:1">
      <c r="A38" s="1">
        <v>15</v>
      </c>
    </row>
    <row r="58" spans="1:33">
      <c r="A58" s="34"/>
      <c r="B58" s="36" t="s">
        <v>78</v>
      </c>
      <c r="C58" s="36" t="s">
        <v>79</v>
      </c>
      <c r="D58" s="35" t="s">
        <v>80</v>
      </c>
      <c r="E58" s="35" t="s">
        <v>81</v>
      </c>
      <c r="F58" s="35" t="s">
        <v>82</v>
      </c>
      <c r="G58" s="35" t="s">
        <v>83</v>
      </c>
      <c r="H58" s="35" t="s">
        <v>84</v>
      </c>
      <c r="I58" s="36" t="s">
        <v>85</v>
      </c>
      <c r="J58" s="36" t="s">
        <v>86</v>
      </c>
      <c r="K58" s="35" t="s">
        <v>87</v>
      </c>
      <c r="L58" s="36" t="s">
        <v>88</v>
      </c>
      <c r="M58" s="35" t="s">
        <v>89</v>
      </c>
      <c r="N58" s="35" t="s">
        <v>90</v>
      </c>
      <c r="O58" s="35" t="s">
        <v>91</v>
      </c>
      <c r="P58" s="36" t="s">
        <v>92</v>
      </c>
      <c r="Q58" s="36" t="s">
        <v>93</v>
      </c>
      <c r="R58" s="35" t="s">
        <v>94</v>
      </c>
      <c r="S58" s="35" t="s">
        <v>95</v>
      </c>
      <c r="T58" s="35" t="s">
        <v>96</v>
      </c>
      <c r="U58" s="35" t="s">
        <v>97</v>
      </c>
      <c r="V58" s="35" t="s">
        <v>98</v>
      </c>
      <c r="W58" s="36" t="s">
        <v>99</v>
      </c>
      <c r="X58" s="36" t="s">
        <v>100</v>
      </c>
      <c r="Y58" s="35" t="s">
        <v>101</v>
      </c>
      <c r="Z58" s="35" t="s">
        <v>102</v>
      </c>
      <c r="AA58" s="35" t="s">
        <v>103</v>
      </c>
      <c r="AB58" s="35" t="s">
        <v>104</v>
      </c>
      <c r="AC58" s="35" t="s">
        <v>105</v>
      </c>
      <c r="AD58" s="36" t="s">
        <v>106</v>
      </c>
      <c r="AE58" s="36" t="s">
        <v>107</v>
      </c>
      <c r="AF58" s="35" t="s">
        <v>108</v>
      </c>
      <c r="AG58" s="37" t="s">
        <v>109</v>
      </c>
    </row>
    <row r="59" spans="1:33">
      <c r="A59" s="38" t="s">
        <v>21</v>
      </c>
      <c r="B59" s="39" t="e">
        <f>#REF!</f>
        <v>#REF!</v>
      </c>
      <c r="C59" s="39" t="e">
        <f>#REF!</f>
        <v>#REF!</v>
      </c>
      <c r="D59" s="39" t="e">
        <f>#REF!</f>
        <v>#REF!</v>
      </c>
      <c r="E59" s="39" t="e">
        <f>#REF!</f>
        <v>#REF!</v>
      </c>
      <c r="F59" s="39" t="e">
        <f>#REF!</f>
        <v>#REF!</v>
      </c>
      <c r="G59" s="39" t="e">
        <f>#REF!</f>
        <v>#REF!</v>
      </c>
      <c r="H59" s="39" t="e">
        <f>#REF!</f>
        <v>#REF!</v>
      </c>
      <c r="I59" s="39" t="e">
        <f>#REF!</f>
        <v>#REF!</v>
      </c>
      <c r="J59" s="39" t="e">
        <f>#REF!</f>
        <v>#REF!</v>
      </c>
      <c r="K59" s="43" t="e">
        <f>#REF!</f>
        <v>#REF!</v>
      </c>
      <c r="L59" s="39" t="e">
        <f>#REF!</f>
        <v>#REF!</v>
      </c>
      <c r="M59" s="39" t="e">
        <f>#REF!</f>
        <v>#REF!</v>
      </c>
      <c r="N59" s="39" t="e">
        <f>#REF!</f>
        <v>#REF!</v>
      </c>
      <c r="O59" s="39" t="e">
        <f>#REF!</f>
        <v>#REF!</v>
      </c>
      <c r="P59" s="39" t="e">
        <f>#REF!</f>
        <v>#REF!</v>
      </c>
      <c r="Q59" s="39" t="e">
        <f>#REF!</f>
        <v>#REF!</v>
      </c>
      <c r="R59" s="39" t="e">
        <f>#REF!</f>
        <v>#REF!</v>
      </c>
      <c r="S59" s="39" t="e">
        <f>#REF!</f>
        <v>#REF!</v>
      </c>
      <c r="T59" s="39" t="e">
        <f>#REF!</f>
        <v>#REF!</v>
      </c>
      <c r="U59" s="39" t="e">
        <f>#REF!</f>
        <v>#REF!</v>
      </c>
      <c r="V59" s="39" t="e">
        <f>#REF!</f>
        <v>#REF!</v>
      </c>
      <c r="W59" s="39" t="e">
        <f>#REF!</f>
        <v>#REF!</v>
      </c>
      <c r="X59" s="39" t="e">
        <f>#REF!</f>
        <v>#REF!</v>
      </c>
      <c r="Y59" s="39" t="e">
        <f>#REF!</f>
        <v>#REF!</v>
      </c>
      <c r="Z59" s="39" t="e">
        <f>#REF!</f>
        <v>#REF!</v>
      </c>
      <c r="AA59" s="39" t="e">
        <f>#REF!</f>
        <v>#REF!</v>
      </c>
      <c r="AB59" s="39" t="e">
        <f>#REF!</f>
        <v>#REF!</v>
      </c>
      <c r="AC59" s="39" t="e">
        <f>#REF!</f>
        <v>#REF!</v>
      </c>
      <c r="AD59" s="39" t="e">
        <f>#REF!</f>
        <v>#REF!</v>
      </c>
      <c r="AE59" s="39" t="e">
        <f>#REF!</f>
        <v>#REF!</v>
      </c>
      <c r="AF59" s="39" t="e">
        <f>#REF!</f>
        <v>#REF!</v>
      </c>
      <c r="AG59" s="40" t="e">
        <f>SUM(B59:AF59)</f>
        <v>#REF!</v>
      </c>
    </row>
    <row r="60" spans="1:33">
      <c r="A60" s="38" t="s">
        <v>21</v>
      </c>
      <c r="B60" s="41" t="e">
        <f>#REF!</f>
        <v>#REF!</v>
      </c>
      <c r="C60" s="41" t="e">
        <f>#REF!</f>
        <v>#REF!</v>
      </c>
      <c r="D60" s="41" t="e">
        <f>#REF!</f>
        <v>#REF!</v>
      </c>
      <c r="E60" s="41" t="e">
        <f>#REF!</f>
        <v>#REF!</v>
      </c>
      <c r="F60" s="41" t="e">
        <f>#REF!</f>
        <v>#REF!</v>
      </c>
      <c r="G60" s="41" t="e">
        <f>#REF!</f>
        <v>#REF!</v>
      </c>
      <c r="H60" s="41" t="e">
        <f>#REF!</f>
        <v>#REF!</v>
      </c>
      <c r="I60" s="41" t="e">
        <f>#REF!</f>
        <v>#REF!</v>
      </c>
      <c r="J60" s="41" t="e">
        <f>#REF!</f>
        <v>#REF!</v>
      </c>
      <c r="K60" s="41" t="e">
        <f>#REF!</f>
        <v>#REF!</v>
      </c>
      <c r="L60" s="41" t="e">
        <f>#REF!</f>
        <v>#REF!</v>
      </c>
      <c r="M60" s="41" t="e">
        <f>#REF!</f>
        <v>#REF!</v>
      </c>
      <c r="N60" s="41" t="e">
        <f>#REF!</f>
        <v>#REF!</v>
      </c>
      <c r="O60" s="41" t="e">
        <f>#REF!</f>
        <v>#REF!</v>
      </c>
      <c r="P60" s="41" t="e">
        <f>#REF!</f>
        <v>#REF!</v>
      </c>
      <c r="Q60" s="41" t="e">
        <f>#REF!</f>
        <v>#REF!</v>
      </c>
      <c r="R60" s="41" t="e">
        <f>#REF!</f>
        <v>#REF!</v>
      </c>
      <c r="S60" s="41" t="e">
        <f>#REF!</f>
        <v>#REF!</v>
      </c>
      <c r="T60" s="41" t="e">
        <f>#REF!</f>
        <v>#REF!</v>
      </c>
      <c r="U60" s="41" t="e">
        <f>#REF!</f>
        <v>#REF!</v>
      </c>
      <c r="V60" s="41" t="e">
        <f>#REF!</f>
        <v>#REF!</v>
      </c>
      <c r="W60" s="41" t="e">
        <f>#REF!</f>
        <v>#REF!</v>
      </c>
      <c r="X60" s="41" t="e">
        <f>#REF!</f>
        <v>#REF!</v>
      </c>
      <c r="Y60" s="41" t="e">
        <f>#REF!</f>
        <v>#REF!</v>
      </c>
      <c r="Z60" s="41" t="e">
        <f>#REF!</f>
        <v>#REF!</v>
      </c>
      <c r="AA60" s="41" t="e">
        <f>#REF!</f>
        <v>#REF!</v>
      </c>
      <c r="AB60" s="41" t="e">
        <f>#REF!</f>
        <v>#REF!</v>
      </c>
      <c r="AC60" s="41" t="e">
        <f>#REF!</f>
        <v>#REF!</v>
      </c>
      <c r="AD60" s="41" t="e">
        <f>#REF!</f>
        <v>#REF!</v>
      </c>
      <c r="AE60" s="41" t="e">
        <f>#REF!</f>
        <v>#REF!</v>
      </c>
      <c r="AF60" s="41" t="e">
        <f>#REF!</f>
        <v>#REF!</v>
      </c>
      <c r="AG60" s="42" t="e">
        <f>SUM(B60:AF60)</f>
        <v>#REF!</v>
      </c>
    </row>
    <row r="90" spans="1:33">
      <c r="A90" s="34"/>
      <c r="B90" s="35" t="s">
        <v>78</v>
      </c>
      <c r="C90" s="203" t="s">
        <v>79</v>
      </c>
      <c r="D90" s="35" t="s">
        <v>80</v>
      </c>
      <c r="E90" s="35" t="s">
        <v>81</v>
      </c>
      <c r="F90" s="36" t="s">
        <v>82</v>
      </c>
      <c r="G90" s="36" t="s">
        <v>83</v>
      </c>
      <c r="H90" s="35" t="s">
        <v>84</v>
      </c>
      <c r="I90" s="35" t="s">
        <v>85</v>
      </c>
      <c r="J90" s="35" t="s">
        <v>86</v>
      </c>
      <c r="K90" s="35" t="s">
        <v>87</v>
      </c>
      <c r="L90" s="35" t="s">
        <v>88</v>
      </c>
      <c r="M90" s="36" t="s">
        <v>89</v>
      </c>
      <c r="N90" s="36" t="s">
        <v>90</v>
      </c>
      <c r="O90" s="35" t="s">
        <v>91</v>
      </c>
      <c r="P90" s="35" t="s">
        <v>92</v>
      </c>
      <c r="Q90" s="35" t="s">
        <v>93</v>
      </c>
      <c r="R90" s="35" t="s">
        <v>94</v>
      </c>
      <c r="S90" s="35" t="s">
        <v>95</v>
      </c>
      <c r="T90" s="36" t="s">
        <v>96</v>
      </c>
      <c r="U90" s="36" t="s">
        <v>97</v>
      </c>
      <c r="V90" s="36" t="s">
        <v>98</v>
      </c>
      <c r="W90" s="35" t="s">
        <v>99</v>
      </c>
      <c r="X90" s="35" t="s">
        <v>100</v>
      </c>
      <c r="Y90" s="35" t="s">
        <v>101</v>
      </c>
      <c r="Z90" s="35" t="s">
        <v>102</v>
      </c>
      <c r="AA90" s="36" t="s">
        <v>103</v>
      </c>
      <c r="AB90" s="36" t="s">
        <v>104</v>
      </c>
      <c r="AC90" s="35" t="s">
        <v>105</v>
      </c>
      <c r="AD90" s="35" t="s">
        <v>106</v>
      </c>
      <c r="AE90" s="35" t="s">
        <v>107</v>
      </c>
      <c r="AF90" s="35"/>
      <c r="AG90" s="37" t="s">
        <v>109</v>
      </c>
    </row>
    <row r="91" spans="1:33">
      <c r="A91" s="38" t="s">
        <v>22</v>
      </c>
      <c r="B91" s="43" t="e">
        <f>#REF!</f>
        <v>#REF!</v>
      </c>
      <c r="C91" s="43" t="e">
        <f>#REF!</f>
        <v>#REF!</v>
      </c>
      <c r="D91" s="43" t="e">
        <f>#REF!</f>
        <v>#REF!</v>
      </c>
      <c r="E91" s="43" t="e">
        <f>#REF!</f>
        <v>#REF!</v>
      </c>
      <c r="F91" s="43" t="e">
        <f>#REF!</f>
        <v>#REF!</v>
      </c>
      <c r="G91" s="43" t="e">
        <f>#REF!</f>
        <v>#REF!</v>
      </c>
      <c r="H91" s="43" t="e">
        <f>#REF!</f>
        <v>#REF!</v>
      </c>
      <c r="I91" s="43" t="e">
        <f>#REF!</f>
        <v>#REF!</v>
      </c>
      <c r="J91" s="43" t="e">
        <f>#REF!</f>
        <v>#REF!</v>
      </c>
      <c r="K91" s="43" t="e">
        <f>#REF!</f>
        <v>#REF!</v>
      </c>
      <c r="L91" s="43" t="e">
        <f>#REF!</f>
        <v>#REF!</v>
      </c>
      <c r="M91" s="43" t="e">
        <f>#REF!</f>
        <v>#REF!</v>
      </c>
      <c r="N91" s="43" t="e">
        <f>#REF!</f>
        <v>#REF!</v>
      </c>
      <c r="O91" s="43" t="e">
        <f>#REF!</f>
        <v>#REF!</v>
      </c>
      <c r="P91" s="43" t="e">
        <f>#REF!</f>
        <v>#REF!</v>
      </c>
      <c r="Q91" s="43" t="e">
        <f>#REF!</f>
        <v>#REF!</v>
      </c>
      <c r="R91" s="43" t="e">
        <f>#REF!</f>
        <v>#REF!</v>
      </c>
      <c r="S91" s="43" t="e">
        <f>#REF!</f>
        <v>#REF!</v>
      </c>
      <c r="T91" s="43" t="e">
        <f>#REF!</f>
        <v>#REF!</v>
      </c>
      <c r="U91" s="43" t="e">
        <f>#REF!</f>
        <v>#REF!</v>
      </c>
      <c r="V91" s="43" t="e">
        <f>#REF!</f>
        <v>#REF!</v>
      </c>
      <c r="W91" s="43" t="e">
        <f>#REF!</f>
        <v>#REF!</v>
      </c>
      <c r="X91" s="43" t="e">
        <f>#REF!</f>
        <v>#REF!</v>
      </c>
      <c r="Y91" s="43" t="e">
        <f>#REF!</f>
        <v>#REF!</v>
      </c>
      <c r="Z91" s="43" t="e">
        <f>#REF!</f>
        <v>#REF!</v>
      </c>
      <c r="AA91" s="43" t="e">
        <f>#REF!</f>
        <v>#REF!</v>
      </c>
      <c r="AB91" s="43" t="e">
        <f>#REF!</f>
        <v>#REF!</v>
      </c>
      <c r="AC91" s="43" t="e">
        <f>#REF!</f>
        <v>#REF!</v>
      </c>
      <c r="AD91" s="43" t="e">
        <f>#REF!</f>
        <v>#REF!</v>
      </c>
      <c r="AE91" s="43" t="e">
        <f>#REF!</f>
        <v>#REF!</v>
      </c>
      <c r="AF91" s="43" t="e">
        <f>#REF!</f>
        <v>#REF!</v>
      </c>
      <c r="AG91" s="40" t="e">
        <f>SUM(B91:AF91)</f>
        <v>#REF!</v>
      </c>
    </row>
    <row r="92" spans="1:33">
      <c r="A92" s="38" t="s">
        <v>22</v>
      </c>
      <c r="B92" s="41" t="e">
        <f>#REF!</f>
        <v>#REF!</v>
      </c>
      <c r="C92" s="41" t="e">
        <f>#REF!</f>
        <v>#REF!</v>
      </c>
      <c r="D92" s="41" t="e">
        <f>#REF!</f>
        <v>#REF!</v>
      </c>
      <c r="E92" s="41" t="e">
        <f>#REF!</f>
        <v>#REF!</v>
      </c>
      <c r="F92" s="41" t="e">
        <f>#REF!</f>
        <v>#REF!</v>
      </c>
      <c r="G92" s="41" t="e">
        <f>#REF!</f>
        <v>#REF!</v>
      </c>
      <c r="H92" s="41" t="e">
        <f>#REF!</f>
        <v>#REF!</v>
      </c>
      <c r="I92" s="41" t="e">
        <f>#REF!</f>
        <v>#REF!</v>
      </c>
      <c r="J92" s="41" t="e">
        <f>#REF!</f>
        <v>#REF!</v>
      </c>
      <c r="K92" s="41" t="e">
        <f>#REF!</f>
        <v>#REF!</v>
      </c>
      <c r="L92" s="41" t="e">
        <f>#REF!</f>
        <v>#REF!</v>
      </c>
      <c r="M92" s="41" t="e">
        <f>#REF!</f>
        <v>#REF!</v>
      </c>
      <c r="N92" s="41" t="e">
        <f>#REF!</f>
        <v>#REF!</v>
      </c>
      <c r="O92" s="41" t="e">
        <f>#REF!</f>
        <v>#REF!</v>
      </c>
      <c r="P92" s="41" t="e">
        <f>#REF!</f>
        <v>#REF!</v>
      </c>
      <c r="Q92" s="41" t="e">
        <f>#REF!</f>
        <v>#REF!</v>
      </c>
      <c r="R92" s="41" t="e">
        <f>#REF!</f>
        <v>#REF!</v>
      </c>
      <c r="S92" s="41" t="e">
        <f>#REF!</f>
        <v>#REF!</v>
      </c>
      <c r="T92" s="41" t="e">
        <f>#REF!</f>
        <v>#REF!</v>
      </c>
      <c r="U92" s="41" t="e">
        <f>#REF!</f>
        <v>#REF!</v>
      </c>
      <c r="V92" s="41" t="e">
        <f>#REF!</f>
        <v>#REF!</v>
      </c>
      <c r="W92" s="41" t="e">
        <f>#REF!</f>
        <v>#REF!</v>
      </c>
      <c r="X92" s="41" t="e">
        <f>#REF!</f>
        <v>#REF!</v>
      </c>
      <c r="Y92" s="41" t="e">
        <f>#REF!</f>
        <v>#REF!</v>
      </c>
      <c r="Z92" s="41" t="e">
        <f>#REF!</f>
        <v>#REF!</v>
      </c>
      <c r="AA92" s="41" t="e">
        <f>#REF!</f>
        <v>#REF!</v>
      </c>
      <c r="AB92" s="41" t="e">
        <f>#REF!</f>
        <v>#REF!</v>
      </c>
      <c r="AC92" s="41" t="e">
        <f>#REF!</f>
        <v>#REF!</v>
      </c>
      <c r="AD92" s="41" t="e">
        <f>#REF!</f>
        <v>#REF!</v>
      </c>
      <c r="AE92" s="41" t="e">
        <f>#REF!</f>
        <v>#REF!</v>
      </c>
      <c r="AF92" s="41" t="e">
        <f>#REF!</f>
        <v>#REF!</v>
      </c>
      <c r="AG92" s="42" t="e">
        <f>SUM(B92:AF92)</f>
        <v>#REF!</v>
      </c>
    </row>
    <row r="122" spans="1:33">
      <c r="A122" s="34"/>
      <c r="B122" s="35" t="s">
        <v>78</v>
      </c>
      <c r="C122" s="35" t="s">
        <v>79</v>
      </c>
      <c r="D122" s="36" t="s">
        <v>80</v>
      </c>
      <c r="E122" s="36" t="s">
        <v>81</v>
      </c>
      <c r="F122" s="35" t="s">
        <v>82</v>
      </c>
      <c r="G122" s="35" t="s">
        <v>83</v>
      </c>
      <c r="H122" s="35" t="s">
        <v>84</v>
      </c>
      <c r="I122" s="35" t="s">
        <v>85</v>
      </c>
      <c r="J122" s="35" t="s">
        <v>86</v>
      </c>
      <c r="K122" s="36" t="s">
        <v>87</v>
      </c>
      <c r="L122" s="36" t="s">
        <v>88</v>
      </c>
      <c r="M122" s="35" t="s">
        <v>89</v>
      </c>
      <c r="N122" s="35" t="s">
        <v>90</v>
      </c>
      <c r="O122" s="35" t="s">
        <v>91</v>
      </c>
      <c r="P122" s="35" t="s">
        <v>92</v>
      </c>
      <c r="Q122" s="35" t="s">
        <v>93</v>
      </c>
      <c r="R122" s="36" t="s">
        <v>94</v>
      </c>
      <c r="S122" s="36" t="s">
        <v>95</v>
      </c>
      <c r="T122" s="35" t="s">
        <v>96</v>
      </c>
      <c r="U122" s="35" t="s">
        <v>97</v>
      </c>
      <c r="V122" s="35" t="s">
        <v>98</v>
      </c>
      <c r="W122" s="35" t="s">
        <v>99</v>
      </c>
      <c r="X122" s="35" t="s">
        <v>100</v>
      </c>
      <c r="Y122" s="36" t="s">
        <v>101</v>
      </c>
      <c r="Z122" s="36" t="s">
        <v>102</v>
      </c>
      <c r="AA122" s="35" t="s">
        <v>103</v>
      </c>
      <c r="AB122" s="35" t="s">
        <v>104</v>
      </c>
      <c r="AC122" s="35" t="s">
        <v>105</v>
      </c>
      <c r="AD122" s="35" t="s">
        <v>106</v>
      </c>
      <c r="AE122" s="35" t="s">
        <v>107</v>
      </c>
      <c r="AF122" s="36" t="s">
        <v>108</v>
      </c>
      <c r="AG122" s="37" t="s">
        <v>109</v>
      </c>
    </row>
    <row r="123" spans="1:33">
      <c r="A123" s="38" t="s">
        <v>23</v>
      </c>
      <c r="B123" s="43">
        <v>1</v>
      </c>
      <c r="C123" s="43" t="e">
        <f>#REF!</f>
        <v>#REF!</v>
      </c>
      <c r="D123" s="43" t="e">
        <f>#REF!</f>
        <v>#REF!</v>
      </c>
      <c r="E123" s="43" t="e">
        <f>#REF!</f>
        <v>#REF!</v>
      </c>
      <c r="F123" s="43" t="e">
        <f>#REF!</f>
        <v>#REF!</v>
      </c>
      <c r="G123" s="43" t="e">
        <f>#REF!</f>
        <v>#REF!</v>
      </c>
      <c r="H123" s="43" t="e">
        <f>#REF!</f>
        <v>#REF!</v>
      </c>
      <c r="I123" s="43" t="e">
        <f>#REF!</f>
        <v>#REF!</v>
      </c>
      <c r="J123" s="43" t="e">
        <f>#REF!</f>
        <v>#REF!</v>
      </c>
      <c r="K123" s="43" t="e">
        <f>#REF!</f>
        <v>#REF!</v>
      </c>
      <c r="L123" s="43" t="e">
        <f>#REF!</f>
        <v>#REF!</v>
      </c>
      <c r="M123" s="43" t="e">
        <f>#REF!</f>
        <v>#REF!</v>
      </c>
      <c r="N123" s="43" t="e">
        <f>#REF!</f>
        <v>#REF!</v>
      </c>
      <c r="O123" s="43" t="e">
        <f>#REF!</f>
        <v>#REF!</v>
      </c>
      <c r="P123" s="43" t="e">
        <f>#REF!</f>
        <v>#REF!</v>
      </c>
      <c r="Q123" s="43" t="e">
        <f>#REF!</f>
        <v>#REF!</v>
      </c>
      <c r="R123" s="43" t="e">
        <f>#REF!</f>
        <v>#REF!</v>
      </c>
      <c r="S123" s="43" t="e">
        <f>#REF!</f>
        <v>#REF!</v>
      </c>
      <c r="T123" s="43" t="e">
        <f>#REF!</f>
        <v>#REF!</v>
      </c>
      <c r="U123" s="43" t="e">
        <f>#REF!</f>
        <v>#REF!</v>
      </c>
      <c r="V123" s="43" t="e">
        <f>#REF!</f>
        <v>#REF!</v>
      </c>
      <c r="W123" s="43" t="e">
        <f>#REF!</f>
        <v>#REF!</v>
      </c>
      <c r="X123" s="43" t="e">
        <f>#REF!</f>
        <v>#REF!</v>
      </c>
      <c r="Y123" s="43" t="e">
        <f>#REF!</f>
        <v>#REF!</v>
      </c>
      <c r="Z123" s="43" t="e">
        <f>#REF!</f>
        <v>#REF!</v>
      </c>
      <c r="AA123" s="43" t="e">
        <f>#REF!</f>
        <v>#REF!</v>
      </c>
      <c r="AB123" s="43" t="e">
        <f>#REF!</f>
        <v>#REF!</v>
      </c>
      <c r="AC123" s="43" t="e">
        <f>#REF!</f>
        <v>#REF!</v>
      </c>
      <c r="AD123" s="43" t="e">
        <f>#REF!</f>
        <v>#REF!</v>
      </c>
      <c r="AE123" s="43" t="e">
        <f>#REF!</f>
        <v>#REF!</v>
      </c>
      <c r="AF123" s="43" t="e">
        <f>#REF!</f>
        <v>#REF!</v>
      </c>
      <c r="AG123" s="40" t="e">
        <f>SUM(B123:AF123)</f>
        <v>#REF!</v>
      </c>
    </row>
    <row r="124" spans="1:33">
      <c r="A124" s="38" t="s">
        <v>23</v>
      </c>
      <c r="B124" s="41" t="e">
        <f>#REF!</f>
        <v>#REF!</v>
      </c>
      <c r="C124" s="41" t="e">
        <f>#REF!</f>
        <v>#REF!</v>
      </c>
      <c r="D124" s="41" t="e">
        <f>#REF!</f>
        <v>#REF!</v>
      </c>
      <c r="E124" s="41" t="e">
        <f>#REF!</f>
        <v>#REF!</v>
      </c>
      <c r="F124" s="45" t="e">
        <f>#REF!</f>
        <v>#REF!</v>
      </c>
      <c r="G124" s="41" t="e">
        <f>#REF!</f>
        <v>#REF!</v>
      </c>
      <c r="H124" s="41" t="e">
        <f>#REF!</f>
        <v>#REF!</v>
      </c>
      <c r="I124" s="41" t="e">
        <f>#REF!</f>
        <v>#REF!</v>
      </c>
      <c r="J124" s="41" t="e">
        <f>#REF!</f>
        <v>#REF!</v>
      </c>
      <c r="K124" s="41" t="e">
        <f>#REF!</f>
        <v>#REF!</v>
      </c>
      <c r="L124" s="41" t="e">
        <f>#REF!</f>
        <v>#REF!</v>
      </c>
      <c r="M124" s="41" t="e">
        <f>#REF!</f>
        <v>#REF!</v>
      </c>
      <c r="N124" s="41" t="e">
        <f>#REF!</f>
        <v>#REF!</v>
      </c>
      <c r="O124" s="41" t="e">
        <f>#REF!</f>
        <v>#REF!</v>
      </c>
      <c r="P124" s="41" t="e">
        <f>#REF!</f>
        <v>#REF!</v>
      </c>
      <c r="Q124" s="41" t="e">
        <f>#REF!</f>
        <v>#REF!</v>
      </c>
      <c r="R124" s="41" t="e">
        <f>#REF!</f>
        <v>#REF!</v>
      </c>
      <c r="S124" s="41" t="e">
        <f>#REF!</f>
        <v>#REF!</v>
      </c>
      <c r="T124" s="41" t="e">
        <f>#REF!</f>
        <v>#REF!</v>
      </c>
      <c r="U124" s="41" t="e">
        <f>#REF!</f>
        <v>#REF!</v>
      </c>
      <c r="V124" s="41" t="e">
        <f>#REF!</f>
        <v>#REF!</v>
      </c>
      <c r="W124" s="41" t="e">
        <f>#REF!</f>
        <v>#REF!</v>
      </c>
      <c r="X124" s="41" t="e">
        <f>#REF!</f>
        <v>#REF!</v>
      </c>
      <c r="Y124" s="41" t="e">
        <f>#REF!</f>
        <v>#REF!</v>
      </c>
      <c r="Z124" s="41" t="e">
        <f>#REF!</f>
        <v>#REF!</v>
      </c>
      <c r="AA124" s="41" t="e">
        <f>#REF!</f>
        <v>#REF!</v>
      </c>
      <c r="AB124" s="41" t="e">
        <f>#REF!</f>
        <v>#REF!</v>
      </c>
      <c r="AC124" s="41" t="e">
        <f>#REF!</f>
        <v>#REF!</v>
      </c>
      <c r="AD124" s="41" t="e">
        <f>#REF!</f>
        <v>#REF!</v>
      </c>
      <c r="AE124" s="41" t="e">
        <f>#REF!</f>
        <v>#REF!</v>
      </c>
      <c r="AF124" s="41" t="e">
        <f>#REF!</f>
        <v>#REF!</v>
      </c>
      <c r="AG124" s="46" t="e">
        <f>SUM(B124:AF124)</f>
        <v>#REF!</v>
      </c>
    </row>
    <row r="155" spans="1:33">
      <c r="A155" s="34"/>
      <c r="B155" s="36" t="s">
        <v>78</v>
      </c>
      <c r="C155" s="35" t="s">
        <v>79</v>
      </c>
      <c r="D155" s="35" t="s">
        <v>80</v>
      </c>
      <c r="E155" s="35" t="s">
        <v>81</v>
      </c>
      <c r="F155" s="35" t="s">
        <v>82</v>
      </c>
      <c r="G155" s="35" t="s">
        <v>83</v>
      </c>
      <c r="H155" s="36" t="s">
        <v>84</v>
      </c>
      <c r="I155" s="36" t="s">
        <v>85</v>
      </c>
      <c r="J155" s="35" t="s">
        <v>86</v>
      </c>
      <c r="K155" s="35" t="s">
        <v>87</v>
      </c>
      <c r="L155" s="35" t="s">
        <v>88</v>
      </c>
      <c r="M155" s="35" t="s">
        <v>89</v>
      </c>
      <c r="N155" s="35" t="s">
        <v>90</v>
      </c>
      <c r="O155" s="36" t="s">
        <v>91</v>
      </c>
      <c r="P155" s="36" t="s">
        <v>92</v>
      </c>
      <c r="Q155" s="35" t="s">
        <v>93</v>
      </c>
      <c r="R155" s="35" t="s">
        <v>94</v>
      </c>
      <c r="S155" s="35" t="s">
        <v>95</v>
      </c>
      <c r="T155" s="35" t="s">
        <v>96</v>
      </c>
      <c r="U155" s="35" t="s">
        <v>97</v>
      </c>
      <c r="V155" s="36" t="s">
        <v>98</v>
      </c>
      <c r="W155" s="36" t="s">
        <v>99</v>
      </c>
      <c r="X155" s="35" t="s">
        <v>100</v>
      </c>
      <c r="Y155" s="35" t="s">
        <v>101</v>
      </c>
      <c r="Z155" s="35" t="s">
        <v>102</v>
      </c>
      <c r="AA155" s="35" t="s">
        <v>103</v>
      </c>
      <c r="AB155" s="35" t="s">
        <v>104</v>
      </c>
      <c r="AC155" s="36" t="s">
        <v>105</v>
      </c>
      <c r="AD155" s="36" t="s">
        <v>106</v>
      </c>
      <c r="AE155" s="35" t="s">
        <v>107</v>
      </c>
      <c r="AF155" s="36" t="s">
        <v>108</v>
      </c>
      <c r="AG155" s="37" t="s">
        <v>109</v>
      </c>
    </row>
    <row r="156" spans="1:33">
      <c r="A156" s="38" t="s">
        <v>24</v>
      </c>
      <c r="B156" s="43" t="e">
        <f>#REF!</f>
        <v>#REF!</v>
      </c>
      <c r="C156" s="43" t="e">
        <f>#REF!</f>
        <v>#REF!</v>
      </c>
      <c r="D156" s="43" t="e">
        <f>#REF!</f>
        <v>#REF!</v>
      </c>
      <c r="E156" s="43" t="e">
        <f>#REF!</f>
        <v>#REF!</v>
      </c>
      <c r="F156" s="43" t="e">
        <f>#REF!</f>
        <v>#REF!</v>
      </c>
      <c r="G156" s="43" t="e">
        <f>#REF!</f>
        <v>#REF!</v>
      </c>
      <c r="H156" s="43" t="e">
        <f>#REF!</f>
        <v>#REF!</v>
      </c>
      <c r="I156" s="43" t="e">
        <f>#REF!</f>
        <v>#REF!</v>
      </c>
      <c r="J156" s="43" t="e">
        <f>#REF!</f>
        <v>#REF!</v>
      </c>
      <c r="K156" s="43" t="e">
        <f>#REF!</f>
        <v>#REF!</v>
      </c>
      <c r="L156" s="43" t="e">
        <f>#REF!</f>
        <v>#REF!</v>
      </c>
      <c r="M156" s="43" t="e">
        <f>#REF!</f>
        <v>#REF!</v>
      </c>
      <c r="N156" s="43" t="e">
        <f>#REF!</f>
        <v>#REF!</v>
      </c>
      <c r="O156" s="43" t="e">
        <f>#REF!</f>
        <v>#REF!</v>
      </c>
      <c r="P156" s="43" t="e">
        <f>#REF!</f>
        <v>#REF!</v>
      </c>
      <c r="Q156" s="43" t="e">
        <f>#REF!</f>
        <v>#REF!</v>
      </c>
      <c r="R156" s="43" t="e">
        <f>#REF!</f>
        <v>#REF!</v>
      </c>
      <c r="S156" s="43" t="e">
        <f>#REF!</f>
        <v>#REF!</v>
      </c>
      <c r="T156" s="43" t="e">
        <f>#REF!</f>
        <v>#REF!</v>
      </c>
      <c r="U156" s="43" t="e">
        <f>#REF!</f>
        <v>#REF!</v>
      </c>
      <c r="V156" s="43" t="e">
        <f>#REF!</f>
        <v>#REF!</v>
      </c>
      <c r="W156" s="43" t="e">
        <f>#REF!</f>
        <v>#REF!</v>
      </c>
      <c r="X156" s="43" t="e">
        <f>#REF!</f>
        <v>#REF!</v>
      </c>
      <c r="Y156" s="43" t="e">
        <f>#REF!</f>
        <v>#REF!</v>
      </c>
      <c r="Z156" s="43" t="e">
        <f>#REF!</f>
        <v>#REF!</v>
      </c>
      <c r="AA156" s="43" t="e">
        <f>#REF!</f>
        <v>#REF!</v>
      </c>
      <c r="AB156" s="43" t="e">
        <f>#REF!</f>
        <v>#REF!</v>
      </c>
      <c r="AC156" s="43" t="e">
        <f>#REF!</f>
        <v>#REF!</v>
      </c>
      <c r="AD156" s="43" t="e">
        <f>#REF!</f>
        <v>#REF!</v>
      </c>
      <c r="AE156" s="43" t="e">
        <f>#REF!</f>
        <v>#REF!</v>
      </c>
      <c r="AF156" s="43" t="e">
        <f>#REF!</f>
        <v>#REF!</v>
      </c>
      <c r="AG156" s="40" t="e">
        <f>SUM(B156:AF156)</f>
        <v>#REF!</v>
      </c>
    </row>
    <row r="157" spans="1:33">
      <c r="A157" s="38" t="s">
        <v>24</v>
      </c>
      <c r="B157" s="41" t="e">
        <f>#REF!</f>
        <v>#REF!</v>
      </c>
      <c r="C157" s="41" t="e">
        <f>#REF!</f>
        <v>#REF!</v>
      </c>
      <c r="D157" s="41" t="e">
        <f>#REF!</f>
        <v>#REF!</v>
      </c>
      <c r="E157" s="41" t="e">
        <f>#REF!</f>
        <v>#REF!</v>
      </c>
      <c r="F157" s="41" t="e">
        <f>#REF!</f>
        <v>#REF!</v>
      </c>
      <c r="G157" s="41" t="e">
        <f>#REF!</f>
        <v>#REF!</v>
      </c>
      <c r="H157" s="41" t="e">
        <f>#REF!</f>
        <v>#REF!</v>
      </c>
      <c r="I157" s="41" t="e">
        <f>#REF!</f>
        <v>#REF!</v>
      </c>
      <c r="J157" s="41" t="e">
        <f>#REF!</f>
        <v>#REF!</v>
      </c>
      <c r="K157" s="41" t="e">
        <f>#REF!</f>
        <v>#REF!</v>
      </c>
      <c r="L157" s="41" t="e">
        <f>#REF!</f>
        <v>#REF!</v>
      </c>
      <c r="M157" s="41" t="e">
        <f>#REF!</f>
        <v>#REF!</v>
      </c>
      <c r="N157" s="41" t="e">
        <f>#REF!</f>
        <v>#REF!</v>
      </c>
      <c r="O157" s="41" t="e">
        <f>#REF!</f>
        <v>#REF!</v>
      </c>
      <c r="P157" s="41" t="e">
        <f>#REF!</f>
        <v>#REF!</v>
      </c>
      <c r="Q157" s="41" t="e">
        <f>#REF!</f>
        <v>#REF!</v>
      </c>
      <c r="R157" s="41" t="e">
        <f>#REF!</f>
        <v>#REF!</v>
      </c>
      <c r="S157" s="41" t="e">
        <f>#REF!</f>
        <v>#REF!</v>
      </c>
      <c r="T157" s="41" t="e">
        <f>#REF!</f>
        <v>#REF!</v>
      </c>
      <c r="U157" s="41" t="e">
        <f>#REF!</f>
        <v>#REF!</v>
      </c>
      <c r="V157" s="41" t="e">
        <f>#REF!</f>
        <v>#REF!</v>
      </c>
      <c r="W157" s="41" t="e">
        <f>#REF!</f>
        <v>#REF!</v>
      </c>
      <c r="X157" s="41" t="e">
        <f>#REF!</f>
        <v>#REF!</v>
      </c>
      <c r="Y157" s="41" t="e">
        <f>#REF!</f>
        <v>#REF!</v>
      </c>
      <c r="Z157" s="41" t="e">
        <f>#REF!</f>
        <v>#REF!</v>
      </c>
      <c r="AA157" s="41" t="e">
        <f>#REF!</f>
        <v>#REF!</v>
      </c>
      <c r="AB157" s="41" t="e">
        <f>#REF!</f>
        <v>#REF!</v>
      </c>
      <c r="AC157" s="41" t="e">
        <f>#REF!</f>
        <v>#REF!</v>
      </c>
      <c r="AD157" s="41" t="e">
        <f>#REF!</f>
        <v>#REF!</v>
      </c>
      <c r="AE157" s="41" t="e">
        <f>#REF!</f>
        <v>#REF!</v>
      </c>
      <c r="AF157" s="41" t="e">
        <f>#REF!</f>
        <v>#REF!</v>
      </c>
      <c r="AG157" s="42" t="e">
        <f>SUM(B157:AF157)</f>
        <v>#REF!</v>
      </c>
    </row>
  </sheetData>
  <dataValidations count="1">
    <dataValidation type="list" allowBlank="1" showInputMessage="1" showErrorMessage="1" sqref="B1">
      <formula1>'0'!$D$1:$D$16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I23"/>
  <sheetViews>
    <sheetView workbookViewId="0">
      <selection activeCell="G21" sqref="G21"/>
    </sheetView>
  </sheetViews>
  <sheetFormatPr defaultRowHeight="14.4"/>
  <cols>
    <col min="9" max="9" width="67.88671875" customWidth="1"/>
  </cols>
  <sheetData>
    <row r="1" spans="1:9">
      <c r="B1">
        <v>5</v>
      </c>
      <c r="C1">
        <v>28</v>
      </c>
      <c r="E1">
        <v>1</v>
      </c>
    </row>
    <row r="3" spans="1:9" ht="17.399999999999999">
      <c r="I3" s="211" t="s">
        <v>179</v>
      </c>
    </row>
    <row r="4" spans="1:9" ht="17.399999999999999">
      <c r="I4" s="211" t="s">
        <v>180</v>
      </c>
    </row>
    <row r="5" spans="1:9" s="161" customFormat="1">
      <c r="B5" s="161">
        <f ca="1">INDIRECT(ADDRESS(OFFSET('0'!B113,(B1-1)*10,C1-1)+1,E1+4,4,TRUE,OFFSET('0'!B1,B1-1,0)))</f>
        <v>106</v>
      </c>
      <c r="D5" s="161">
        <f ca="1">INDIRECT(ADDRESS(OFFSET('0'!$B$113,($B$1-1)*10,$C$1-1)+1,$E$1+4,4,TRUE,OFFSET('0'!$B$1,$B$1-1,0)))</f>
        <v>106</v>
      </c>
      <c r="I5" s="212" t="str">
        <f ca="1">CONCATENATE(I3,TEXT(Dinamika!AI13,"### ##0,0"),I4)</f>
        <v>Patirtos žalos** (iš viso 993 065,3 €)</v>
      </c>
    </row>
    <row r="7" spans="1:9" ht="28.2" customHeight="1">
      <c r="B7" t="str">
        <f ca="1">OFFSET('0'!B1,B1-1,0)</f>
        <v>Gegužė</v>
      </c>
      <c r="D7" t="str">
        <f ca="1">ADDRESS(112,4,4,TRUE,OFFSET('0'!B1,B1-1,0))</f>
        <v>Gegužė!D112</v>
      </c>
      <c r="F7" t="str">
        <f ca="1">OFFSET('0'!B112,0,1)</f>
        <v>--</v>
      </c>
    </row>
    <row r="8" spans="1:9" ht="17.399999999999999">
      <c r="A8" s="161">
        <f>ROW(A8)</f>
        <v>8</v>
      </c>
      <c r="I8" s="238" t="s">
        <v>185</v>
      </c>
    </row>
    <row r="9" spans="1:9" ht="17.399999999999999">
      <c r="I9" s="238" t="s">
        <v>186</v>
      </c>
    </row>
    <row r="10" spans="1:9">
      <c r="B10">
        <f ca="1">OFFSET('0'!B113,(B1-1)*10,C1)</f>
        <v>234</v>
      </c>
      <c r="D10" t="str">
        <f ca="1">OFFSET('0'!B1,B1-1,0)</f>
        <v>Gegužė</v>
      </c>
    </row>
    <row r="11" spans="1:9">
      <c r="C11">
        <v>1</v>
      </c>
      <c r="I11" t="s">
        <v>187</v>
      </c>
    </row>
    <row r="12" spans="1:9">
      <c r="B12" s="191"/>
      <c r="C12" s="191"/>
      <c r="D12" s="191">
        <f ca="1" xml:space="preserve">
                               OFFSET('0'!$B$112,
                                          1,
                                           -1)</f>
        <v>253</v>
      </c>
      <c r="F12" t="str">
        <f ca="1" xml:space="preserve">
                ADDRESS(
                               OFFSET('0'!$B$112,
                                           COLUMN($D11)-3,
                                           -1),
                              4,4,TRUE,
                              OFFSET('0'!$B$1,COLUMN($D11)-4,0))</f>
        <v>Sausis!D253</v>
      </c>
      <c r="I12" s="161" t="s">
        <v>188</v>
      </c>
    </row>
    <row r="14" spans="1:9">
      <c r="D14">
        <f ca="1">OFFSET('0'!$B$112,
                                            (COLUMN(D11)-4)*10+1,
                                           -1)</f>
        <v>253</v>
      </c>
    </row>
    <row r="16" spans="1:9">
      <c r="I16" s="161" t="str">
        <f ca="1">CONCATENATE(I11,Dinamika!$B$1," m. ",
                          OFFSET('0'!A1,Dinamika!$C$11-1,0)," ",
                          DAY(DATE(Dinamika!B1,Dinamika!$C$11+1,1)-1),I12,B10,")")</f>
        <v>2025 m. sausio 27 d. – 2025 m. vasario 28 d. registruota pranešimų (iš viso: 234)</v>
      </c>
    </row>
    <row r="17" spans="4:9" ht="28.8">
      <c r="D17" s="191" t="str">
        <f ca="1">ADDRESS(OFFSET('0'!B$113,($C$11-1)*10,COLUMN(D17)-4),2,4,TRUE,OFFSET('0'!$B$1,$C$11-1,0))</f>
        <v>Sausis!B10</v>
      </c>
      <c r="E17" t="str">
        <f ca="1">ADDRESS(OFFSET('0'!$B$113,($C$11-1)*10,COLUMN(E$1)-4)+1,4,4,TRUE,OFFSET('0'!$B$1,$C$11-1,0))</f>
        <v>Sausis!D19</v>
      </c>
    </row>
    <row r="19" spans="4:9">
      <c r="E19" s="247"/>
      <c r="F19" s="247"/>
    </row>
    <row r="20" spans="4:9">
      <c r="E20" s="252"/>
      <c r="F20" s="247"/>
    </row>
    <row r="22" spans="4:9">
      <c r="D22" s="161"/>
      <c r="G22" s="161"/>
    </row>
    <row r="23" spans="4:9">
      <c r="I23" s="52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I209"/>
  <sheetViews>
    <sheetView zoomScale="110" zoomScaleNormal="110" workbookViewId="0">
      <pane ySplit="1" topLeftCell="A3" activePane="bottomLeft" state="frozen"/>
      <selection pane="bottomLeft" activeCell="J16" sqref="J16"/>
    </sheetView>
  </sheetViews>
  <sheetFormatPr defaultColWidth="15.109375" defaultRowHeight="14.4"/>
  <cols>
    <col min="1" max="1" width="7.44140625" style="162" customWidth="1"/>
    <col min="2" max="2" width="8.5546875" style="162" customWidth="1"/>
    <col min="3" max="4" width="11.5546875" style="162" customWidth="1"/>
    <col min="5" max="5" width="7.88671875" style="162" customWidth="1"/>
    <col min="6" max="6" width="8.5546875" style="162" customWidth="1"/>
    <col min="7" max="7" width="7.88671875" style="162" customWidth="1"/>
    <col min="8" max="8" width="10.33203125" style="162" customWidth="1"/>
    <col min="9" max="9" width="9.109375" style="162" customWidth="1"/>
    <col min="10" max="10" width="9" style="162" customWidth="1"/>
    <col min="11" max="11" width="7.88671875" style="162" customWidth="1"/>
    <col min="12" max="12" width="8.44140625" style="162" customWidth="1"/>
    <col min="13" max="14" width="7.88671875" style="162" customWidth="1"/>
    <col min="15" max="15" width="8.5546875" style="162" customWidth="1"/>
    <col min="16" max="16" width="9.109375" style="162" customWidth="1"/>
    <col min="17" max="17" width="11.5546875" style="162" customWidth="1"/>
    <col min="18" max="18" width="8.88671875" style="162" customWidth="1"/>
    <col min="19" max="19" width="7.88671875" style="162" customWidth="1"/>
    <col min="20" max="21" width="9" style="162" customWidth="1"/>
    <col min="22" max="22" width="11.5546875" style="162" customWidth="1"/>
    <col min="23" max="25" width="8.6640625" style="162" customWidth="1"/>
    <col min="26" max="26" width="8.5546875" style="162" customWidth="1"/>
    <col min="27" max="27" width="8.44140625" style="162" customWidth="1"/>
    <col min="28" max="29" width="11.5546875" style="162" customWidth="1"/>
    <col min="30" max="30" width="8.44140625" style="162" customWidth="1"/>
    <col min="31" max="31" width="9" style="162" customWidth="1"/>
    <col min="32" max="32" width="11.5546875" style="162" customWidth="1"/>
    <col min="33" max="33" width="10.33203125" style="162" customWidth="1"/>
    <col min="34" max="16384" width="15.109375" style="161"/>
  </cols>
  <sheetData>
    <row r="1" spans="1:35" ht="40.200000000000003" customHeight="1">
      <c r="A1" s="162" t="s">
        <v>138</v>
      </c>
      <c r="B1" s="216">
        <v>2025</v>
      </c>
      <c r="C1" s="162" t="s">
        <v>183</v>
      </c>
      <c r="D1" s="251" t="s">
        <v>20</v>
      </c>
      <c r="F1" s="214" t="s">
        <v>182</v>
      </c>
      <c r="G1" s="74"/>
      <c r="H1" s="74"/>
      <c r="I1" s="215" t="str">
        <f ca="1">CONCATENATE(ADDRESS(12,4,,,MID(CELL("filename",A1),FIND("]",CELL("filename",A1))+1,255)),":",ADDRESS(12,DAY(EOMONTH(DATE($B$1,$C$11,1),0))+3))</f>
        <v>Dinamika!$D$12:$AE$12</v>
      </c>
    </row>
    <row r="2" spans="1:35" ht="38.4" customHeight="1">
      <c r="F2" s="74" t="s">
        <v>181</v>
      </c>
      <c r="G2" s="74"/>
      <c r="H2" s="74"/>
      <c r="I2" s="215" t="str">
        <f ca="1">CONCATENATE(ADDRESS(14,4,,,MID(CELL("filename",A2),FIND("]",CELL("filename",A2))+1,255)),":",ADDRESS(14,DAY(EOMONTH(DATE($B$1,$C$11,1),0))+3))</f>
        <v>Dinamika!$D$14:$AE$14</v>
      </c>
    </row>
    <row r="3" spans="1:35" ht="3" customHeight="1"/>
    <row r="4" spans="1:35" hidden="1"/>
    <row r="5" spans="1:35" hidden="1"/>
    <row r="6" spans="1:35" hidden="1"/>
    <row r="7" spans="1:35" hidden="1"/>
    <row r="8" spans="1:35" hidden="1"/>
    <row r="9" spans="1:35" hidden="1"/>
    <row r="10" spans="1:35">
      <c r="D10" s="74" t="str">
        <f ca="1">OFFSET('0'!$B$112,($C11-1)*10,COLUMN(D10)-4)</f>
        <v>SS</v>
      </c>
      <c r="E10" s="74" t="str">
        <f ca="1">OFFSET('0'!$B$112,($C11-1)*10,COLUMN(E10)-4)</f>
        <v>SK</v>
      </c>
      <c r="F10" s="74" t="str">
        <f ca="1">OFFSET('0'!$B$112,($C11-1)*10,COLUMN(F10)-4)</f>
        <v>--</v>
      </c>
      <c r="G10" s="74" t="str">
        <f ca="1">OFFSET('0'!$B$112,($C11-1)*10,COLUMN(G10)-4)</f>
        <v>--</v>
      </c>
      <c r="H10" s="74" t="str">
        <f ca="1">OFFSET('0'!$B$112,($C11-1)*10,COLUMN(H10)-4)</f>
        <v>--</v>
      </c>
      <c r="I10" s="74" t="str">
        <f ca="1">OFFSET('0'!$B$112,($C11-1)*10,COLUMN(I10)-4)</f>
        <v>--</v>
      </c>
      <c r="J10" s="74" t="str">
        <f ca="1">OFFSET('0'!$B$112,($C11-1)*10,COLUMN(J10)-4)</f>
        <v>--</v>
      </c>
      <c r="K10" s="74" t="str">
        <f ca="1">OFFSET('0'!$B$112,($C11-1)*10,COLUMN(K10)-4)</f>
        <v>SS</v>
      </c>
      <c r="L10" s="74" t="str">
        <f ca="1">OFFSET('0'!$B$112,($C11-1)*10,COLUMN(L10)-4)</f>
        <v>SK</v>
      </c>
      <c r="M10" s="74" t="str">
        <f ca="1">OFFSET('0'!$B$112,($C11-1)*10,COLUMN(M10)-4)</f>
        <v>--</v>
      </c>
      <c r="N10" s="74" t="str">
        <f ca="1">OFFSET('0'!$B$112,($C11-1)*10,COLUMN(N10)-4)</f>
        <v>--</v>
      </c>
      <c r="O10" s="74" t="str">
        <f ca="1">OFFSET('0'!$B$112,($C11-1)*10,COLUMN(O10)-4)</f>
        <v>--</v>
      </c>
      <c r="P10" s="74" t="str">
        <f ca="1">OFFSET('0'!$B$112,($C11-1)*10,COLUMN(P10)-4)</f>
        <v>--</v>
      </c>
      <c r="Q10" s="74" t="str">
        <f ca="1">OFFSET('0'!$B$112,($C11-1)*10,COLUMN(Q10)-4)</f>
        <v>--</v>
      </c>
      <c r="R10" s="74" t="str">
        <f ca="1">OFFSET('0'!$B$112,($C11-1)*10,COLUMN(R10)-4)</f>
        <v>SS</v>
      </c>
      <c r="S10" s="74" t="str">
        <f ca="1">OFFSET('0'!$B$112,($C11-1)*10,COLUMN(S10)-4)</f>
        <v>SV</v>
      </c>
      <c r="T10" s="74" t="str">
        <f ca="1">OFFSET('0'!$B$112,($C11-1)*10,COLUMN(T10)-4)</f>
        <v>--</v>
      </c>
      <c r="U10" s="74" t="str">
        <f ca="1">OFFSET('0'!$B$112,($C11-1)*10,COLUMN(U10)-4)</f>
        <v>--</v>
      </c>
      <c r="V10" s="74" t="str">
        <f ca="1">OFFSET('0'!$B$112,($C11-1)*10,COLUMN(V10)-4)</f>
        <v>--</v>
      </c>
      <c r="W10" s="74" t="str">
        <f ca="1">OFFSET('0'!$B$112,($C11-1)*10,COLUMN(W10)-4)</f>
        <v>--</v>
      </c>
      <c r="X10" s="74" t="str">
        <f ca="1">OFFSET('0'!$B$112,($C11-1)*10,COLUMN(X10)-4)</f>
        <v>--</v>
      </c>
      <c r="Y10" s="74" t="str">
        <f ca="1">OFFSET('0'!$B$112,($C11-1)*10,COLUMN(Y10)-4)</f>
        <v>SS</v>
      </c>
      <c r="Z10" s="74" t="str">
        <f ca="1">OFFSET('0'!$B$112,($C11-1)*10,COLUMN(Z10)-4)</f>
        <v>SK</v>
      </c>
      <c r="AA10" s="74" t="str">
        <f ca="1">OFFSET('0'!$B$112,($C11-1)*10,COLUMN(AA10)-4)</f>
        <v>--</v>
      </c>
      <c r="AB10" s="74" t="str">
        <f ca="1">OFFSET('0'!$B$112,($C11-1)*10,COLUMN(AB10)-4)</f>
        <v>--</v>
      </c>
      <c r="AC10" s="74" t="str">
        <f ca="1">OFFSET('0'!$B$112,($C11-1)*10,COLUMN(AC10)-4)</f>
        <v>--</v>
      </c>
      <c r="AD10" s="74" t="str">
        <f ca="1">OFFSET('0'!$B$112,($C11-1)*10,COLUMN(AD10)-4)</f>
        <v>--</v>
      </c>
      <c r="AE10" s="74" t="str">
        <f ca="1">OFFSET('0'!$B$112,($C11-1)*10,COLUMN(AE10)-4)</f>
        <v>--</v>
      </c>
      <c r="AF10" s="74" t="str">
        <f ca="1">OFFSET('0'!$B$112,($C11-1)*10,COLUMN(AF10)-4)</f>
        <v>XX</v>
      </c>
      <c r="AG10" s="74" t="str">
        <f ca="1">OFFSET('0'!$B$112,($C11-1)*10,COLUMN(AG10)-4)</f>
        <v>XX</v>
      </c>
      <c r="AH10" s="74" t="str">
        <f ca="1">OFFSET('0'!$B$112,($C11-1)*10,COLUMN(AH10)-4)</f>
        <v>XX</v>
      </c>
    </row>
    <row r="11" spans="1:35">
      <c r="A11" s="197"/>
      <c r="B11" s="198"/>
      <c r="C11" s="225">
        <f>MATCH($D$1,'0'!$B$1:$B$12,0)</f>
        <v>2</v>
      </c>
      <c r="D11" s="61" t="str">
        <f>CONCATENATE(COLUMN(D11)-3," d.")</f>
        <v>1 d.</v>
      </c>
      <c r="E11" s="250" t="str">
        <f t="shared" ref="E11:AE11" si="0">CONCATENATE(COLUMN(E11)-3," d.")</f>
        <v>2 d.</v>
      </c>
      <c r="F11" s="61" t="str">
        <f t="shared" si="0"/>
        <v>3 d.</v>
      </c>
      <c r="G11" s="61" t="str">
        <f t="shared" si="0"/>
        <v>4 d.</v>
      </c>
      <c r="H11" s="61" t="str">
        <f t="shared" si="0"/>
        <v>5 d.</v>
      </c>
      <c r="I11" s="61" t="str">
        <f t="shared" si="0"/>
        <v>6 d.</v>
      </c>
      <c r="J11" s="61" t="str">
        <f t="shared" si="0"/>
        <v>7 d.</v>
      </c>
      <c r="K11" s="61" t="str">
        <f t="shared" si="0"/>
        <v>8 d.</v>
      </c>
      <c r="L11" s="61" t="str">
        <f t="shared" si="0"/>
        <v>9 d.</v>
      </c>
      <c r="M11" s="61" t="str">
        <f t="shared" si="0"/>
        <v>10 d.</v>
      </c>
      <c r="N11" s="61" t="str">
        <f t="shared" si="0"/>
        <v>11 d.</v>
      </c>
      <c r="O11" s="61" t="str">
        <f t="shared" si="0"/>
        <v>12 d.</v>
      </c>
      <c r="P11" s="61" t="str">
        <f t="shared" si="0"/>
        <v>13 d.</v>
      </c>
      <c r="Q11" s="61" t="str">
        <f t="shared" si="0"/>
        <v>14 d.</v>
      </c>
      <c r="R11" s="61" t="str">
        <f t="shared" si="0"/>
        <v>15 d.</v>
      </c>
      <c r="S11" s="61" t="str">
        <f t="shared" si="0"/>
        <v>16 d.</v>
      </c>
      <c r="T11" s="61" t="str">
        <f t="shared" si="0"/>
        <v>17 d.</v>
      </c>
      <c r="U11" s="61" t="str">
        <f t="shared" si="0"/>
        <v>18 d.</v>
      </c>
      <c r="V11" s="61" t="str">
        <f t="shared" si="0"/>
        <v>19 d.</v>
      </c>
      <c r="W11" s="61" t="str">
        <f t="shared" si="0"/>
        <v>20 d.</v>
      </c>
      <c r="X11" s="61" t="str">
        <f t="shared" si="0"/>
        <v>21 d.</v>
      </c>
      <c r="Y11" s="61" t="str">
        <f t="shared" si="0"/>
        <v>22 d.</v>
      </c>
      <c r="Z11" s="61" t="str">
        <f t="shared" si="0"/>
        <v>23 d.</v>
      </c>
      <c r="AA11" s="61" t="str">
        <f t="shared" si="0"/>
        <v>24 d.</v>
      </c>
      <c r="AB11" s="61" t="str">
        <f t="shared" si="0"/>
        <v>25 d.</v>
      </c>
      <c r="AC11" s="61" t="str">
        <f t="shared" si="0"/>
        <v>26 d.</v>
      </c>
      <c r="AD11" s="61" t="str">
        <f t="shared" si="0"/>
        <v>27 d.</v>
      </c>
      <c r="AE11" s="61" t="str">
        <f t="shared" si="0"/>
        <v>28 d.</v>
      </c>
      <c r="AF11" s="61" t="str">
        <f ca="1">IF(AF10&lt;&gt;"XX",CONCATENATE(COLUMN(AF11)-3," d."),"")</f>
        <v/>
      </c>
      <c r="AG11" s="61" t="str">
        <f t="shared" ref="AG11:AH11" ca="1" si="1">IF(AG10&lt;&gt;"XX",CONCATENATE(COLUMN(AG11)-3," d."),"")</f>
        <v/>
      </c>
      <c r="AH11" s="61" t="str">
        <f t="shared" ca="1" si="1"/>
        <v/>
      </c>
      <c r="AI11" s="37" t="s">
        <v>109</v>
      </c>
    </row>
    <row r="12" spans="1:35">
      <c r="A12" s="197" t="s">
        <v>173</v>
      </c>
      <c r="B12" s="199"/>
      <c r="C12" s="38" t="str">
        <f ca="1">OFFSET('0'!$B$1,$C11-1,0)</f>
        <v>Vasaris</v>
      </c>
      <c r="D12" s="204">
        <f ca="1">INDIRECT(ADDRESS(OFFSET('0'!$B$113,($C$11-1)*10,COLUMN(D11)-4)+1,4,4,TRUE,OFFSET('0'!$B$1,$C$11-1,0)))</f>
        <v>7</v>
      </c>
      <c r="E12" s="204">
        <f ca="1">INDIRECT(ADDRESS(OFFSET('0'!$B$113,($C$11-1)*10,COLUMN(E11)-4)+1,4,4,TRUE,OFFSET('0'!$B$1,$C$11-1,0)))</f>
        <v>18</v>
      </c>
      <c r="F12" s="204">
        <f ca="1">INDIRECT(ADDRESS(OFFSET('0'!$B$113,($C$11-1)*10,COLUMN(F11)-4)+1,4,4,TRUE,OFFSET('0'!$B$1,$C$11-1,0)))</f>
        <v>93</v>
      </c>
      <c r="G12" s="204">
        <f ca="1">INDIRECT(ADDRESS(OFFSET('0'!$B$113,($C$11-1)*10,COLUMN(G11)-4)+1,4,4,TRUE,OFFSET('0'!$B$1,$C$11-1,0)))</f>
        <v>96</v>
      </c>
      <c r="H12" s="204">
        <f ca="1">INDIRECT(ADDRESS(OFFSET('0'!$B$113,($C$11-1)*10,COLUMN(H11)-4)+1,4,4,TRUE,OFFSET('0'!$B$1,$C$11-1,0)))</f>
        <v>99</v>
      </c>
      <c r="I12" s="204">
        <f ca="1">INDIRECT(ADDRESS(OFFSET('0'!$B$113,($C$11-1)*10,COLUMN(I11)-4)+1,4,4,TRUE,OFFSET('0'!$B$1,$C$11-1,0)))</f>
        <v>82</v>
      </c>
      <c r="J12" s="204">
        <f ca="1">INDIRECT(ADDRESS(OFFSET('0'!$B$113,($C$11-1)*10,COLUMN(J11)-4)+1,4,4,TRUE,OFFSET('0'!$B$1,$C$11-1,0)))</f>
        <v>92</v>
      </c>
      <c r="K12" s="204">
        <f ca="1">INDIRECT(ADDRESS(OFFSET('0'!$B$113,($C$11-1)*10,COLUMN(K11)-4)+1,4,4,TRUE,OFFSET('0'!$B$1,$C$11-1,0)))</f>
        <v>25</v>
      </c>
      <c r="L12" s="204">
        <f ca="1">INDIRECT(ADDRESS(OFFSET('0'!$B$113,($C$11-1)*10,COLUMN(L11)-4)+1,4,4,TRUE,OFFSET('0'!$B$1,$C$11-1,0)))</f>
        <v>15</v>
      </c>
      <c r="M12" s="204">
        <f ca="1">INDIRECT(ADDRESS(OFFSET('0'!$B$113,($C$11-1)*10,COLUMN(M11)-4)+1,4,4,TRUE,OFFSET('0'!$B$1,$C$11-1,0)))</f>
        <v>80</v>
      </c>
      <c r="N12" s="204">
        <f ca="1">INDIRECT(ADDRESS(OFFSET('0'!$B$113,($C$11-1)*10,COLUMN(N11)-4)+1,4,4,TRUE,OFFSET('0'!$B$1,$C$11-1,0)))</f>
        <v>73</v>
      </c>
      <c r="O12" s="204">
        <f ca="1">INDIRECT(ADDRESS(OFFSET('0'!$B$113,($C$11-1)*10,COLUMN(O11)-4)+1,4,4,TRUE,OFFSET('0'!$B$1,$C$11-1,0)))</f>
        <v>0</v>
      </c>
      <c r="P12" s="204">
        <f ca="1">INDIRECT(ADDRESS(OFFSET('0'!$B$113,($C$11-1)*10,COLUMN(P11)-4)+1,4,4,TRUE,OFFSET('0'!$B$1,$C$11-1,0)))</f>
        <v>0</v>
      </c>
      <c r="Q12" s="204">
        <f ca="1">INDIRECT(ADDRESS(OFFSET('0'!$B$113,($C$11-1)*10,COLUMN(Q11)-4)+1,4,4,TRUE,OFFSET('0'!$B$1,$C$11-1,0)))</f>
        <v>0</v>
      </c>
      <c r="R12" s="204">
        <f ca="1">INDIRECT(ADDRESS(OFFSET('0'!$B$113,($C$11-1)*10,COLUMN(R11)-4)+1,4,4,TRUE,OFFSET('0'!$B$1,$C$11-1,0)))</f>
        <v>0</v>
      </c>
      <c r="S12" s="204">
        <f ca="1">INDIRECT(ADDRESS(OFFSET('0'!$B$113,($C$11-1)*10,COLUMN(S11)-4)+1,4,4,TRUE,OFFSET('0'!$B$1,$C$11-1,0)))</f>
        <v>0</v>
      </c>
      <c r="T12" s="204">
        <f ca="1">INDIRECT(ADDRESS(OFFSET('0'!$B$113,($C$11-1)*10,COLUMN(T11)-4)+1,4,4,TRUE,OFFSET('0'!$B$1,$C$11-1,0)))</f>
        <v>0</v>
      </c>
      <c r="U12" s="204">
        <f ca="1">INDIRECT(ADDRESS(OFFSET('0'!$B$113,($C$11-1)*10,COLUMN(U11)-4)+1,4,4,TRUE,OFFSET('0'!$B$1,$C$11-1,0)))</f>
        <v>0</v>
      </c>
      <c r="V12" s="204">
        <f ca="1">INDIRECT(ADDRESS(OFFSET('0'!$B$113,($C$11-1)*10,COLUMN(V11)-4)+1,4,4,TRUE,OFFSET('0'!$B$1,$C$11-1,0)))</f>
        <v>0</v>
      </c>
      <c r="W12" s="204">
        <f ca="1">INDIRECT(ADDRESS(OFFSET('0'!$B$113,($C$11-1)*10,COLUMN(W11)-4)+1,4,4,TRUE,OFFSET('0'!$B$1,$C$11-1,0)))</f>
        <v>53</v>
      </c>
      <c r="X12" s="204">
        <f ca="1">INDIRECT(ADDRESS(OFFSET('0'!$B$113,($C$11-1)*10,COLUMN(X11)-4)+1,4,4,TRUE,OFFSET('0'!$B$1,$C$11-1,0)))</f>
        <v>92</v>
      </c>
      <c r="Y12" s="204">
        <f ca="1">INDIRECT(ADDRESS(OFFSET('0'!$B$113,($C$11-1)*10,COLUMN(Y11)-4)+1,4,4,TRUE,OFFSET('0'!$B$1,$C$11-1,0)))</f>
        <v>17</v>
      </c>
      <c r="Z12" s="204">
        <f ca="1">INDIRECT(ADDRESS(OFFSET('0'!$B$113,($C$11-1)*10,COLUMN(Z11)-4)+1,4,4,TRUE,OFFSET('0'!$B$1,$C$11-1,0)))</f>
        <v>0</v>
      </c>
      <c r="AA12" s="204">
        <f ca="1">INDIRECT(ADDRESS(OFFSET('0'!$B$113,($C$11-1)*10,COLUMN(AA11)-4)+1,4,4,TRUE,OFFSET('0'!$B$1,$C$11-1,0)))</f>
        <v>0</v>
      </c>
      <c r="AB12" s="204">
        <f ca="1">INDIRECT(ADDRESS(OFFSET('0'!$B$113,($C$11-1)*10,COLUMN(AB11)-4)+1,4,4,TRUE,OFFSET('0'!$B$1,$C$11-1,0)))</f>
        <v>0</v>
      </c>
      <c r="AC12" s="204">
        <f ca="1">INDIRECT(ADDRESS(OFFSET('0'!$B$113,($C$11-1)*10,COLUMN(AC11)-4)+1,4,4,TRUE,OFFSET('0'!$B$1,$C$11-1,0)))</f>
        <v>0</v>
      </c>
      <c r="AD12" s="204">
        <f ca="1">INDIRECT(ADDRESS(OFFSET('0'!$B$113,($C$11-1)*10,COLUMN(AD11)-4)+1,4,4,TRUE,OFFSET('0'!$B$1,$C$11-1,0)))</f>
        <v>0</v>
      </c>
      <c r="AE12" s="204">
        <f ca="1">INDIRECT(ADDRESS(OFFSET('0'!$B$113,($C$11-1)*10,COLUMN(AE11)-4)+1,4,4,TRUE,OFFSET('0'!$B$1,$C$11-1,0)))</f>
        <v>1</v>
      </c>
      <c r="AF12" s="204">
        <f ca="1">INDIRECT(ADDRESS(OFFSET('0'!$B$113,($C$11-1)*10,COLUMN(AF11)-4)+1,4,4,TRUE,OFFSET('0'!$B$1,$C$11-1,0)))</f>
        <v>0</v>
      </c>
      <c r="AG12" s="204">
        <f ca="1">INDIRECT(ADDRESS(OFFSET('0'!$B$113,($C$11-1)*10,COLUMN(AG11)-4)+1,4,4,TRUE,OFFSET('0'!$B$1,$C$11-1,0)))</f>
        <v>0</v>
      </c>
      <c r="AH12" s="204">
        <f ca="1">INDIRECT(ADDRESS(OFFSET('0'!$B$113,($C$11-1)*10,COLUMN(AH11)-4)+1,4,4,TRUE,OFFSET('0'!$B$1,$C$11-1,0)))</f>
        <v>0</v>
      </c>
      <c r="AI12" s="42">
        <f ca="1">SUM(D12:AH12)</f>
        <v>843</v>
      </c>
    </row>
    <row r="13" spans="1:35">
      <c r="A13" s="197" t="s">
        <v>174</v>
      </c>
      <c r="B13" s="199"/>
      <c r="C13" s="38" t="str">
        <f ca="1">OFFSET('0'!$B$1,$C11-1,0)</f>
        <v>Vasaris</v>
      </c>
      <c r="D13" s="200">
        <f ca="1">INDIRECT(ADDRESS(OFFSET('0'!$B$113,($C$11-1)*10,COLUMN(D11)-4)+1,12,4,TRUE,OFFSET('0'!$B$1,$C$11-1,0)))</f>
        <v>0</v>
      </c>
      <c r="E13" s="200">
        <f ca="1">INDIRECT(ADDRESS(OFFSET('0'!$B$113,($C$11-1)*10,COLUMN(E11)-4)+1,12,4,TRUE,OFFSET('0'!$B$1,$C$11-1,0)))</f>
        <v>14760.5</v>
      </c>
      <c r="F13" s="200">
        <f ca="1">INDIRECT(ADDRESS(OFFSET('0'!$B$113,($C$11-1)*10,COLUMN(F11)-4)+1,12,4,TRUE,OFFSET('0'!$B$1,$C$11-1,0)))</f>
        <v>22811.670000000002</v>
      </c>
      <c r="G13" s="200">
        <f ca="1">INDIRECT(ADDRESS(OFFSET('0'!$B$113,($C$11-1)*10,COLUMN(G11)-4)+1,12,4,TRUE,OFFSET('0'!$B$1,$C$11-1,0)))</f>
        <v>20698</v>
      </c>
      <c r="H13" s="200">
        <f ca="1">INDIRECT(ADDRESS(OFFSET('0'!$B$113,($C$11-1)*10,COLUMN(H11)-4)+1,12,4,TRUE,OFFSET('0'!$B$1,$C$11-1,0)))</f>
        <v>57598.39</v>
      </c>
      <c r="I13" s="200">
        <f ca="1">INDIRECT(ADDRESS(OFFSET('0'!$B$113,($C$11-1)*10,COLUMN(I11)-4)+1,12,4,TRUE,OFFSET('0'!$B$1,$C$11-1,0)))</f>
        <v>5995.67</v>
      </c>
      <c r="J13" s="200">
        <f ca="1">INDIRECT(ADDRESS(OFFSET('0'!$B$113,($C$11-1)*10,COLUMN(J11)-4)+1,12,4,TRUE,OFFSET('0'!$B$1,$C$11-1,0)))</f>
        <v>41810.869999999995</v>
      </c>
      <c r="K13" s="200">
        <f ca="1">INDIRECT(ADDRESS(OFFSET('0'!$B$113,($C$11-1)*10,COLUMN(K11)-4)+1,12,4,TRUE,OFFSET('0'!$B$1,$C$11-1,0)))</f>
        <v>48780</v>
      </c>
      <c r="L13" s="200">
        <f ca="1">INDIRECT(ADDRESS(OFFSET('0'!$B$113,($C$11-1)*10,COLUMN(L11)-4)+1,12,4,TRUE,OFFSET('0'!$B$1,$C$11-1,0)))</f>
        <v>4608</v>
      </c>
      <c r="M13" s="200">
        <f ca="1">INDIRECT(ADDRESS(OFFSET('0'!$B$113,($C$11-1)*10,COLUMN(M11)-4)+1,12,4,TRUE,OFFSET('0'!$B$1,$C$11-1,0)))</f>
        <v>39658.620000000003</v>
      </c>
      <c r="N13" s="200">
        <f ca="1">INDIRECT(ADDRESS(OFFSET('0'!$B$113,($C$11-1)*10,COLUMN(N11)-4)+1,12,4,TRUE,OFFSET('0'!$B$1,$C$11-1,0)))</f>
        <v>20350.46</v>
      </c>
      <c r="O13" s="200">
        <f ca="1">INDIRECT(ADDRESS(OFFSET('0'!$B$113,($C$11-1)*10,COLUMN(O11)-4)+1,12,4,TRUE,OFFSET('0'!$B$1,$C$11-1,0)))</f>
        <v>39067.65</v>
      </c>
      <c r="P13" s="200">
        <f ca="1">INDIRECT(ADDRESS(OFFSET('0'!$B$113,($C$11-1)*10,COLUMN(P11)-4)+1,12,4,TRUE,OFFSET('0'!$B$1,$C$11-1,0)))</f>
        <v>29077.5</v>
      </c>
      <c r="Q13" s="200">
        <f ca="1">INDIRECT(ADDRESS(OFFSET('0'!$B$113,($C$11-1)*10,COLUMN(Q11)-4)+1,12,4,TRUE,OFFSET('0'!$B$1,$C$11-1,0)))</f>
        <v>23531.32</v>
      </c>
      <c r="R13" s="200">
        <f ca="1">INDIRECT(ADDRESS(OFFSET('0'!$B$113,($C$11-1)*10,COLUMN(R11)-4)+1,12,4,TRUE,OFFSET('0'!$B$1,$C$11-1,0)))</f>
        <v>47795.539999999994</v>
      </c>
      <c r="S13" s="200">
        <f ca="1">INDIRECT(ADDRESS(OFFSET('0'!$B$113,($C$11-1)*10,COLUMN(S11)-4)+1,12,4,TRUE,OFFSET('0'!$B$1,$C$11-1,0)))</f>
        <v>9473</v>
      </c>
      <c r="T13" s="200">
        <f ca="1">INDIRECT(ADDRESS(OFFSET('0'!$B$113,($C$11-1)*10,COLUMN(T11)-4)+1,12,4,TRUE,OFFSET('0'!$B$1,$C$11-1,0)))</f>
        <v>3088</v>
      </c>
      <c r="U13" s="200">
        <f ca="1">INDIRECT(ADDRESS(OFFSET('0'!$B$113,($C$11-1)*10,COLUMN(U11)-4)+1,12,4,TRUE,OFFSET('0'!$B$1,$C$11-1,0)))</f>
        <v>19955.09</v>
      </c>
      <c r="V13" s="200">
        <f ca="1">INDIRECT(ADDRESS(OFFSET('0'!$B$113,($C$11-1)*10,COLUMN(V11)-4)+1,12,4,TRUE,OFFSET('0'!$B$1,$C$11-1,0)))</f>
        <v>94089.29</v>
      </c>
      <c r="W13" s="200">
        <f ca="1">INDIRECT(ADDRESS(OFFSET('0'!$B$113,($C$11-1)*10,COLUMN(W11)-4)+1,12,4,TRUE,OFFSET('0'!$B$1,$C$11-1,0)))</f>
        <v>177487.78</v>
      </c>
      <c r="X13" s="200">
        <f ca="1">INDIRECT(ADDRESS(OFFSET('0'!$B$113,($C$11-1)*10,COLUMN(X11)-4)+1,12,4,TRUE,OFFSET('0'!$B$1,$C$11-1,0)))</f>
        <v>194754.98</v>
      </c>
      <c r="Y13" s="200">
        <f ca="1">INDIRECT(ADDRESS(OFFSET('0'!$B$113,($C$11-1)*10,COLUMN(Y11)-4)+1,12,4,TRUE,OFFSET('0'!$B$1,$C$11-1,0)))</f>
        <v>0</v>
      </c>
      <c r="Z13" s="200">
        <f ca="1">INDIRECT(ADDRESS(OFFSET('0'!$B$113,($C$11-1)*10,COLUMN(Z11)-4)+1,12,4,TRUE,OFFSET('0'!$B$1,$C$11-1,0)))</f>
        <v>0</v>
      </c>
      <c r="AA13" s="200">
        <f ca="1">INDIRECT(ADDRESS(OFFSET('0'!$B$113,($C$11-1)*10,COLUMN(AA11)-4)+1,12,4,TRUE,OFFSET('0'!$B$1,$C$11-1,0)))</f>
        <v>77672.990000000005</v>
      </c>
      <c r="AB13" s="200">
        <f ca="1">INDIRECT(ADDRESS(OFFSET('0'!$B$113,($C$11-1)*10,COLUMN(AB11)-4)+1,12,4,TRUE,OFFSET('0'!$B$1,$C$11-1,0)))</f>
        <v>0</v>
      </c>
      <c r="AC13" s="200">
        <f ca="1">INDIRECT(ADDRESS(OFFSET('0'!$B$113,($C$11-1)*10,COLUMN(AC11)-4)+1,12,4,TRUE,OFFSET('0'!$B$1,$C$11-1,0)))</f>
        <v>0</v>
      </c>
      <c r="AD13" s="200">
        <f ca="1">INDIRECT(ADDRESS(OFFSET('0'!$B$113,($C$11-1)*10,COLUMN(AD11)-4)+1,12,4,TRUE,OFFSET('0'!$B$1,$C$11-1,0)))</f>
        <v>0</v>
      </c>
      <c r="AE13" s="200">
        <f ca="1">INDIRECT(ADDRESS(OFFSET('0'!$B$113,($C$11-1)*10,COLUMN(AE11)-4)+1,12,4,TRUE,OFFSET('0'!$B$1,$C$11-1,0)))</f>
        <v>0</v>
      </c>
      <c r="AF13" s="200">
        <f ca="1">INDIRECT(ADDRESS(OFFSET('0'!$B$113,($C$11-1)*10,COLUMN(AF11)-4)+1,12,4,TRUE,OFFSET('0'!$B$1,$C$11-1,0)))</f>
        <v>0</v>
      </c>
      <c r="AG13" s="200">
        <f ca="1">INDIRECT(ADDRESS(OFFSET('0'!$B$113,($C$11-1)*10,COLUMN(AG11)-4)+1,12,4,TRUE,OFFSET('0'!$B$1,$C$11-1,0)))</f>
        <v>0</v>
      </c>
      <c r="AH13" s="200">
        <f ca="1">INDIRECT(ADDRESS(OFFSET('0'!$B$113,($C$11-1)*10,COLUMN(AH11)-4)+1,12,4,TRUE,OFFSET('0'!$B$1,$C$11-1,0)))</f>
        <v>0</v>
      </c>
      <c r="AI13" s="40">
        <f ca="1">SUM(D13:AH13)</f>
        <v>993065.32000000007</v>
      </c>
    </row>
    <row r="14" spans="1:35">
      <c r="A14" s="197" t="s">
        <v>175</v>
      </c>
      <c r="B14" s="197"/>
      <c r="C14" s="38" t="str">
        <f ca="1">OFFSET('0'!$B$1,$C11-1,0)</f>
        <v>Vasaris</v>
      </c>
      <c r="D14" s="201">
        <f ca="1">D13/1000</f>
        <v>0</v>
      </c>
      <c r="E14" s="201">
        <f t="shared" ref="E14:AH14" ca="1" si="2">E13/1000</f>
        <v>14.7605</v>
      </c>
      <c r="F14" s="201">
        <f t="shared" ca="1" si="2"/>
        <v>22.811670000000003</v>
      </c>
      <c r="G14" s="201">
        <f t="shared" ca="1" si="2"/>
        <v>20.698</v>
      </c>
      <c r="H14" s="201">
        <f t="shared" ca="1" si="2"/>
        <v>57.598390000000002</v>
      </c>
      <c r="I14" s="201">
        <f t="shared" ca="1" si="2"/>
        <v>5.9956700000000005</v>
      </c>
      <c r="J14" s="201">
        <f t="shared" ca="1" si="2"/>
        <v>41.810869999999994</v>
      </c>
      <c r="K14" s="201">
        <f t="shared" ca="1" si="2"/>
        <v>48.78</v>
      </c>
      <c r="L14" s="201">
        <f t="shared" ca="1" si="2"/>
        <v>4.6079999999999997</v>
      </c>
      <c r="M14" s="201">
        <f t="shared" ca="1" si="2"/>
        <v>39.658619999999999</v>
      </c>
      <c r="N14" s="201">
        <f t="shared" ca="1" si="2"/>
        <v>20.350459999999998</v>
      </c>
      <c r="O14" s="201">
        <f t="shared" ca="1" si="2"/>
        <v>39.06765</v>
      </c>
      <c r="P14" s="201">
        <f t="shared" ca="1" si="2"/>
        <v>29.077500000000001</v>
      </c>
      <c r="Q14" s="201">
        <f t="shared" ca="1" si="2"/>
        <v>23.531320000000001</v>
      </c>
      <c r="R14" s="201">
        <f t="shared" ca="1" si="2"/>
        <v>47.795539999999995</v>
      </c>
      <c r="S14" s="201">
        <f t="shared" ca="1" si="2"/>
        <v>9.4730000000000008</v>
      </c>
      <c r="T14" s="201">
        <f t="shared" ca="1" si="2"/>
        <v>3.0880000000000001</v>
      </c>
      <c r="U14" s="201">
        <f t="shared" ca="1" si="2"/>
        <v>19.955089999999998</v>
      </c>
      <c r="V14" s="201">
        <f t="shared" ca="1" si="2"/>
        <v>94.089289999999991</v>
      </c>
      <c r="W14" s="201">
        <f t="shared" ca="1" si="2"/>
        <v>177.48777999999999</v>
      </c>
      <c r="X14" s="201">
        <f t="shared" ca="1" si="2"/>
        <v>194.75498000000002</v>
      </c>
      <c r="Y14" s="201">
        <f t="shared" ca="1" si="2"/>
        <v>0</v>
      </c>
      <c r="Z14" s="201">
        <f t="shared" ca="1" si="2"/>
        <v>0</v>
      </c>
      <c r="AA14" s="201">
        <f t="shared" ca="1" si="2"/>
        <v>77.672989999999999</v>
      </c>
      <c r="AB14" s="201">
        <f t="shared" ca="1" si="2"/>
        <v>0</v>
      </c>
      <c r="AC14" s="201">
        <f t="shared" ca="1" si="2"/>
        <v>0</v>
      </c>
      <c r="AD14" s="201">
        <f t="shared" ca="1" si="2"/>
        <v>0</v>
      </c>
      <c r="AE14" s="201">
        <f t="shared" ca="1" si="2"/>
        <v>0</v>
      </c>
      <c r="AF14" s="201">
        <f t="shared" ca="1" si="2"/>
        <v>0</v>
      </c>
      <c r="AG14" s="201">
        <f t="shared" ca="1" si="2"/>
        <v>0</v>
      </c>
      <c r="AH14" s="201">
        <f t="shared" ca="1" si="2"/>
        <v>0</v>
      </c>
      <c r="AI14" s="202">
        <f ca="1">SUM(D14:AH14)</f>
        <v>993.06532000000004</v>
      </c>
    </row>
    <row r="15" spans="1:35">
      <c r="AH15" s="162"/>
      <c r="AI15" s="162"/>
    </row>
    <row r="17" spans="1:20" ht="17.399999999999999">
      <c r="A17" s="217" t="s">
        <v>178</v>
      </c>
      <c r="C17" s="34" t="str">
        <f>$D$1</f>
        <v>Vasaris</v>
      </c>
      <c r="F17" s="57" t="s">
        <v>182</v>
      </c>
      <c r="I17" s="213" t="str">
        <f ca="1">CONCATENATE(ADDRESS(12,4,,,MID(CELL("filename",A17),FIND("]",CELL("filename",A17))+1,255)),":",ADDRESS(12,DAY(EOMONTH(DATE($B$1,$C$11,1),0))+3))</f>
        <v>Dinamika!$D$12:$AE$12</v>
      </c>
    </row>
    <row r="18" spans="1:20">
      <c r="A18" s="218" t="str">
        <f ca="1">CONCATENATE(A17,TEXT(AI12,"### ##0"),")")</f>
        <v>Registruota pranešimų (iš viso 843)</v>
      </c>
    </row>
    <row r="20" spans="1:20" ht="18" customHeight="1"/>
    <row r="21" spans="1:20" ht="18" customHeight="1">
      <c r="Q21" s="256">
        <f ca="1">IFERROR(SMALL(IF($T$21:$T$51&lt;&gt;"",$T$21:$T$51),ROW($T21)-20),"")</f>
        <v>1</v>
      </c>
      <c r="T21" s="74">
        <f ca="1">IF(OFFSET($D$10,0,ROW(S21)-21)&lt;&gt;"--",ROW(T21)-20)</f>
        <v>1</v>
      </c>
    </row>
    <row r="22" spans="1:20" ht="18" customHeight="1">
      <c r="Q22" s="256">
        <f t="shared" ref="Q22:Q51" ca="1" si="3">IFERROR(SMALL(IF($T$21:$T$51&lt;&gt;"",$T$21:$T$51),ROW(T22)-20),"")</f>
        <v>2</v>
      </c>
      <c r="T22" s="74">
        <f t="shared" ref="T22:T51" ca="1" si="4">IF(OFFSET($D$10,0,ROW(S22)-21)&lt;&gt;"--",ROW(T22)-20)</f>
        <v>2</v>
      </c>
    </row>
    <row r="23" spans="1:20" ht="18" customHeight="1">
      <c r="Q23" s="256">
        <f t="shared" ca="1" si="3"/>
        <v>8</v>
      </c>
      <c r="T23" s="74" t="b">
        <f t="shared" ca="1" si="4"/>
        <v>0</v>
      </c>
    </row>
    <row r="24" spans="1:20" ht="18" customHeight="1">
      <c r="Q24" s="256">
        <f t="shared" ca="1" si="3"/>
        <v>9</v>
      </c>
      <c r="T24" s="74" t="b">
        <f t="shared" ca="1" si="4"/>
        <v>0</v>
      </c>
    </row>
    <row r="25" spans="1:20" ht="18" customHeight="1">
      <c r="Q25" s="256">
        <f t="shared" ca="1" si="3"/>
        <v>15</v>
      </c>
      <c r="T25" s="74" t="b">
        <f t="shared" ca="1" si="4"/>
        <v>0</v>
      </c>
    </row>
    <row r="26" spans="1:20" ht="18" customHeight="1">
      <c r="Q26" s="256">
        <f t="shared" ca="1" si="3"/>
        <v>16</v>
      </c>
      <c r="T26" s="74" t="b">
        <f t="shared" ca="1" si="4"/>
        <v>0</v>
      </c>
    </row>
    <row r="27" spans="1:20" ht="18" customHeight="1">
      <c r="Q27" s="256">
        <f t="shared" ca="1" si="3"/>
        <v>22</v>
      </c>
      <c r="T27" s="74" t="b">
        <f t="shared" ca="1" si="4"/>
        <v>0</v>
      </c>
    </row>
    <row r="28" spans="1:20" ht="18" customHeight="1">
      <c r="Q28" s="256">
        <f t="shared" ca="1" si="3"/>
        <v>23</v>
      </c>
      <c r="T28" s="74">
        <f t="shared" ca="1" si="4"/>
        <v>8</v>
      </c>
    </row>
    <row r="29" spans="1:20" ht="18" customHeight="1">
      <c r="Q29" s="256">
        <f t="shared" ca="1" si="3"/>
        <v>29</v>
      </c>
      <c r="T29" s="74">
        <f t="shared" ca="1" si="4"/>
        <v>9</v>
      </c>
    </row>
    <row r="30" spans="1:20" ht="18" customHeight="1">
      <c r="Q30" s="256">
        <f t="shared" ca="1" si="3"/>
        <v>30</v>
      </c>
      <c r="T30" s="74" t="b">
        <f t="shared" ca="1" si="4"/>
        <v>0</v>
      </c>
    </row>
    <row r="31" spans="1:20" ht="18" customHeight="1">
      <c r="C31" s="34" t="str">
        <f>$D$1</f>
        <v>Vasaris</v>
      </c>
      <c r="Q31" s="256">
        <f t="shared" ca="1" si="3"/>
        <v>31</v>
      </c>
      <c r="T31" s="74" t="b">
        <f t="shared" ca="1" si="4"/>
        <v>0</v>
      </c>
    </row>
    <row r="32" spans="1:20" ht="18" customHeight="1">
      <c r="Q32" s="256" t="str">
        <f t="shared" ca="1" si="3"/>
        <v/>
      </c>
      <c r="T32" s="74" t="b">
        <f t="shared" ca="1" si="4"/>
        <v>0</v>
      </c>
    </row>
    <row r="33" spans="1:33" ht="18" customHeight="1">
      <c r="Q33" s="256" t="str">
        <f t="shared" ca="1" si="3"/>
        <v/>
      </c>
      <c r="T33" s="74" t="b">
        <f t="shared" ca="1" si="4"/>
        <v>0</v>
      </c>
    </row>
    <row r="34" spans="1:33" ht="13.2" customHeight="1">
      <c r="Q34" s="256" t="str">
        <f t="shared" ca="1" si="3"/>
        <v/>
      </c>
      <c r="T34" s="74" t="b">
        <f t="shared" ca="1" si="4"/>
        <v>0</v>
      </c>
    </row>
    <row r="35" spans="1:33" ht="13.2" customHeight="1">
      <c r="I35" s="213"/>
      <c r="Q35" s="256" t="str">
        <f t="shared" ca="1" si="3"/>
        <v/>
      </c>
      <c r="T35" s="74">
        <f t="shared" ca="1" si="4"/>
        <v>15</v>
      </c>
    </row>
    <row r="36" spans="1:33" ht="21.6" customHeight="1">
      <c r="Q36" s="34" t="str">
        <f t="shared" ca="1" si="3"/>
        <v/>
      </c>
      <c r="T36" s="74">
        <f t="shared" ca="1" si="4"/>
        <v>16</v>
      </c>
    </row>
    <row r="37" spans="1:33" s="206" customFormat="1" ht="21.6" customHeight="1">
      <c r="A37" s="197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253" t="str">
        <f t="shared" ca="1" si="3"/>
        <v/>
      </c>
      <c r="R37" s="198"/>
      <c r="S37" s="198"/>
      <c r="T37" s="257" t="b">
        <f t="shared" ca="1" si="4"/>
        <v>0</v>
      </c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</row>
    <row r="38" spans="1:33" s="206" customFormat="1" ht="21.6" customHeight="1">
      <c r="A38" s="205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204" t="str">
        <f t="shared" ca="1" si="3"/>
        <v/>
      </c>
      <c r="R38" s="199"/>
      <c r="S38" s="199"/>
      <c r="T38" s="258" t="b">
        <f t="shared" ca="1" si="4"/>
        <v>0</v>
      </c>
      <c r="U38" s="207"/>
      <c r="V38" s="199"/>
      <c r="W38" s="199"/>
      <c r="X38" s="207"/>
      <c r="Y38" s="199"/>
      <c r="Z38" s="199"/>
      <c r="AA38" s="199"/>
      <c r="AB38" s="199"/>
      <c r="AC38" s="199"/>
      <c r="AD38" s="199"/>
      <c r="AE38" s="199"/>
      <c r="AF38" s="199"/>
      <c r="AG38" s="207"/>
    </row>
    <row r="39" spans="1:33" s="206" customFormat="1" ht="21.6" customHeight="1">
      <c r="A39" s="205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54" t="str">
        <f t="shared" ca="1" si="3"/>
        <v/>
      </c>
      <c r="R39" s="208"/>
      <c r="S39" s="208"/>
      <c r="T39" s="259" t="b">
        <f t="shared" ca="1" si="4"/>
        <v>0</v>
      </c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9"/>
    </row>
    <row r="40" spans="1:33" s="206" customFormat="1" ht="21.6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255" t="str">
        <f t="shared" ca="1" si="3"/>
        <v/>
      </c>
      <c r="R40" s="197"/>
      <c r="S40" s="197"/>
      <c r="T40" s="219" t="b">
        <f t="shared" ca="1" si="4"/>
        <v>0</v>
      </c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</row>
    <row r="41" spans="1:33" s="206" customFormat="1" ht="21.6" customHeight="1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255" t="str">
        <f t="shared" ca="1" si="3"/>
        <v/>
      </c>
      <c r="R41" s="197"/>
      <c r="S41" s="197"/>
      <c r="T41" s="219" t="b">
        <f t="shared" ca="1" si="4"/>
        <v>0</v>
      </c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</row>
    <row r="42" spans="1:33" s="206" customFormat="1" ht="15" customHeight="1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255" t="str">
        <f t="shared" ca="1" si="3"/>
        <v/>
      </c>
      <c r="R42" s="197"/>
      <c r="S42" s="197"/>
      <c r="T42" s="219">
        <f t="shared" ca="1" si="4"/>
        <v>22</v>
      </c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</row>
    <row r="43" spans="1:33" s="206" customFormat="1" ht="21.6" hidden="1" customHeight="1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255" t="str">
        <f t="shared" ca="1" si="3"/>
        <v/>
      </c>
      <c r="R43" s="197"/>
      <c r="S43" s="197"/>
      <c r="T43" s="197">
        <f t="shared" ca="1" si="4"/>
        <v>23</v>
      </c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</row>
    <row r="44" spans="1:33" s="206" customFormat="1" ht="21.6" hidden="1" customHeight="1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255" t="str">
        <f t="shared" ca="1" si="3"/>
        <v/>
      </c>
      <c r="R44" s="197"/>
      <c r="S44" s="197"/>
      <c r="T44" s="197" t="b">
        <f t="shared" ca="1" si="4"/>
        <v>0</v>
      </c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</row>
    <row r="45" spans="1:33" s="206" customFormat="1" ht="21.6" hidden="1" customHeight="1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255" t="str">
        <f t="shared" ca="1" si="3"/>
        <v/>
      </c>
      <c r="R45" s="197"/>
      <c r="S45" s="197"/>
      <c r="T45" s="197" t="b">
        <f t="shared" ca="1" si="4"/>
        <v>0</v>
      </c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</row>
    <row r="46" spans="1:33" s="206" customFormat="1" ht="21.6" hidden="1" customHeight="1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255" t="str">
        <f t="shared" ca="1" si="3"/>
        <v/>
      </c>
      <c r="R46" s="197"/>
      <c r="S46" s="197"/>
      <c r="T46" s="197" t="b">
        <f t="shared" ca="1" si="4"/>
        <v>0</v>
      </c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</row>
    <row r="47" spans="1:33" s="206" customFormat="1" ht="21.6" hidden="1" customHeight="1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 t="str">
        <f t="shared" ca="1" si="3"/>
        <v/>
      </c>
      <c r="R47" s="197"/>
      <c r="S47" s="197"/>
      <c r="T47" s="197" t="b">
        <f t="shared" ca="1" si="4"/>
        <v>0</v>
      </c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</row>
    <row r="48" spans="1:33" s="206" customFormat="1" hidden="1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 t="str">
        <f t="shared" ca="1" si="3"/>
        <v/>
      </c>
      <c r="R48" s="197"/>
      <c r="S48" s="197"/>
      <c r="T48" s="197" t="b">
        <f t="shared" ca="1" si="4"/>
        <v>0</v>
      </c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</row>
    <row r="49" spans="1:33" s="206" customFormat="1" ht="17.399999999999999" hidden="1">
      <c r="A49" s="217" t="s">
        <v>179</v>
      </c>
      <c r="B49" s="219"/>
      <c r="C49" s="219"/>
      <c r="D49" s="219"/>
      <c r="E49" s="219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 t="str">
        <f t="shared" ca="1" si="3"/>
        <v/>
      </c>
      <c r="R49" s="197"/>
      <c r="S49" s="197"/>
      <c r="T49" s="197">
        <f t="shared" ca="1" si="4"/>
        <v>29</v>
      </c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</row>
    <row r="50" spans="1:33" s="206" customFormat="1" ht="17.399999999999999" hidden="1">
      <c r="A50" s="217" t="s">
        <v>180</v>
      </c>
      <c r="B50" s="219"/>
      <c r="C50" s="219"/>
      <c r="D50" s="219"/>
      <c r="E50" s="219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 t="str">
        <f t="shared" ca="1" si="3"/>
        <v/>
      </c>
      <c r="R50" s="197"/>
      <c r="S50" s="197"/>
      <c r="T50" s="197">
        <f t="shared" ca="1" si="4"/>
        <v>30</v>
      </c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</row>
    <row r="51" spans="1:33" s="206" customFormat="1" ht="17.399999999999999" hidden="1">
      <c r="A51" s="217" t="s">
        <v>180</v>
      </c>
      <c r="B51" s="219"/>
      <c r="C51" s="219"/>
      <c r="D51" s="219"/>
      <c r="E51" s="219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 t="str">
        <f t="shared" ca="1" si="3"/>
        <v/>
      </c>
      <c r="R51" s="197"/>
      <c r="S51" s="197"/>
      <c r="T51" s="197">
        <f t="shared" ca="1" si="4"/>
        <v>31</v>
      </c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</row>
    <row r="52" spans="1:33" s="206" customFormat="1" ht="27.6" hidden="1" customHeight="1">
      <c r="A52" s="396" t="str">
        <f ca="1">CONCATENATE(A49,TEXT(AI13,"### ##0,0"),A50,CHAR(13),"** Skaičiuojama tūkst. € 
")</f>
        <v xml:space="preserve">Patirtos žalos** (iš viso 993 065,3 €)_x000D_** Skaičiuojama tūkst. € 
</v>
      </c>
      <c r="B52" s="396"/>
      <c r="C52" s="396"/>
      <c r="D52" s="396"/>
      <c r="E52" s="396"/>
      <c r="F52" s="162" t="s">
        <v>181</v>
      </c>
      <c r="G52" s="162"/>
      <c r="H52" s="162"/>
      <c r="I52" s="213" t="str">
        <f ca="1">CONCATENATE(ADDRESS(14,4,,,MID(CELL("filename",A52),FIND("]",CELL("filename",A52))+1,255)),":",ADDRESS(14,DAY(EOMONTH(DATE($B$1,$C$11,1),0))+3))</f>
        <v>Dinamika!$D$14:$AE$14</v>
      </c>
      <c r="J52" s="162"/>
      <c r="K52" s="162"/>
      <c r="L52" s="162"/>
      <c r="M52" s="162"/>
      <c r="N52" s="162"/>
      <c r="O52" s="162"/>
      <c r="P52" s="162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</row>
    <row r="53" spans="1:33" s="206" customFormat="1" ht="31.2" customHeight="1">
      <c r="A53" s="162"/>
      <c r="B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</row>
    <row r="54" spans="1:33" s="206" customFormat="1">
      <c r="A54" s="197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</row>
    <row r="55" spans="1:33" s="206" customFormat="1">
      <c r="A55" s="205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</row>
    <row r="56" spans="1:33" s="206" customFormat="1">
      <c r="A56" s="205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</row>
    <row r="57" spans="1:33" s="206" customForma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</row>
    <row r="58" spans="1:33" s="206" customForma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</row>
    <row r="59" spans="1:33" s="206" customForma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</row>
    <row r="60" spans="1:33" s="206" customForma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</row>
    <row r="61" spans="1:33" s="206" customForma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</row>
    <row r="62" spans="1:33" s="206" customForma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</row>
    <row r="63" spans="1:33" s="206" customFormat="1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</row>
    <row r="64" spans="1:33" s="206" customFormat="1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</row>
    <row r="65" spans="1:33" s="206" customFormat="1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</row>
    <row r="66" spans="1:33" s="206" customFormat="1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</row>
    <row r="67" spans="1:33" s="206" customFormat="1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</row>
    <row r="68" spans="1:33" s="206" customFormat="1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207"/>
    </row>
    <row r="69" spans="1:33" s="206" customFormat="1">
      <c r="A69" s="205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9"/>
    </row>
    <row r="70" spans="1:33" s="206" customForma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</row>
    <row r="71" spans="1:33" s="206" customForma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</row>
    <row r="72" spans="1:33" s="206" customFormat="1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</row>
    <row r="73" spans="1:33" s="206" customFormat="1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</row>
    <row r="74" spans="1:33" s="206" customForma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</row>
    <row r="75" spans="1:33" s="206" customForma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</row>
    <row r="76" spans="1:33" s="206" customForma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</row>
    <row r="77" spans="1:33" s="206" customForma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</row>
    <row r="78" spans="1:33" s="206" customFormat="1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</row>
    <row r="79" spans="1:33" s="206" customFormat="1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</row>
    <row r="80" spans="1:33" s="206" customFormat="1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</row>
    <row r="81" spans="1:33" s="206" customFormat="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</row>
    <row r="82" spans="1:33" s="206" customFormat="1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</row>
    <row r="83" spans="1:33" s="206" customFormat="1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</row>
    <row r="84" spans="1:33" s="206" customFormat="1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</row>
    <row r="85" spans="1:33" s="206" customFormat="1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</row>
    <row r="86" spans="1:33" s="206" customFormat="1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</row>
    <row r="87" spans="1:33" s="206" customForma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</row>
    <row r="88" spans="1:33" s="206" customFormat="1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</row>
    <row r="89" spans="1:33" s="206" customFormat="1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</row>
    <row r="90" spans="1:33" s="206" customFormat="1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</row>
    <row r="91" spans="1:33" s="206" customFormat="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</row>
    <row r="92" spans="1:33" s="206" customForma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 spans="1:33" s="206" customFormat="1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</row>
    <row r="94" spans="1:33" s="206" customFormat="1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</row>
    <row r="95" spans="1:33" s="206" customFormat="1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</row>
    <row r="96" spans="1:33" s="206" customFormat="1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</row>
    <row r="97" spans="1:33" s="206" customFormat="1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</row>
    <row r="98" spans="1:33" s="206" customFormat="1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</row>
    <row r="99" spans="1:33" s="206" customFormat="1">
      <c r="A99" s="197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</row>
    <row r="100" spans="1:33" s="206" customFormat="1">
      <c r="A100" s="205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</row>
    <row r="101" spans="1:33" s="206" customFormat="1">
      <c r="A101" s="205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208"/>
      <c r="AF101" s="208"/>
      <c r="AG101" s="209"/>
    </row>
    <row r="102" spans="1:33" s="206" customFormat="1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</row>
    <row r="103" spans="1:33" s="206" customFormat="1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</row>
    <row r="104" spans="1:33" s="206" customFormat="1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</row>
    <row r="105" spans="1:33" s="206" customFormat="1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</row>
    <row r="106" spans="1:33" s="206" customFormat="1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</row>
    <row r="107" spans="1:33" s="206" customFormat="1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</row>
    <row r="108" spans="1:33" s="206" customFormat="1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</row>
    <row r="109" spans="1:33" s="206" customFormat="1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</row>
    <row r="110" spans="1:33" s="206" customFormat="1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</row>
    <row r="111" spans="1:33" s="206" customFormat="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</row>
    <row r="112" spans="1:33" s="206" customFormat="1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</row>
    <row r="113" spans="1:33" s="206" customFormat="1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</row>
    <row r="114" spans="1:33" s="206" customFormat="1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</row>
    <row r="115" spans="1:33" s="206" customFormat="1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</row>
    <row r="116" spans="1:33" s="206" customFormat="1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</row>
    <row r="117" spans="1:33" s="206" customFormat="1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</row>
    <row r="118" spans="1:33" s="206" customFormat="1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</row>
    <row r="119" spans="1:33" s="206" customFormat="1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</row>
    <row r="120" spans="1:33" s="206" customFormat="1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</row>
    <row r="121" spans="1:33" s="206" customForma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</row>
    <row r="122" spans="1:33" s="206" customForma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</row>
    <row r="123" spans="1:33" s="206" customFormat="1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</row>
    <row r="124" spans="1:33" s="206" customFormat="1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</row>
    <row r="125" spans="1:33" s="206" customFormat="1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</row>
    <row r="126" spans="1:33" s="206" customFormat="1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</row>
    <row r="127" spans="1:33" s="206" customFormat="1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</row>
    <row r="128" spans="1:33" s="206" customFormat="1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</row>
    <row r="129" spans="1:33" s="206" customFormat="1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</row>
    <row r="130" spans="1:33" s="206" customFormat="1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</row>
    <row r="131" spans="1:33" s="206" customFormat="1">
      <c r="A131" s="197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</row>
    <row r="132" spans="1:33" s="206" customFormat="1">
      <c r="A132" s="205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</row>
    <row r="133" spans="1:33" s="206" customFormat="1">
      <c r="A133" s="205"/>
      <c r="B133" s="208"/>
      <c r="C133" s="208"/>
      <c r="D133" s="208"/>
      <c r="E133" s="208"/>
      <c r="F133" s="210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208"/>
      <c r="AF133" s="208"/>
      <c r="AG133" s="210"/>
    </row>
    <row r="134" spans="1:33" s="206" customFormat="1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</row>
    <row r="135" spans="1:33" s="206" customFormat="1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</row>
    <row r="136" spans="1:33" s="206" customFormat="1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</row>
    <row r="137" spans="1:33" s="206" customFormat="1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</row>
    <row r="138" spans="1:33" s="206" customFormat="1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</row>
    <row r="139" spans="1:33" s="206" customFormat="1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</row>
    <row r="140" spans="1:33" s="206" customFormat="1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</row>
    <row r="141" spans="1:33" s="206" customFormat="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</row>
    <row r="142" spans="1:33" s="206" customFormat="1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</row>
    <row r="143" spans="1:33" s="206" customFormat="1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</row>
    <row r="144" spans="1:33" s="206" customFormat="1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</row>
    <row r="145" spans="1:33" s="206" customFormat="1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</row>
    <row r="146" spans="1:33" s="206" customFormat="1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</row>
    <row r="147" spans="1:33" s="206" customFormat="1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</row>
    <row r="148" spans="1:33" s="206" customFormat="1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</row>
    <row r="149" spans="1:33" s="206" customFormat="1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</row>
    <row r="150" spans="1:33" s="206" customFormat="1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</row>
    <row r="151" spans="1:33" s="206" customFormat="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</row>
    <row r="152" spans="1:33" s="206" customFormat="1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</row>
    <row r="153" spans="1:33" s="206" customFormat="1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 spans="1:33" s="206" customFormat="1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</row>
    <row r="155" spans="1:33" s="206" customFormat="1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</row>
    <row r="156" spans="1:33" s="206" customFormat="1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</row>
    <row r="157" spans="1:33" s="206" customFormat="1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</row>
    <row r="158" spans="1:33" s="206" customFormat="1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</row>
    <row r="159" spans="1:33" s="206" customFormat="1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</row>
    <row r="160" spans="1:33" s="206" customFormat="1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</row>
    <row r="161" spans="1:33" s="206" customFormat="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</row>
    <row r="162" spans="1:33" s="206" customFormat="1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</row>
    <row r="163" spans="1:33" s="206" customFormat="1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</row>
    <row r="164" spans="1:33" s="206" customFormat="1">
      <c r="A164" s="197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</row>
    <row r="165" spans="1:33" s="206" customFormat="1">
      <c r="A165" s="205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</row>
    <row r="166" spans="1:33" s="206" customFormat="1">
      <c r="A166" s="205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  <c r="AE166" s="208"/>
      <c r="AF166" s="208"/>
      <c r="AG166" s="209"/>
    </row>
    <row r="167" spans="1:33" s="206" customForma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</row>
    <row r="168" spans="1:33" s="206" customFormat="1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</row>
    <row r="169" spans="1:33" s="206" customFormat="1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</row>
    <row r="170" spans="1:33" s="206" customFormat="1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</row>
    <row r="171" spans="1:33" s="206" customFormat="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</row>
    <row r="172" spans="1:33" s="206" customFormat="1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</row>
    <row r="173" spans="1:33" s="206" customFormat="1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</row>
    <row r="174" spans="1:33" s="206" customFormat="1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</row>
    <row r="175" spans="1:33" s="206" customFormat="1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</row>
    <row r="176" spans="1:33" s="206" customFormat="1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</row>
    <row r="177" spans="1:33" s="206" customFormat="1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</row>
    <row r="178" spans="1:33" s="206" customFormat="1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</row>
    <row r="179" spans="1:33" s="206" customFormat="1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</row>
    <row r="180" spans="1:33" s="206" customFormat="1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</row>
    <row r="181" spans="1:33" s="206" customFormat="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</row>
    <row r="182" spans="1:33" s="206" customFormat="1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</row>
    <row r="183" spans="1:33" s="206" customFormat="1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</row>
    <row r="184" spans="1:33" s="206" customFormat="1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</row>
    <row r="185" spans="1:33" s="206" customFormat="1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</row>
    <row r="186" spans="1:33" s="206" customFormat="1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</row>
    <row r="187" spans="1:33" s="206" customFormat="1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</row>
    <row r="188" spans="1:33" s="206" customFormat="1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</row>
    <row r="189" spans="1:33" s="206" customFormat="1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</row>
    <row r="190" spans="1:33" s="206" customFormat="1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</row>
    <row r="191" spans="1:33" s="206" customFormat="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</row>
    <row r="192" spans="1:33" s="206" customFormat="1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</row>
    <row r="193" spans="1:33" s="206" customFormat="1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</row>
    <row r="194" spans="1:33" s="206" customFormat="1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</row>
    <row r="195" spans="1:33" s="206" customFormat="1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</row>
    <row r="196" spans="1:33" s="206" customFormat="1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</row>
    <row r="197" spans="1:33" s="206" customFormat="1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</row>
    <row r="198" spans="1:33" s="206" customFormat="1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</row>
    <row r="199" spans="1:33" s="206" customFormat="1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</row>
    <row r="200" spans="1:33" s="206" customFormat="1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</row>
    <row r="201" spans="1:33" s="206" customFormat="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</row>
    <row r="202" spans="1:33" s="206" customFormat="1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</row>
    <row r="203" spans="1:33" s="206" customFormat="1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</row>
    <row r="204" spans="1:33" s="206" customFormat="1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</row>
    <row r="205" spans="1:33" s="206" customFormat="1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</row>
    <row r="206" spans="1:33" s="206" customFormat="1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</row>
    <row r="207" spans="1:33" s="206" customFormat="1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</row>
    <row r="208" spans="1:33" s="206" customFormat="1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</row>
    <row r="209" spans="1:33" s="206" customFormat="1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</row>
  </sheetData>
  <mergeCells count="1">
    <mergeCell ref="A52:E52"/>
  </mergeCells>
  <conditionalFormatting sqref="D11:AH11">
    <cfRule type="expression" dxfId="1" priority="2">
      <formula>D$10&lt;&gt;"--"</formula>
    </cfRule>
  </conditionalFormatting>
  <conditionalFormatting sqref="Q21:Q46">
    <cfRule type="notContainsBlanks" dxfId="0" priority="3">
      <formula>LEN(TRIM(Q21))&gt;0</formula>
    </cfRule>
  </conditionalFormatting>
  <dataValidations count="2">
    <dataValidation type="list" allowBlank="1" showInputMessage="1" showErrorMessage="1" sqref="D1">
      <formula1>'0'!$B1:$B12</formula1>
    </dataValidation>
    <dataValidation type="list" allowBlank="1" showInputMessage="1" showErrorMessage="1" sqref="B1:B10">
      <formula1>'0'!$D$1:$D$16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P209"/>
  <sheetViews>
    <sheetView topLeftCell="A16" workbookViewId="0">
      <selection activeCell="N31" sqref="N31"/>
    </sheetView>
  </sheetViews>
  <sheetFormatPr defaultColWidth="15.109375" defaultRowHeight="14.4"/>
  <cols>
    <col min="1" max="1" width="7.44140625" style="220" customWidth="1"/>
    <col min="2" max="2" width="8.5546875" style="220" customWidth="1"/>
    <col min="3" max="3" width="11.5546875" style="220" customWidth="1"/>
    <col min="4" max="15" width="12.6640625" style="220" customWidth="1"/>
    <col min="16" max="16" width="22.88671875" style="72" customWidth="1"/>
    <col min="17" max="16384" width="15.109375" style="72"/>
  </cols>
  <sheetData>
    <row r="1" spans="1:16" ht="40.200000000000003" customHeight="1" thickBot="1">
      <c r="B1" s="239"/>
      <c r="C1" s="72"/>
      <c r="D1" s="241" t="str">
        <f>Dinamika!$D$1</f>
        <v>Vasaris</v>
      </c>
      <c r="F1" s="221"/>
      <c r="I1" s="222"/>
    </row>
    <row r="2" spans="1:16" ht="38.4" customHeight="1">
      <c r="C2" s="72"/>
      <c r="I2" s="222"/>
    </row>
    <row r="3" spans="1:16" ht="3" customHeight="1"/>
    <row r="4" spans="1:16" hidden="1"/>
    <row r="5" spans="1:16" hidden="1"/>
    <row r="6" spans="1:16" hidden="1"/>
    <row r="7" spans="1:16" hidden="1"/>
    <row r="8" spans="1:16" hidden="1"/>
    <row r="9" spans="1:16" hidden="1"/>
    <row r="11" spans="1:16">
      <c r="A11" s="223"/>
      <c r="B11" s="224"/>
      <c r="C11" s="225"/>
      <c r="D11" s="226" t="str">
        <f ca="1">CONCATENATE(OFFSET('0'!$B$1,COLUMN(D11)-4,0),IF(Dinamika!$B$1=2025,"*",""))</f>
        <v>Sausis*</v>
      </c>
      <c r="E11" s="226" t="str">
        <f ca="1">OFFSET('0'!$B$1,COLUMN(E11)-4,0)</f>
        <v>Vasaris</v>
      </c>
      <c r="F11" s="226" t="str">
        <f ca="1">OFFSET('0'!$B$1,COLUMN(F11)-4,0)</f>
        <v>Kovas</v>
      </c>
      <c r="G11" s="226" t="str">
        <f ca="1">OFFSET('0'!$B$1,COLUMN(G11)-4,0)</f>
        <v>Balandis</v>
      </c>
      <c r="H11" s="226" t="str">
        <f ca="1">OFFSET('0'!$B$1,COLUMN(H11)-4,0)</f>
        <v>Gegužė</v>
      </c>
      <c r="I11" s="226" t="str">
        <f ca="1">OFFSET('0'!$B$1,COLUMN(I11)-4,0)</f>
        <v>Birželis</v>
      </c>
      <c r="J11" s="226" t="str">
        <f ca="1">OFFSET('0'!$B$1,COLUMN(J11)-4,0)</f>
        <v>Liepa</v>
      </c>
      <c r="K11" s="226" t="str">
        <f ca="1">OFFSET('0'!$B$1,COLUMN(K11)-4,0)</f>
        <v>Rugpjūtis</v>
      </c>
      <c r="L11" s="226" t="str">
        <f ca="1">OFFSET('0'!$B$1,COLUMN(L11)-4,0)</f>
        <v>Rugsėjis</v>
      </c>
      <c r="M11" s="226" t="str">
        <f ca="1">OFFSET('0'!$B$1,COLUMN(M11)-4,0)</f>
        <v>Spalis</v>
      </c>
      <c r="N11" s="226" t="str">
        <f ca="1">OFFSET('0'!$B$1,COLUMN(N11)-4,0)</f>
        <v>Lapkritis</v>
      </c>
      <c r="O11" s="226" t="str">
        <f ca="1">OFFSET('0'!$B$1,COLUMN(O11)-4,0)</f>
        <v>Gruodis</v>
      </c>
      <c r="P11" s="237" t="s">
        <v>184</v>
      </c>
    </row>
    <row r="12" spans="1:16">
      <c r="A12" s="223" t="s">
        <v>173</v>
      </c>
      <c r="B12" s="227"/>
      <c r="C12" s="228"/>
      <c r="D12" s="229">
        <f ca="1">INDIRECT(
                ADDRESS(
                               OFFSET('0'!$B$112,
                                           (COLUMN(D11)-4)*10+1,
                                           -1),
                              4,4,TRUE,
                              OFFSET('0'!$B$1,COLUMN(D11)-4,0)))</f>
        <v>197</v>
      </c>
      <c r="E12" s="229">
        <f ca="1">INDIRECT(
                ADDRESS(
                               OFFSET('0'!$B$112,
                                           (COLUMN(E11)-4)*10+1,
                                           -1),
                              4,4,TRUE,
                              OFFSET('0'!$B$1,COLUMN(E11)-4,0)))</f>
        <v>843</v>
      </c>
      <c r="F12" s="229">
        <f ca="1">INDIRECT(
                ADDRESS(
                               OFFSET('0'!$B$112,
                                           (COLUMN(F11)-4)*10+1,
                                           -1),
                              4,4,TRUE,
                              OFFSET('0'!$B$1,COLUMN(F11)-4,0)))</f>
        <v>1695</v>
      </c>
      <c r="G12" s="229">
        <f ca="1">INDIRECT(
                ADDRESS(
                               OFFSET('0'!$B$112,
                                           (COLUMN(G11)-4)*10+1,
                                           -1),
                              4,4,TRUE,
                              OFFSET('0'!$B$1,COLUMN(G11)-4,0)))</f>
        <v>1844</v>
      </c>
      <c r="H12" s="229">
        <f ca="1">INDIRECT(
                ADDRESS(
                               OFFSET('0'!$B$112,
                                           (COLUMN(H11)-4)*10+1,
                                           -1),
                              4,4,TRUE,
                              OFFSET('0'!$B$1,COLUMN(H11)-4,0)))</f>
        <v>2122</v>
      </c>
      <c r="I12" s="229">
        <f ca="1">INDIRECT(
                ADDRESS(
                               OFFSET('0'!$B$112,
                                           (COLUMN(I11)-4)*10+1,
                                           -1),
                              4,4,TRUE,
                              OFFSET('0'!$B$1,COLUMN(I11)-4,0)))</f>
        <v>114</v>
      </c>
      <c r="J12" s="229">
        <f ca="1">INDIRECT(
                ADDRESS(
                               OFFSET('0'!$B$112,
                                           (COLUMN(J11)-4)*10+1,
                                           -1),
                              4,4,TRUE,
                              OFFSET('0'!$B$1,COLUMN(J11)-4,0)))</f>
        <v>0</v>
      </c>
      <c r="K12" s="229">
        <f ca="1">INDIRECT(
                ADDRESS(
                               OFFSET('0'!$B$112,
                                           (COLUMN(K11)-4)*10+1,
                                           -1),
                              4,4,TRUE,
                              OFFSET('0'!$B$1,COLUMN(K11)-4,0)))</f>
        <v>0</v>
      </c>
      <c r="L12" s="229">
        <f ca="1">INDIRECT(
                ADDRESS(
                               OFFSET('0'!$B$112,
                                           (COLUMN(L11)-4)*10+1,
                                           -1),
                              4,4,TRUE,
                              OFFSET('0'!$B$1,COLUMN(L11)-4,0)))</f>
        <v>0</v>
      </c>
      <c r="M12" s="229">
        <f ca="1">INDIRECT(
                ADDRESS(
                               OFFSET('0'!$B$112,
                                           (COLUMN(M11)-4)*10+1,
                                           -1),
                              4,4,TRUE,
                              OFFSET('0'!$B$1,COLUMN(M11)-4,0)))</f>
        <v>0</v>
      </c>
      <c r="N12" s="229">
        <f ca="1">INDIRECT(
                ADDRESS(
                               OFFSET('0'!$B$112,
                                           (COLUMN(N11)-4)*10+1,
                                           -1),
                              4,4,TRUE,
                              OFFSET('0'!$B$1,COLUMN(N11)-4,0)))</f>
        <v>0</v>
      </c>
      <c r="O12" s="229">
        <f ca="1">INDIRECT(
                ADDRESS(
                               OFFSET('0'!$B$112,
                                           (COLUMN(O11)-4)*10+1,
                                           -1),
                              4,4,TRUE,
                              OFFSET('0'!$B$1,COLUMN(O11)-4,0)))</f>
        <v>0</v>
      </c>
      <c r="P12" s="235">
        <f ca="1">SUM(D12:O12)</f>
        <v>6815</v>
      </c>
    </row>
    <row r="13" spans="1:16">
      <c r="A13" s="223" t="s">
        <v>174</v>
      </c>
      <c r="B13" s="227"/>
      <c r="C13" s="228"/>
      <c r="D13" s="242">
        <f ca="1">INDIRECT(
                ADDRESS(
                               OFFSET('0'!$B$112,
                                           (COLUMN(D11)-4)*10+1,
                                           -1),
                              12,4,TRUE,
                              OFFSET('0'!$B$1,COLUMN(D11)-4,0)))</f>
        <v>46650.2</v>
      </c>
      <c r="E13" s="242">
        <f ca="1">INDIRECT(
                ADDRESS(
                               OFFSET('0'!$B$112,
                                           (COLUMN(E11)-4)*10+1,
                                           -1),
                              12,4,TRUE,
                              OFFSET('0'!$B$1,COLUMN(E11)-4,0)))</f>
        <v>993065.32000000007</v>
      </c>
      <c r="F13" s="242">
        <f ca="1">INDIRECT(
                ADDRESS(
                               OFFSET('0'!$B$112,
                                           (COLUMN(F11)-4)*10+1,
                                           -1),
                              12,4,TRUE,
                              OFFSET('0'!$B$1,COLUMN(F11)-4,0)))</f>
        <v>3079849.3899999992</v>
      </c>
      <c r="G13" s="242">
        <f ca="1">INDIRECT(
                ADDRESS(
                               OFFSET('0'!$B$112,
                                           (COLUMN(G11)-4)*10+1,
                                           -1),
                              12,4,TRUE,
                              OFFSET('0'!$B$1,COLUMN(G11)-4,0)))</f>
        <v>3214494.91</v>
      </c>
      <c r="H13" s="242">
        <f ca="1">INDIRECT(
                ADDRESS(
                               OFFSET('0'!$B$112,
                                           (COLUMN(H11)-4)*10+1,
                                           -1),
                              12,4,TRUE,
                              OFFSET('0'!$B$1,COLUMN(H11)-4,0)))</f>
        <v>3452913.39</v>
      </c>
      <c r="I13" s="242">
        <f ca="1">INDIRECT(
                ADDRESS(
                               OFFSET('0'!$B$112,
                                           (COLUMN(I11)-4)*10+1,
                                           -1),
                              12,4,TRUE,
                              OFFSET('0'!$B$1,COLUMN(I11)-4,0)))</f>
        <v>295574.59999999998</v>
      </c>
      <c r="J13" s="242">
        <f ca="1">INDIRECT(
                ADDRESS(
                               OFFSET('0'!$B$112,
                                           (COLUMN(J11)-4)*10+1,
                                           -1),
                              12,4,TRUE,
                              OFFSET('0'!$B$1,COLUMN(J11)-4,0)))</f>
        <v>0</v>
      </c>
      <c r="K13" s="242">
        <f ca="1">INDIRECT(
                ADDRESS(
                               OFFSET('0'!$B$112,
                                           (COLUMN(K11)-4)*10+1,
                                           -1),
                              12,4,TRUE,
                              OFFSET('0'!$B$1,COLUMN(K11)-4,0)))</f>
        <v>0</v>
      </c>
      <c r="L13" s="242">
        <f ca="1">INDIRECT(
                ADDRESS(
                               OFFSET('0'!$B$112,
                                           (COLUMN(L11)-4)*10+1,
                                           -1),
                              12,4,TRUE,
                              OFFSET('0'!$B$1,COLUMN(L11)-4,0)))</f>
        <v>0</v>
      </c>
      <c r="M13" s="242">
        <f ca="1">INDIRECT(
                ADDRESS(
                               OFFSET('0'!$B$112,
                                           (COLUMN(M11)-4)*10+1,
                                           -1),
                              12,4,TRUE,
                              OFFSET('0'!$B$1,COLUMN(M11)-4,0)))</f>
        <v>0</v>
      </c>
      <c r="N13" s="242">
        <f ca="1">INDIRECT(
                ADDRESS(
                               OFFSET('0'!$B$112,
                                           (COLUMN(N11)-4)*10+1,
                                           -1),
                              12,4,TRUE,
                              OFFSET('0'!$B$1,COLUMN(N11)-4,0)))</f>
        <v>0</v>
      </c>
      <c r="O13" s="242">
        <f ca="1">INDIRECT(
                ADDRESS(
                               OFFSET('0'!$B$112,
                                           (COLUMN(O11)-4)*10+1,
                                           -1),
                              12,4,TRUE,
                              OFFSET('0'!$B$1,COLUMN(O11)-4,0)))</f>
        <v>0</v>
      </c>
      <c r="P13" s="235">
        <f ca="1">SUM(D13:O13)</f>
        <v>11082547.809999999</v>
      </c>
    </row>
    <row r="14" spans="1:16">
      <c r="A14" s="223" t="s">
        <v>175</v>
      </c>
      <c r="B14" s="223"/>
      <c r="C14" s="228"/>
      <c r="D14" s="230">
        <f ca="1">D13/1000</f>
        <v>46.650199999999998</v>
      </c>
      <c r="E14" s="230">
        <f t="shared" ref="E14:O14" ca="1" si="0">E13/1000</f>
        <v>993.06532000000004</v>
      </c>
      <c r="F14" s="230">
        <f t="shared" ca="1" si="0"/>
        <v>3079.8493899999994</v>
      </c>
      <c r="G14" s="230">
        <f t="shared" ca="1" si="0"/>
        <v>3214.4949100000003</v>
      </c>
      <c r="H14" s="230">
        <f t="shared" ca="1" si="0"/>
        <v>3452.9133900000002</v>
      </c>
      <c r="I14" s="230">
        <f t="shared" ca="1" si="0"/>
        <v>295.57459999999998</v>
      </c>
      <c r="J14" s="230">
        <f t="shared" ca="1" si="0"/>
        <v>0</v>
      </c>
      <c r="K14" s="230">
        <f t="shared" ca="1" si="0"/>
        <v>0</v>
      </c>
      <c r="L14" s="230">
        <f t="shared" ca="1" si="0"/>
        <v>0</v>
      </c>
      <c r="M14" s="230">
        <f t="shared" ca="1" si="0"/>
        <v>0</v>
      </c>
      <c r="N14" s="230">
        <f t="shared" ca="1" si="0"/>
        <v>0</v>
      </c>
      <c r="O14" s="230">
        <f t="shared" ca="1" si="0"/>
        <v>0</v>
      </c>
      <c r="P14" s="236">
        <f ca="1">SUM(D14:O14)</f>
        <v>11082.54781</v>
      </c>
    </row>
    <row r="15" spans="1:16">
      <c r="P15" s="220"/>
    </row>
    <row r="16" spans="1:16" ht="17.399999999999999">
      <c r="A16" s="217" t="s">
        <v>187</v>
      </c>
      <c r="B16" s="74"/>
      <c r="C16" s="74"/>
      <c r="D16" s="74"/>
      <c r="E16" s="74"/>
      <c r="F16" s="74"/>
      <c r="G16" s="74"/>
    </row>
    <row r="17" spans="1:14" s="220" customFormat="1" ht="17.399999999999999">
      <c r="A17" s="217" t="s">
        <v>199</v>
      </c>
      <c r="B17" s="74"/>
      <c r="C17" s="225"/>
      <c r="D17" s="217" t="s">
        <v>200</v>
      </c>
      <c r="E17" s="74"/>
      <c r="F17" s="221" t="s">
        <v>189</v>
      </c>
      <c r="G17" s="74"/>
      <c r="I17" s="222" t="str">
        <f ca="1">CONCATENATE(
ADDRESS(12,4,,,
MID(CELL("filename",A17),FIND("]",CELL("filename",A17))+1,255)
),":",
ADDRESS(12,Dinamika!$C$11+3)
)</f>
        <v>Metine_suvestine!$D$12:$E$12</v>
      </c>
    </row>
    <row r="18" spans="1:14" s="220" customFormat="1" ht="28.2" customHeight="1">
      <c r="A18" s="397" t="str">
        <f ca="1">CONCATENATE($A16,Dinamika!$B$1," m. ",
                          OFFSET('0'!A1,Dinamika!$C$11-1,0)," ",
                          DAY(DATE(Dinamika!B1,Dinamika!$C$11+1,1)-1),$A17,CHAR(13),$D17,
                          TEXT(SUM(OFFSET($D$12:$O$12,0,0, 1, Dinamika!$C$11)),"### ##0"),")")</f>
        <v>2025 m. sausio 27 d. – 2025 m. vasario 28 d. registruota pranešimų_x000D_ (iš viso: 1 040)</v>
      </c>
      <c r="B18" s="397"/>
      <c r="C18" s="397"/>
      <c r="D18" s="397"/>
      <c r="E18" s="397"/>
      <c r="F18" s="397"/>
      <c r="G18" s="397"/>
    </row>
    <row r="26" spans="1:14">
      <c r="N26" s="240"/>
    </row>
    <row r="33" spans="1:15" ht="24.6" customHeight="1"/>
    <row r="34" spans="1:15" ht="0.6" hidden="1" customHeight="1"/>
    <row r="35" spans="1:15" ht="33.6" hidden="1" customHeight="1">
      <c r="I35" s="222"/>
    </row>
    <row r="36" spans="1:15" hidden="1"/>
    <row r="37" spans="1:15" s="231" customFormat="1" hidden="1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</row>
    <row r="38" spans="1:15" s="231" customFormat="1" hidden="1">
      <c r="A38" s="223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</row>
    <row r="39" spans="1:15" s="231" customFormat="1" hidden="1">
      <c r="A39" s="223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</row>
    <row r="40" spans="1:15" s="231" customFormat="1" hidden="1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</row>
    <row r="41" spans="1:15" s="231" customFormat="1" hidden="1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</row>
    <row r="42" spans="1:15" s="231" customFormat="1" hidden="1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</row>
    <row r="43" spans="1:15" s="231" customFormat="1" hidden="1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</row>
    <row r="44" spans="1:15" s="231" customFormat="1" hidden="1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</row>
    <row r="45" spans="1:15" s="231" customForma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</row>
    <row r="46" spans="1:15" s="231" customFormat="1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</row>
    <row r="47" spans="1:15" s="231" customFormat="1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</row>
    <row r="48" spans="1:15" s="231" customFormat="1" ht="17.399999999999999">
      <c r="A48" s="217" t="s">
        <v>187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</row>
    <row r="49" spans="1:15" s="231" customFormat="1" ht="17.399999999999999">
      <c r="A49" s="265" t="s">
        <v>201</v>
      </c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</row>
    <row r="50" spans="1:15" s="231" customFormat="1" hidden="1">
      <c r="A50" s="218" t="str">
        <f ca="1">CONCATENATE($A48,Dinamika!$B$1," m. ",
                          OFFSET('0'!A33,Dinamika!$C$11-1,0)," ",
                          DAY(DATE(Dinamika!B33,Dinamika!$C$11+1,1)-1),$A49,
                          SUM(OFFSET($D$12:$O$12,0,0, 1, Dinamika!$C$11)),")")</f>
        <v>2025 m. sausio 27 d. – 2025 m.  29 d. patirta žalų 1040)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</row>
    <row r="51" spans="1:15" s="231" customFormat="1" ht="17.399999999999999">
      <c r="A51" s="265" t="s">
        <v>202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</row>
    <row r="52" spans="1:15" s="231" customFormat="1" ht="27.6" customHeight="1">
      <c r="A52" s="217" t="s">
        <v>180</v>
      </c>
      <c r="F52" s="220" t="s">
        <v>190</v>
      </c>
      <c r="G52" s="220"/>
      <c r="H52" s="220"/>
      <c r="I52" s="222" t="str">
        <f ca="1">CONCATENATE(
ADDRESS(13,4,,,
MID(CELL("filename",A1),FIND("]",CELL("filename",A1))+1,255)
),":",
ADDRESS(13,Dinamika!$C$11+3)
)</f>
        <v>Metine_suvestine!$D$13:$E$13</v>
      </c>
      <c r="J52" s="220"/>
      <c r="K52" s="220"/>
      <c r="L52" s="220"/>
      <c r="M52" s="220"/>
      <c r="N52" s="220"/>
      <c r="O52" s="220"/>
    </row>
    <row r="53" spans="1:15" s="231" customFormat="1" ht="31.2" customHeight="1">
      <c r="A53" s="396" t="str">
        <f ca="1">CONCATENATE($A48,Dinamika!$B$1," m. ",
                          OFFSET('0'!A1,Dinamika!$C$11-1,0)," ",
                          DAY(DATE(Dinamika!B1,Dinamika!$C$11+1,1)-1),$A49,CHAR(13),$A51,
                         TEXT(SUM(OFFSET($D$13:$O$13,0,0, 1, Dinamika!$C$11)),"### ##0"),$A52)</f>
        <v>2025 m. sausio 27 d. – 2025 m. vasario 28 d. patirta žalų _x000D_(iš viso 1 039 716 €)</v>
      </c>
      <c r="B53" s="396"/>
      <c r="C53" s="396"/>
      <c r="D53" s="396"/>
      <c r="E53" s="396"/>
      <c r="F53" s="396"/>
      <c r="G53" s="396"/>
      <c r="H53" s="396"/>
      <c r="I53" s="220"/>
      <c r="J53" s="220"/>
      <c r="K53" s="220"/>
      <c r="L53" s="220"/>
      <c r="M53" s="220"/>
      <c r="N53" s="220"/>
      <c r="O53" s="220"/>
    </row>
    <row r="54" spans="1:15" s="231" customFormat="1">
      <c r="A54" s="223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</row>
    <row r="55" spans="1:15" s="231" customFormat="1">
      <c r="A55" s="223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</row>
    <row r="56" spans="1:15" s="231" customFormat="1">
      <c r="A56" s="22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</row>
    <row r="57" spans="1:15" s="231" customForma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</row>
    <row r="58" spans="1:15" s="231" customForma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</row>
    <row r="59" spans="1:15" s="231" customForma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</row>
    <row r="60" spans="1:15" s="231" customForma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</row>
    <row r="61" spans="1:15" s="231" customForma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</row>
    <row r="62" spans="1:15" s="231" customForma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</row>
    <row r="63" spans="1:15" s="231" customForma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</row>
    <row r="64" spans="1:15" s="231" customForma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</row>
    <row r="65" spans="1:15" s="231" customForma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</row>
    <row r="66" spans="1:15" s="231" customForma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</row>
    <row r="67" spans="1:15" s="231" customForma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</row>
    <row r="68" spans="1:15" s="231" customForma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</row>
    <row r="69" spans="1:15" s="231" customFormat="1">
      <c r="A69" s="22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</row>
    <row r="70" spans="1:15" s="231" customForma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</row>
    <row r="71" spans="1:15" s="231" customForma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</row>
    <row r="72" spans="1:15" s="231" customForma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</row>
    <row r="73" spans="1:15" s="231" customForma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</row>
    <row r="74" spans="1:15" s="231" customFormat="1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</row>
    <row r="75" spans="1:15" s="231" customFormat="1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</row>
    <row r="76" spans="1:15" s="231" customFormat="1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</row>
    <row r="77" spans="1:15" s="231" customFormat="1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</row>
    <row r="78" spans="1:15" s="231" customFormat="1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</row>
    <row r="79" spans="1:15" s="231" customFormat="1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</row>
    <row r="80" spans="1:15" s="231" customFormat="1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</row>
    <row r="81" spans="1:15" s="231" customFormat="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</row>
    <row r="82" spans="1:15" s="231" customFormat="1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</row>
    <row r="83" spans="1:15" s="231" customFormat="1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</row>
    <row r="84" spans="1:15" s="231" customFormat="1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</row>
    <row r="85" spans="1:15" s="231" customFormat="1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</row>
    <row r="86" spans="1:15" s="231" customFormat="1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</row>
    <row r="87" spans="1:15" s="231" customFormat="1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</row>
    <row r="88" spans="1:15" s="231" customFormat="1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</row>
    <row r="89" spans="1:15" s="231" customFormat="1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</row>
    <row r="90" spans="1:15" s="231" customFormat="1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</row>
    <row r="91" spans="1:15" s="231" customFormat="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</row>
    <row r="92" spans="1:15" s="231" customFormat="1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</row>
    <row r="93" spans="1:15" s="231" customFormat="1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</row>
    <row r="94" spans="1:15" s="231" customFormat="1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</row>
    <row r="95" spans="1:15" s="231" customFormat="1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</row>
    <row r="96" spans="1:15" s="231" customFormat="1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</row>
    <row r="97" spans="1:15" s="231" customFormat="1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</row>
    <row r="98" spans="1:15" s="231" customFormat="1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</row>
    <row r="99" spans="1:15" s="231" customFormat="1">
      <c r="A99" s="223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</row>
    <row r="100" spans="1:15" s="231" customFormat="1">
      <c r="A100" s="223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</row>
    <row r="101" spans="1:15" s="231" customFormat="1">
      <c r="A101" s="22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</row>
    <row r="102" spans="1:15" s="231" customFormat="1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</row>
    <row r="103" spans="1:15" s="231" customFormat="1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</row>
    <row r="104" spans="1:15" s="231" customFormat="1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</row>
    <row r="105" spans="1:15" s="231" customFormat="1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</row>
    <row r="106" spans="1:15" s="231" customFormat="1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</row>
    <row r="107" spans="1:15" s="231" customFormat="1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</row>
    <row r="108" spans="1:15" s="231" customFormat="1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</row>
    <row r="109" spans="1:15" s="231" customFormat="1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</row>
    <row r="110" spans="1:15" s="231" customFormat="1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</row>
    <row r="111" spans="1:15" s="231" customFormat="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</row>
    <row r="112" spans="1:15" s="231" customFormat="1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</row>
    <row r="113" spans="1:15" s="231" customFormat="1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</row>
    <row r="114" spans="1:15" s="231" customFormat="1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</row>
    <row r="115" spans="1:15" s="231" customFormat="1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</row>
    <row r="116" spans="1:15" s="231" customFormat="1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</row>
    <row r="117" spans="1:15" s="231" customFormat="1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</row>
    <row r="118" spans="1:15" s="231" customFormat="1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</row>
    <row r="119" spans="1:15" s="231" customFormat="1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</row>
    <row r="120" spans="1:15" s="231" customFormat="1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</row>
    <row r="121" spans="1:15" s="231" customForma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</row>
    <row r="122" spans="1:15" s="231" customForma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</row>
    <row r="123" spans="1:15" s="231" customForma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</row>
    <row r="124" spans="1:15" s="231" customFormat="1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</row>
    <row r="125" spans="1:15" s="231" customFormat="1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</row>
    <row r="126" spans="1:15" s="231" customFormat="1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</row>
    <row r="127" spans="1:15" s="231" customFormat="1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</row>
    <row r="128" spans="1:15" s="231" customFormat="1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</row>
    <row r="129" spans="1:15" s="231" customFormat="1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</row>
    <row r="130" spans="1:15" s="231" customFormat="1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</row>
    <row r="131" spans="1:15" s="231" customFormat="1">
      <c r="A131" s="223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</row>
    <row r="132" spans="1:15" s="231" customFormat="1">
      <c r="A132" s="223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</row>
    <row r="133" spans="1:15" s="231" customFormat="1">
      <c r="A133" s="223"/>
      <c r="B133" s="233"/>
      <c r="C133" s="233"/>
      <c r="D133" s="233"/>
      <c r="E133" s="233"/>
      <c r="F133" s="234"/>
      <c r="G133" s="233"/>
      <c r="H133" s="233"/>
      <c r="I133" s="233"/>
      <c r="J133" s="233"/>
      <c r="K133" s="233"/>
      <c r="L133" s="233"/>
      <c r="M133" s="233"/>
      <c r="N133" s="233"/>
      <c r="O133" s="233"/>
    </row>
    <row r="134" spans="1:15" s="231" customFormat="1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</row>
    <row r="135" spans="1:15" s="231" customFormat="1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</row>
    <row r="136" spans="1:15" s="231" customFormat="1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</row>
    <row r="137" spans="1:15" s="231" customFormat="1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</row>
    <row r="138" spans="1:15" s="231" customFormat="1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</row>
    <row r="139" spans="1:15" s="231" customFormat="1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</row>
    <row r="140" spans="1:15" s="231" customFormat="1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</row>
    <row r="141" spans="1:15" s="231" customFormat="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</row>
    <row r="142" spans="1:15" s="231" customFormat="1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</row>
    <row r="143" spans="1:15" s="231" customFormat="1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</row>
    <row r="144" spans="1:15" s="231" customFormat="1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</row>
    <row r="145" spans="1:15" s="231" customFormat="1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</row>
    <row r="146" spans="1:15" s="231" customFormat="1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</row>
    <row r="147" spans="1:15" s="231" customFormat="1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</row>
    <row r="148" spans="1:15" s="231" customFormat="1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</row>
    <row r="149" spans="1:15" s="231" customFormat="1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</row>
    <row r="150" spans="1:15" s="231" customFormat="1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</row>
    <row r="151" spans="1:15" s="231" customFormat="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</row>
    <row r="152" spans="1:15" s="231" customFormat="1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</row>
    <row r="153" spans="1:15" s="231" customFormat="1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</row>
    <row r="154" spans="1:15" s="231" customFormat="1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</row>
    <row r="155" spans="1:15" s="231" customFormat="1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</row>
    <row r="156" spans="1:15" s="231" customFormat="1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</row>
    <row r="157" spans="1:15" s="231" customFormat="1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</row>
    <row r="158" spans="1:15" s="231" customFormat="1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</row>
    <row r="159" spans="1:15" s="231" customFormat="1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</row>
    <row r="160" spans="1:15" s="231" customFormat="1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</row>
    <row r="161" spans="1:15" s="231" customFormat="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</row>
    <row r="162" spans="1:15" s="231" customForma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</row>
    <row r="163" spans="1:15" s="231" customFormat="1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</row>
    <row r="164" spans="1:15" s="231" customFormat="1">
      <c r="A164" s="223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</row>
    <row r="165" spans="1:15" s="231" customFormat="1">
      <c r="A165" s="223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</row>
    <row r="166" spans="1:15" s="231" customFormat="1">
      <c r="A166" s="22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</row>
    <row r="167" spans="1:15" s="231" customFormat="1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</row>
    <row r="168" spans="1:15" s="231" customFormat="1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</row>
    <row r="169" spans="1:15" s="231" customFormat="1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</row>
    <row r="170" spans="1:15" s="231" customFormat="1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</row>
    <row r="171" spans="1:15" s="231" customFormat="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</row>
    <row r="172" spans="1:15" s="231" customFormat="1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</row>
    <row r="173" spans="1:15" s="231" customFormat="1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</row>
    <row r="174" spans="1:15" s="231" customFormat="1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</row>
    <row r="175" spans="1:15" s="231" customFormat="1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</row>
    <row r="176" spans="1:15" s="231" customFormat="1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</row>
    <row r="177" spans="1:15" s="231" customFormat="1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</row>
    <row r="178" spans="1:15" s="231" customFormat="1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</row>
    <row r="179" spans="1:15" s="231" customFormat="1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</row>
    <row r="180" spans="1:15" s="231" customFormat="1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</row>
    <row r="181" spans="1:15" s="231" customFormat="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</row>
    <row r="182" spans="1:15" s="231" customFormat="1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</row>
    <row r="183" spans="1:15" s="231" customFormat="1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</row>
    <row r="184" spans="1:15" s="231" customForma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</row>
    <row r="185" spans="1:15" s="231" customForma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</row>
    <row r="186" spans="1:15" s="231" customForma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</row>
    <row r="187" spans="1:15" s="231" customForma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</row>
    <row r="188" spans="1:15" s="231" customForma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</row>
    <row r="189" spans="1:15" s="231" customForma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</row>
    <row r="190" spans="1:15" s="231" customForma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</row>
    <row r="191" spans="1:15" s="231" customForma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</row>
    <row r="192" spans="1:15" s="231" customForma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</row>
    <row r="193" spans="1:15" s="231" customForma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</row>
    <row r="194" spans="1:15" s="231" customForma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</row>
    <row r="195" spans="1:15" s="231" customForma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</row>
    <row r="196" spans="1:15" s="231" customForma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</row>
    <row r="197" spans="1:15" s="231" customForma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</row>
    <row r="198" spans="1:15" s="231" customForma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</row>
    <row r="199" spans="1:15" s="231" customForma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</row>
    <row r="200" spans="1:15" s="231" customForma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</row>
    <row r="201" spans="1:15" s="231" customForma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</row>
    <row r="202" spans="1:15" s="231" customForma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</row>
    <row r="203" spans="1:15" s="231" customForma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</row>
    <row r="204" spans="1:15" s="231" customForma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</row>
    <row r="205" spans="1:15" s="231" customForma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</row>
    <row r="206" spans="1:15" s="231" customForma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</row>
    <row r="207" spans="1:15" s="231" customForma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</row>
    <row r="208" spans="1:15" s="231" customForma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</row>
    <row r="209" spans="1:15" s="231" customForma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</row>
  </sheetData>
  <mergeCells count="2">
    <mergeCell ref="A53:H53"/>
    <mergeCell ref="A18:G18"/>
  </mergeCells>
  <dataValidations count="1">
    <dataValidation type="list" allowBlank="1" showInputMessage="1" showErrorMessage="1" sqref="B3:B10">
      <formula1>'0'!$D$1:$D$16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3:T41"/>
  <sheetViews>
    <sheetView zoomScale="50" zoomScaleNormal="50" workbookViewId="0">
      <selection activeCell="W23" sqref="W23"/>
    </sheetView>
  </sheetViews>
  <sheetFormatPr defaultRowHeight="14.4"/>
  <cols>
    <col min="4" max="4" width="17.109375" customWidth="1"/>
  </cols>
  <sheetData>
    <row r="3" spans="4:6" ht="51">
      <c r="F3" s="243" t="s">
        <v>191</v>
      </c>
    </row>
    <row r="4" spans="4:6" ht="51">
      <c r="F4" s="243" t="s">
        <v>192</v>
      </c>
    </row>
    <row r="5" spans="4:6" ht="51">
      <c r="F5" s="244" t="s">
        <v>193</v>
      </c>
    </row>
    <row r="7" spans="4:6">
      <c r="D7" s="73" t="str">
        <f ca="1">CONCATENATE(Metine_suvestine!$A16,Dinamika!$B$1," m. ",
                          OFFSET('0'!A1,Dinamika!$C$11-1,0)," ",
                          DAY(DATE(Dinamika!B1,Dinamika!$C$11+1,1)-1)," d." )</f>
        <v>2025 m. sausio 27 d. – 2025 m. vasario 28 d.</v>
      </c>
    </row>
    <row r="8" spans="4:6">
      <c r="D8" s="73" t="str">
        <f ca="1">D7</f>
        <v>2025 m. sausio 27 d. – 2025 m. vasario 28 d.</v>
      </c>
    </row>
    <row r="17" spans="1:20" ht="43.5" customHeight="1"/>
    <row r="18" spans="1:20" ht="43.5" customHeight="1"/>
    <row r="19" spans="1:20" ht="43.5" customHeight="1">
      <c r="A19" s="247" t="s">
        <v>194</v>
      </c>
      <c r="B19" s="247"/>
      <c r="C19" s="247"/>
      <c r="D19" s="247"/>
      <c r="E19" s="247">
        <f ca="1">SUM(OFFSET('Bendras metų'!$E28:$P28,0,0, 1, Dinamika!$C$11))</f>
        <v>100</v>
      </c>
      <c r="F19" s="247" t="str">
        <f ca="1">IF(OR(MOD(E19, 10) =0,
              AND(MOD(E19,100) &gt;=10,MOD(E19,100) &lt;20)),"ų",
        IF(MOD(E19, 10) =1,"as","ai")
      )</f>
        <v>ų</v>
      </c>
      <c r="G19" s="248" t="str">
        <f ca="1">CONCATENATE(A19,E19," pranešim",F19,";")</f>
        <v>Lietuvos bankai – 100 pranešimų;</v>
      </c>
    </row>
    <row r="20" spans="1:20" ht="43.5" customHeight="1">
      <c r="A20" s="247" t="s">
        <v>195</v>
      </c>
      <c r="B20" s="247"/>
      <c r="C20" s="247"/>
      <c r="D20" s="247"/>
      <c r="E20" s="247">
        <f ca="1">SUM(OFFSET('Bendras metų'!$E29:$P29,0,0, 1, Dinamika!$C$11))</f>
        <v>0</v>
      </c>
      <c r="F20" s="247" t="str">
        <f ca="1">IF(OR(MOD(E20, 10) =0,
              AND(MOD(E20,100) &gt;=10,MOD(E20,100) &lt;20)),"ų",
        IF(MOD(E20, 10) =1,"as","ai")
      )</f>
        <v>ų</v>
      </c>
      <c r="G20" s="248" t="str">
        <f ca="1">CONCATENATE(A20,E20," pranešim",F20,";")</f>
        <v>LR ryšių reguliavimo tarnyba – 0 pranešimų;</v>
      </c>
    </row>
    <row r="21" spans="1:20" ht="43.5" customHeight="1">
      <c r="A21" s="247" t="s">
        <v>196</v>
      </c>
      <c r="B21" s="247"/>
      <c r="C21" s="247"/>
      <c r="D21" s="247"/>
      <c r="E21" s="247">
        <f ca="1">SUM(OFFSET('Bendras metų'!$E30:$P30,0,0, 1, Dinamika!$C$11))</f>
        <v>0</v>
      </c>
      <c r="F21" s="247" t="str">
        <f ca="1">IF(OR(MOD(E21, 10) =0,
              AND(MOD(E21,100) &gt;=10,MOD(E21,100) &lt;20)),"ų",
        IF(MOD(E21, 10) =1,"as","ai")
      )</f>
        <v>ų</v>
      </c>
      <c r="G21" s="248" t="str">
        <f ca="1">CONCATENATE(A21,E21," pranešim",F21,";")</f>
        <v>Finansinių nusikaltimų tyrimo tarnyba prie LR VRM – 0 pranešimų;</v>
      </c>
    </row>
    <row r="22" spans="1:20" ht="43.5" customHeight="1">
      <c r="A22" s="247" t="s">
        <v>197</v>
      </c>
      <c r="B22" s="247"/>
      <c r="C22" s="247"/>
      <c r="D22" s="247"/>
      <c r="E22" s="247">
        <f ca="1">SUM(OFFSET('Bendras metų'!$E31:$P31,0,0, 1, Dinamika!$C$11))</f>
        <v>35</v>
      </c>
      <c r="F22" s="247" t="str">
        <f ca="1">IF(OR(MOD(E22, 10) =0,
              AND(MOD(E22,100) &gt;=10,MOD(E22,100) &lt;20)),"ų",
        IF(MOD(E22, 10) =1,"as","ai")
      )</f>
        <v>ai</v>
      </c>
      <c r="G22" s="248" t="str">
        <f ca="1">CONCATENATE(A22,E22," pranešim",F22,";")</f>
        <v>Nacionalinis kibernetinio saugumo centras prie KAM – 35 pranešimai;</v>
      </c>
    </row>
    <row r="23" spans="1:20" ht="43.5" customHeight="1">
      <c r="A23" s="247" t="s">
        <v>198</v>
      </c>
      <c r="B23" s="247"/>
      <c r="C23" s="247"/>
      <c r="D23" s="247"/>
      <c r="E23" s="247">
        <f ca="1">SUM(OFFSET('Bendras metų'!$E32:$P32,0,0, 1, Dinamika!$C$11))</f>
        <v>63</v>
      </c>
      <c r="F23" s="247" t="str">
        <f ca="1">IF(OR(MOD(E23, 10) =0,
              AND(MOD(E23,100) &gt;=10,MOD(E23,100) &lt;20)),"ų",
        IF(MOD(E23, 10) =1,"as","ai")
      )</f>
        <v>ai</v>
      </c>
      <c r="G23" s="248" t="str">
        <f ca="1">CONCATENATE(A23,E23," pranešim",F23,".")</f>
        <v>„Facebook“ – 63 pranešimai.</v>
      </c>
    </row>
    <row r="24" spans="1:20" ht="408.6" customHeight="1">
      <c r="F24" s="398" t="str">
        <f ca="1">CONCATENATE(A19,TEXT(E19,"### ##0")," pranešim",F19,";",CHAR(10),CHAR(10),CHAR(10),
CONCATENATE(A20,TEXT(E20,"### ##0")," pranešim",F20,";",CHAR(10),CHAR(10),CHAR(10),
CONCATENATE(A21,TEXT(E21,"### ##0")," pranešim",F21,";",CHAR(10),CHAR(10),CHAR(10),
CONCATENATE(A22,TEXT(E22,"### ##0")," pranešim",F22,";",CHAR(10),CHAR(10),CHAR(10),
CONCATENATE(A23,TEXT(E23,"### ##0")," pranešim",F23,"."
)))))</f>
        <v>Lietuvos bankai – 100 pranešimų;
LR ryšių reguliavimo tarnyba – 0 pranešimų;
Finansinių nusikaltimų tyrimo tarnyba prie LR VRM – 0 pranešimų;
Nacionalinis kibernetinio saugumo centras prie KAM – 35 pranešimai;
„Facebook“ – 63 pranešimai.</v>
      </c>
      <c r="G24" s="398"/>
      <c r="H24" s="398"/>
      <c r="I24" s="398"/>
      <c r="J24" s="398"/>
      <c r="K24" s="398"/>
      <c r="L24" s="398"/>
      <c r="M24" s="398"/>
      <c r="N24" s="398"/>
      <c r="O24" s="398"/>
      <c r="P24" s="398"/>
      <c r="Q24" s="398"/>
      <c r="R24" s="398"/>
      <c r="S24" s="398"/>
      <c r="T24" s="398"/>
    </row>
    <row r="25" spans="1:20" ht="31.2" customHeight="1">
      <c r="G25" s="246"/>
    </row>
    <row r="26" spans="1:20">
      <c r="G26" s="246"/>
    </row>
    <row r="27" spans="1:20">
      <c r="G27" s="246"/>
    </row>
    <row r="28" spans="1:20">
      <c r="G28" s="246"/>
    </row>
    <row r="29" spans="1:20">
      <c r="G29" s="246"/>
    </row>
    <row r="30" spans="1:20">
      <c r="G30" s="246"/>
    </row>
    <row r="34" spans="1:2" ht="22.8">
      <c r="B34" s="245"/>
    </row>
    <row r="35" spans="1:2" ht="22.8">
      <c r="B35" s="245"/>
    </row>
    <row r="36" spans="1:2" ht="22.8">
      <c r="B36" s="245"/>
    </row>
    <row r="37" spans="1:2" ht="22.8">
      <c r="A37" s="249"/>
      <c r="B37" s="245"/>
    </row>
    <row r="38" spans="1:2" ht="22.8">
      <c r="A38" s="249"/>
      <c r="B38" s="245"/>
    </row>
    <row r="39" spans="1:2" ht="22.8">
      <c r="A39" s="249"/>
    </row>
    <row r="40" spans="1:2" ht="22.8">
      <c r="A40" s="249"/>
    </row>
    <row r="41" spans="1:2" ht="22.8">
      <c r="A41" s="249"/>
    </row>
  </sheetData>
  <mergeCells count="1">
    <mergeCell ref="F24:T24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C32"/>
  <sheetViews>
    <sheetView workbookViewId="0">
      <selection activeCell="B28" sqref="B28"/>
    </sheetView>
  </sheetViews>
  <sheetFormatPr defaultRowHeight="14.4"/>
  <cols>
    <col min="1" max="1" width="164.109375" customWidth="1"/>
  </cols>
  <sheetData>
    <row r="1" spans="1:1">
      <c r="A1" s="260">
        <v>45818</v>
      </c>
    </row>
    <row r="3" spans="1:1">
      <c r="A3" s="161" t="s">
        <v>204</v>
      </c>
    </row>
    <row r="5" spans="1:1">
      <c r="A5" s="260">
        <v>45819</v>
      </c>
    </row>
    <row r="6" spans="1:1">
      <c r="A6" s="161"/>
    </row>
    <row r="7" spans="1:1">
      <c r="A7" s="161" t="s">
        <v>203</v>
      </c>
    </row>
    <row r="8" spans="1:1">
      <c r="A8" s="264"/>
    </row>
    <row r="9" spans="1:1">
      <c r="A9" s="161" t="s">
        <v>205</v>
      </c>
    </row>
    <row r="10" spans="1:1">
      <c r="A10" s="161" t="s">
        <v>206</v>
      </c>
    </row>
    <row r="11" spans="1:1">
      <c r="A11" s="161" t="s">
        <v>207</v>
      </c>
    </row>
    <row r="12" spans="1:1">
      <c r="A12" s="161" t="s">
        <v>208</v>
      </c>
    </row>
    <row r="13" spans="1:1">
      <c r="A13" s="161" t="s">
        <v>209</v>
      </c>
    </row>
    <row r="14" spans="1:1">
      <c r="A14" s="161" t="s">
        <v>210</v>
      </c>
    </row>
    <row r="15" spans="1:1">
      <c r="A15" s="161" t="s">
        <v>211</v>
      </c>
    </row>
    <row r="16" spans="1:1">
      <c r="A16" s="263" t="s">
        <v>219</v>
      </c>
    </row>
    <row r="21" spans="3:3">
      <c r="C21">
        <v>0</v>
      </c>
    </row>
    <row r="22" spans="3:3">
      <c r="C22">
        <v>0</v>
      </c>
    </row>
    <row r="23" spans="3:3">
      <c r="C23">
        <v>0</v>
      </c>
    </row>
    <row r="24" spans="3:3">
      <c r="C24">
        <v>0</v>
      </c>
    </row>
    <row r="25" spans="3:3">
      <c r="C25">
        <v>0</v>
      </c>
    </row>
    <row r="26" spans="3:3">
      <c r="C26">
        <v>0</v>
      </c>
    </row>
    <row r="27" spans="3:3">
      <c r="C27">
        <v>0</v>
      </c>
    </row>
    <row r="28" spans="3:3">
      <c r="C28">
        <v>0</v>
      </c>
    </row>
    <row r="29" spans="3:3">
      <c r="C29">
        <v>0</v>
      </c>
    </row>
    <row r="30" spans="3:3">
      <c r="C30">
        <v>0</v>
      </c>
    </row>
    <row r="31" spans="3:3">
      <c r="C31">
        <v>0</v>
      </c>
    </row>
    <row r="32" spans="3:3">
      <c r="C3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</vt:lpstr>
      <vt:lpstr>Bendras metų</vt:lpstr>
      <vt:lpstr>Sausis</vt:lpstr>
      <vt:lpstr>Vasaris</vt:lpstr>
      <vt:lpstr>Kovas</vt:lpstr>
      <vt:lpstr>Balandis</vt:lpstr>
      <vt:lpstr>Gegužė</vt:lpstr>
      <vt:lpstr>Birželis</vt:lpstr>
      <vt:lpstr>Liepa</vt:lpstr>
      <vt:lpstr>Rugpjūtis</vt:lpstr>
      <vt:lpstr>Rugsėjis</vt:lpstr>
      <vt:lpstr>Spalis</vt:lpstr>
      <vt:lpstr>Lapkritis</vt:lpstr>
      <vt:lpstr>Gruodis</vt:lpstr>
      <vt:lpstr>Sablonas</vt:lpstr>
      <vt:lpstr>Dinamika (registruotų)</vt:lpstr>
      <vt:lpstr>Sheet1</vt:lpstr>
      <vt:lpstr>Dinamika</vt:lpstr>
      <vt:lpstr>Metine_suvestine</vt:lpstr>
      <vt:lpstr>Kita</vt:lpstr>
      <vt:lpstr>Tobulinimas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Klimovičienė</dc:creator>
  <cp:lastModifiedBy>Darius` Cerniavskis</cp:lastModifiedBy>
  <cp:revision>778</cp:revision>
  <dcterms:created xsi:type="dcterms:W3CDTF">2015-06-05T18:17:20Z</dcterms:created>
  <dcterms:modified xsi:type="dcterms:W3CDTF">2026-01-01T09:24:16Z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